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4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1\Downloads\"/>
    </mc:Choice>
  </mc:AlternateContent>
  <xr:revisionPtr revIDLastSave="0" documentId="8_{1919DDF2-54CD-480A-8AAF-D35CC41D394E}" xr6:coauthVersionLast="47" xr6:coauthVersionMax="47" xr10:uidLastSave="{00000000-0000-0000-0000-000000000000}"/>
  <bookViews>
    <workbookView xWindow="28680" yWindow="-120" windowWidth="29040" windowHeight="15720" xr2:uid="{B2844D92-88A6-4E0F-8581-4BC9E2B6D341}"/>
  </bookViews>
  <sheets>
    <sheet name="Data - Gold" sheetId="1" r:id="rId1"/>
    <sheet name="Data - Silver" sheetId="4" r:id="rId2"/>
    <sheet name="Analysis" sheetId="5" r:id="rId3"/>
    <sheet name="Statistics" sheetId="6" r:id="rId4"/>
    <sheet name="Charts" sheetId="7" r:id="rId5"/>
  </sheets>
  <calcPr calcId="0" refMode="R1C1"/>
</workbook>
</file>

<file path=xl/calcChain.xml><?xml version="1.0" encoding="utf-8"?>
<calcChain xmlns="http://schemas.openxmlformats.org/spreadsheetml/2006/main">
  <c r="J288" i="5" l="1"/>
  <c r="J416" i="5"/>
  <c r="I33" i="5"/>
  <c r="J33" i="5" s="1"/>
  <c r="I34" i="5"/>
  <c r="J34" i="5" s="1"/>
  <c r="I35" i="5"/>
  <c r="J35" i="5" s="1"/>
  <c r="I36" i="5"/>
  <c r="J36" i="5" s="1"/>
  <c r="I37" i="5"/>
  <c r="J37" i="5" s="1"/>
  <c r="I38" i="5"/>
  <c r="J38" i="5" s="1"/>
  <c r="I39" i="5"/>
  <c r="J39" i="5" s="1"/>
  <c r="I40" i="5"/>
  <c r="J40" i="5" s="1"/>
  <c r="I41" i="5"/>
  <c r="J41" i="5" s="1"/>
  <c r="I42" i="5"/>
  <c r="J42" i="5" s="1"/>
  <c r="I43" i="5"/>
  <c r="J43" i="5" s="1"/>
  <c r="I44" i="5"/>
  <c r="J44" i="5" s="1"/>
  <c r="I45" i="5"/>
  <c r="J45" i="5" s="1"/>
  <c r="I46" i="5"/>
  <c r="J46" i="5" s="1"/>
  <c r="I47" i="5"/>
  <c r="J47" i="5" s="1"/>
  <c r="I48" i="5"/>
  <c r="J48" i="5" s="1"/>
  <c r="I49" i="5"/>
  <c r="J49" i="5" s="1"/>
  <c r="I50" i="5"/>
  <c r="J50" i="5" s="1"/>
  <c r="I51" i="5"/>
  <c r="J51" i="5" s="1"/>
  <c r="I52" i="5"/>
  <c r="J52" i="5" s="1"/>
  <c r="I53" i="5"/>
  <c r="J53" i="5" s="1"/>
  <c r="I54" i="5"/>
  <c r="J54" i="5" s="1"/>
  <c r="I55" i="5"/>
  <c r="J55" i="5" s="1"/>
  <c r="I56" i="5"/>
  <c r="J56" i="5" s="1"/>
  <c r="I57" i="5"/>
  <c r="J57" i="5" s="1"/>
  <c r="I58" i="5"/>
  <c r="J58" i="5" s="1"/>
  <c r="I59" i="5"/>
  <c r="J59" i="5" s="1"/>
  <c r="I60" i="5"/>
  <c r="J60" i="5" s="1"/>
  <c r="I61" i="5"/>
  <c r="J61" i="5" s="1"/>
  <c r="I62" i="5"/>
  <c r="J62" i="5" s="1"/>
  <c r="I63" i="5"/>
  <c r="J63" i="5" s="1"/>
  <c r="I64" i="5"/>
  <c r="J64" i="5" s="1"/>
  <c r="I65" i="5"/>
  <c r="J65" i="5" s="1"/>
  <c r="I66" i="5"/>
  <c r="J66" i="5" s="1"/>
  <c r="I67" i="5"/>
  <c r="J67" i="5" s="1"/>
  <c r="I68" i="5"/>
  <c r="J68" i="5" s="1"/>
  <c r="I69" i="5"/>
  <c r="J69" i="5" s="1"/>
  <c r="I70" i="5"/>
  <c r="J70" i="5" s="1"/>
  <c r="I71" i="5"/>
  <c r="J71" i="5" s="1"/>
  <c r="I72" i="5"/>
  <c r="J72" i="5" s="1"/>
  <c r="I73" i="5"/>
  <c r="J73" i="5" s="1"/>
  <c r="I74" i="5"/>
  <c r="J74" i="5" s="1"/>
  <c r="I75" i="5"/>
  <c r="J75" i="5" s="1"/>
  <c r="I76" i="5"/>
  <c r="J76" i="5" s="1"/>
  <c r="I77" i="5"/>
  <c r="J77" i="5" s="1"/>
  <c r="I78" i="5"/>
  <c r="J78" i="5" s="1"/>
  <c r="I79" i="5"/>
  <c r="J79" i="5" s="1"/>
  <c r="I80" i="5"/>
  <c r="J80" i="5" s="1"/>
  <c r="I81" i="5"/>
  <c r="J81" i="5" s="1"/>
  <c r="I82" i="5"/>
  <c r="J82" i="5" s="1"/>
  <c r="I83" i="5"/>
  <c r="J83" i="5" s="1"/>
  <c r="I84" i="5"/>
  <c r="J84" i="5" s="1"/>
  <c r="I85" i="5"/>
  <c r="J85" i="5" s="1"/>
  <c r="I86" i="5"/>
  <c r="J86" i="5" s="1"/>
  <c r="I87" i="5"/>
  <c r="J87" i="5" s="1"/>
  <c r="I88" i="5"/>
  <c r="J88" i="5" s="1"/>
  <c r="I89" i="5"/>
  <c r="J89" i="5" s="1"/>
  <c r="I90" i="5"/>
  <c r="J90" i="5" s="1"/>
  <c r="I91" i="5"/>
  <c r="J91" i="5" s="1"/>
  <c r="I92" i="5"/>
  <c r="J92" i="5" s="1"/>
  <c r="I93" i="5"/>
  <c r="J93" i="5" s="1"/>
  <c r="I94" i="5"/>
  <c r="J94" i="5" s="1"/>
  <c r="I95" i="5"/>
  <c r="J95" i="5" s="1"/>
  <c r="I96" i="5"/>
  <c r="J96" i="5" s="1"/>
  <c r="I97" i="5"/>
  <c r="J97" i="5" s="1"/>
  <c r="I98" i="5"/>
  <c r="J98" i="5" s="1"/>
  <c r="I99" i="5"/>
  <c r="J99" i="5" s="1"/>
  <c r="I100" i="5"/>
  <c r="J100" i="5" s="1"/>
  <c r="I101" i="5"/>
  <c r="J101" i="5" s="1"/>
  <c r="I102" i="5"/>
  <c r="J102" i="5" s="1"/>
  <c r="I103" i="5"/>
  <c r="J103" i="5" s="1"/>
  <c r="I104" i="5"/>
  <c r="J104" i="5" s="1"/>
  <c r="I105" i="5"/>
  <c r="J105" i="5" s="1"/>
  <c r="I106" i="5"/>
  <c r="J106" i="5" s="1"/>
  <c r="I107" i="5"/>
  <c r="J107" i="5" s="1"/>
  <c r="I108" i="5"/>
  <c r="J108" i="5" s="1"/>
  <c r="I109" i="5"/>
  <c r="J109" i="5" s="1"/>
  <c r="I110" i="5"/>
  <c r="J110" i="5" s="1"/>
  <c r="I111" i="5"/>
  <c r="J111" i="5" s="1"/>
  <c r="I112" i="5"/>
  <c r="J112" i="5" s="1"/>
  <c r="I113" i="5"/>
  <c r="J113" i="5" s="1"/>
  <c r="I114" i="5"/>
  <c r="J114" i="5" s="1"/>
  <c r="I115" i="5"/>
  <c r="J115" i="5" s="1"/>
  <c r="I116" i="5"/>
  <c r="J116" i="5" s="1"/>
  <c r="I117" i="5"/>
  <c r="J117" i="5" s="1"/>
  <c r="I118" i="5"/>
  <c r="J118" i="5" s="1"/>
  <c r="I119" i="5"/>
  <c r="J119" i="5" s="1"/>
  <c r="I120" i="5"/>
  <c r="J120" i="5" s="1"/>
  <c r="I121" i="5"/>
  <c r="J121" i="5" s="1"/>
  <c r="I122" i="5"/>
  <c r="J122" i="5" s="1"/>
  <c r="I123" i="5"/>
  <c r="J123" i="5" s="1"/>
  <c r="I124" i="5"/>
  <c r="J124" i="5" s="1"/>
  <c r="I125" i="5"/>
  <c r="J125" i="5" s="1"/>
  <c r="I126" i="5"/>
  <c r="J126" i="5" s="1"/>
  <c r="I127" i="5"/>
  <c r="J127" i="5" s="1"/>
  <c r="I128" i="5"/>
  <c r="J128" i="5" s="1"/>
  <c r="I129" i="5"/>
  <c r="J129" i="5" s="1"/>
  <c r="I130" i="5"/>
  <c r="J130" i="5" s="1"/>
  <c r="I131" i="5"/>
  <c r="J131" i="5" s="1"/>
  <c r="I132" i="5"/>
  <c r="J132" i="5" s="1"/>
  <c r="I133" i="5"/>
  <c r="J133" i="5" s="1"/>
  <c r="I134" i="5"/>
  <c r="J134" i="5" s="1"/>
  <c r="I135" i="5"/>
  <c r="J135" i="5" s="1"/>
  <c r="I136" i="5"/>
  <c r="J136" i="5" s="1"/>
  <c r="I137" i="5"/>
  <c r="J137" i="5" s="1"/>
  <c r="I138" i="5"/>
  <c r="J138" i="5" s="1"/>
  <c r="I139" i="5"/>
  <c r="J139" i="5" s="1"/>
  <c r="I140" i="5"/>
  <c r="J140" i="5" s="1"/>
  <c r="I141" i="5"/>
  <c r="J141" i="5" s="1"/>
  <c r="I142" i="5"/>
  <c r="J142" i="5" s="1"/>
  <c r="I143" i="5"/>
  <c r="J143" i="5" s="1"/>
  <c r="I144" i="5"/>
  <c r="J144" i="5" s="1"/>
  <c r="I145" i="5"/>
  <c r="J145" i="5" s="1"/>
  <c r="I146" i="5"/>
  <c r="J146" i="5" s="1"/>
  <c r="I147" i="5"/>
  <c r="J147" i="5" s="1"/>
  <c r="I148" i="5"/>
  <c r="J148" i="5" s="1"/>
  <c r="I149" i="5"/>
  <c r="J149" i="5" s="1"/>
  <c r="I150" i="5"/>
  <c r="J150" i="5" s="1"/>
  <c r="I151" i="5"/>
  <c r="J151" i="5" s="1"/>
  <c r="I152" i="5"/>
  <c r="J152" i="5" s="1"/>
  <c r="I153" i="5"/>
  <c r="J153" i="5" s="1"/>
  <c r="I154" i="5"/>
  <c r="J154" i="5" s="1"/>
  <c r="I155" i="5"/>
  <c r="J155" i="5" s="1"/>
  <c r="I156" i="5"/>
  <c r="J156" i="5" s="1"/>
  <c r="I157" i="5"/>
  <c r="J157" i="5" s="1"/>
  <c r="I158" i="5"/>
  <c r="J158" i="5" s="1"/>
  <c r="I159" i="5"/>
  <c r="J159" i="5" s="1"/>
  <c r="I160" i="5"/>
  <c r="J160" i="5" s="1"/>
  <c r="I161" i="5"/>
  <c r="J161" i="5" s="1"/>
  <c r="I162" i="5"/>
  <c r="J162" i="5" s="1"/>
  <c r="I163" i="5"/>
  <c r="J163" i="5" s="1"/>
  <c r="I164" i="5"/>
  <c r="J164" i="5" s="1"/>
  <c r="I165" i="5"/>
  <c r="J165" i="5" s="1"/>
  <c r="I166" i="5"/>
  <c r="J166" i="5" s="1"/>
  <c r="I167" i="5"/>
  <c r="J167" i="5" s="1"/>
  <c r="I168" i="5"/>
  <c r="J168" i="5" s="1"/>
  <c r="I169" i="5"/>
  <c r="J169" i="5" s="1"/>
  <c r="I170" i="5"/>
  <c r="J170" i="5" s="1"/>
  <c r="I171" i="5"/>
  <c r="J171" i="5" s="1"/>
  <c r="I172" i="5"/>
  <c r="J172" i="5" s="1"/>
  <c r="I173" i="5"/>
  <c r="J173" i="5" s="1"/>
  <c r="I174" i="5"/>
  <c r="J174" i="5" s="1"/>
  <c r="I175" i="5"/>
  <c r="J175" i="5" s="1"/>
  <c r="I176" i="5"/>
  <c r="J176" i="5" s="1"/>
  <c r="I177" i="5"/>
  <c r="J177" i="5" s="1"/>
  <c r="I178" i="5"/>
  <c r="J178" i="5" s="1"/>
  <c r="I179" i="5"/>
  <c r="J179" i="5" s="1"/>
  <c r="I180" i="5"/>
  <c r="J180" i="5" s="1"/>
  <c r="I181" i="5"/>
  <c r="J181" i="5" s="1"/>
  <c r="I182" i="5"/>
  <c r="J182" i="5" s="1"/>
  <c r="I183" i="5"/>
  <c r="J183" i="5" s="1"/>
  <c r="I184" i="5"/>
  <c r="J184" i="5" s="1"/>
  <c r="I185" i="5"/>
  <c r="J185" i="5" s="1"/>
  <c r="I186" i="5"/>
  <c r="J186" i="5" s="1"/>
  <c r="I187" i="5"/>
  <c r="J187" i="5" s="1"/>
  <c r="I188" i="5"/>
  <c r="J188" i="5" s="1"/>
  <c r="I189" i="5"/>
  <c r="J189" i="5" s="1"/>
  <c r="I190" i="5"/>
  <c r="J190" i="5" s="1"/>
  <c r="I191" i="5"/>
  <c r="J191" i="5" s="1"/>
  <c r="I192" i="5"/>
  <c r="J192" i="5" s="1"/>
  <c r="I193" i="5"/>
  <c r="J193" i="5" s="1"/>
  <c r="I194" i="5"/>
  <c r="J194" i="5" s="1"/>
  <c r="I195" i="5"/>
  <c r="J195" i="5" s="1"/>
  <c r="I196" i="5"/>
  <c r="J196" i="5" s="1"/>
  <c r="I197" i="5"/>
  <c r="J197" i="5" s="1"/>
  <c r="I198" i="5"/>
  <c r="J198" i="5" s="1"/>
  <c r="I199" i="5"/>
  <c r="J199" i="5" s="1"/>
  <c r="I200" i="5"/>
  <c r="J200" i="5" s="1"/>
  <c r="I201" i="5"/>
  <c r="J201" i="5" s="1"/>
  <c r="I202" i="5"/>
  <c r="J202" i="5" s="1"/>
  <c r="I203" i="5"/>
  <c r="J203" i="5" s="1"/>
  <c r="I204" i="5"/>
  <c r="J204" i="5" s="1"/>
  <c r="I205" i="5"/>
  <c r="J205" i="5" s="1"/>
  <c r="I206" i="5"/>
  <c r="J206" i="5" s="1"/>
  <c r="I207" i="5"/>
  <c r="J207" i="5" s="1"/>
  <c r="I208" i="5"/>
  <c r="J208" i="5" s="1"/>
  <c r="I209" i="5"/>
  <c r="J209" i="5" s="1"/>
  <c r="I210" i="5"/>
  <c r="J210" i="5" s="1"/>
  <c r="I211" i="5"/>
  <c r="J211" i="5" s="1"/>
  <c r="I212" i="5"/>
  <c r="J212" i="5" s="1"/>
  <c r="I213" i="5"/>
  <c r="J213" i="5" s="1"/>
  <c r="I214" i="5"/>
  <c r="J214" i="5" s="1"/>
  <c r="I215" i="5"/>
  <c r="J215" i="5" s="1"/>
  <c r="I216" i="5"/>
  <c r="J216" i="5" s="1"/>
  <c r="I217" i="5"/>
  <c r="J217" i="5" s="1"/>
  <c r="I218" i="5"/>
  <c r="J218" i="5" s="1"/>
  <c r="I219" i="5"/>
  <c r="J219" i="5" s="1"/>
  <c r="I220" i="5"/>
  <c r="J220" i="5" s="1"/>
  <c r="I221" i="5"/>
  <c r="J221" i="5" s="1"/>
  <c r="I222" i="5"/>
  <c r="J222" i="5" s="1"/>
  <c r="I223" i="5"/>
  <c r="J223" i="5" s="1"/>
  <c r="I224" i="5"/>
  <c r="J224" i="5" s="1"/>
  <c r="I225" i="5"/>
  <c r="J225" i="5" s="1"/>
  <c r="I226" i="5"/>
  <c r="J226" i="5" s="1"/>
  <c r="I227" i="5"/>
  <c r="J227" i="5" s="1"/>
  <c r="I228" i="5"/>
  <c r="J228" i="5" s="1"/>
  <c r="I229" i="5"/>
  <c r="J229" i="5" s="1"/>
  <c r="I230" i="5"/>
  <c r="J230" i="5" s="1"/>
  <c r="I231" i="5"/>
  <c r="J231" i="5" s="1"/>
  <c r="I232" i="5"/>
  <c r="J232" i="5" s="1"/>
  <c r="I233" i="5"/>
  <c r="J233" i="5" s="1"/>
  <c r="I234" i="5"/>
  <c r="J234" i="5" s="1"/>
  <c r="I235" i="5"/>
  <c r="J235" i="5" s="1"/>
  <c r="I236" i="5"/>
  <c r="J236" i="5" s="1"/>
  <c r="I237" i="5"/>
  <c r="J237" i="5" s="1"/>
  <c r="I238" i="5"/>
  <c r="J238" i="5" s="1"/>
  <c r="I239" i="5"/>
  <c r="J239" i="5" s="1"/>
  <c r="I240" i="5"/>
  <c r="J240" i="5" s="1"/>
  <c r="I241" i="5"/>
  <c r="J241" i="5" s="1"/>
  <c r="I242" i="5"/>
  <c r="J242" i="5" s="1"/>
  <c r="I243" i="5"/>
  <c r="J243" i="5" s="1"/>
  <c r="I244" i="5"/>
  <c r="J244" i="5" s="1"/>
  <c r="I245" i="5"/>
  <c r="J245" i="5" s="1"/>
  <c r="I246" i="5"/>
  <c r="J246" i="5" s="1"/>
  <c r="I247" i="5"/>
  <c r="J247" i="5" s="1"/>
  <c r="I248" i="5"/>
  <c r="J248" i="5" s="1"/>
  <c r="I249" i="5"/>
  <c r="J249" i="5" s="1"/>
  <c r="I250" i="5"/>
  <c r="J250" i="5" s="1"/>
  <c r="I251" i="5"/>
  <c r="J251" i="5" s="1"/>
  <c r="I252" i="5"/>
  <c r="J252" i="5" s="1"/>
  <c r="I253" i="5"/>
  <c r="J253" i="5" s="1"/>
  <c r="I254" i="5"/>
  <c r="J254" i="5" s="1"/>
  <c r="I255" i="5"/>
  <c r="J255" i="5" s="1"/>
  <c r="I256" i="5"/>
  <c r="J256" i="5" s="1"/>
  <c r="I257" i="5"/>
  <c r="J257" i="5" s="1"/>
  <c r="I258" i="5"/>
  <c r="J258" i="5" s="1"/>
  <c r="I259" i="5"/>
  <c r="J259" i="5" s="1"/>
  <c r="I260" i="5"/>
  <c r="J260" i="5" s="1"/>
  <c r="I261" i="5"/>
  <c r="J261" i="5" s="1"/>
  <c r="I262" i="5"/>
  <c r="J262" i="5" s="1"/>
  <c r="I263" i="5"/>
  <c r="J263" i="5" s="1"/>
  <c r="I264" i="5"/>
  <c r="J264" i="5" s="1"/>
  <c r="I265" i="5"/>
  <c r="J265" i="5" s="1"/>
  <c r="I266" i="5"/>
  <c r="J266" i="5" s="1"/>
  <c r="I267" i="5"/>
  <c r="J267" i="5" s="1"/>
  <c r="I268" i="5"/>
  <c r="J268" i="5" s="1"/>
  <c r="I269" i="5"/>
  <c r="J269" i="5" s="1"/>
  <c r="I270" i="5"/>
  <c r="J270" i="5" s="1"/>
  <c r="I271" i="5"/>
  <c r="J271" i="5" s="1"/>
  <c r="I272" i="5"/>
  <c r="J272" i="5" s="1"/>
  <c r="I273" i="5"/>
  <c r="J273" i="5" s="1"/>
  <c r="I274" i="5"/>
  <c r="J274" i="5" s="1"/>
  <c r="I275" i="5"/>
  <c r="J275" i="5" s="1"/>
  <c r="I276" i="5"/>
  <c r="J276" i="5" s="1"/>
  <c r="I277" i="5"/>
  <c r="J277" i="5" s="1"/>
  <c r="I278" i="5"/>
  <c r="J278" i="5" s="1"/>
  <c r="I279" i="5"/>
  <c r="J279" i="5" s="1"/>
  <c r="I280" i="5"/>
  <c r="J280" i="5" s="1"/>
  <c r="I281" i="5"/>
  <c r="J281" i="5" s="1"/>
  <c r="I282" i="5"/>
  <c r="J282" i="5" s="1"/>
  <c r="I283" i="5"/>
  <c r="J283" i="5" s="1"/>
  <c r="I284" i="5"/>
  <c r="J284" i="5" s="1"/>
  <c r="I285" i="5"/>
  <c r="J285" i="5" s="1"/>
  <c r="I286" i="5"/>
  <c r="J286" i="5" s="1"/>
  <c r="I287" i="5"/>
  <c r="J287" i="5" s="1"/>
  <c r="I288" i="5"/>
  <c r="I289" i="5"/>
  <c r="J289" i="5" s="1"/>
  <c r="I290" i="5"/>
  <c r="J290" i="5" s="1"/>
  <c r="I291" i="5"/>
  <c r="J291" i="5" s="1"/>
  <c r="I292" i="5"/>
  <c r="J292" i="5" s="1"/>
  <c r="I293" i="5"/>
  <c r="J293" i="5" s="1"/>
  <c r="I294" i="5"/>
  <c r="J294" i="5" s="1"/>
  <c r="I295" i="5"/>
  <c r="J295" i="5" s="1"/>
  <c r="I296" i="5"/>
  <c r="J296" i="5" s="1"/>
  <c r="I297" i="5"/>
  <c r="J297" i="5" s="1"/>
  <c r="I298" i="5"/>
  <c r="J298" i="5" s="1"/>
  <c r="I299" i="5"/>
  <c r="J299" i="5" s="1"/>
  <c r="I300" i="5"/>
  <c r="J300" i="5" s="1"/>
  <c r="I301" i="5"/>
  <c r="J301" i="5" s="1"/>
  <c r="I302" i="5"/>
  <c r="J302" i="5" s="1"/>
  <c r="I303" i="5"/>
  <c r="J303" i="5" s="1"/>
  <c r="I304" i="5"/>
  <c r="J304" i="5" s="1"/>
  <c r="I305" i="5"/>
  <c r="J305" i="5" s="1"/>
  <c r="I306" i="5"/>
  <c r="J306" i="5" s="1"/>
  <c r="I307" i="5"/>
  <c r="J307" i="5" s="1"/>
  <c r="I308" i="5"/>
  <c r="J308" i="5" s="1"/>
  <c r="I309" i="5"/>
  <c r="J309" i="5" s="1"/>
  <c r="I310" i="5"/>
  <c r="J310" i="5" s="1"/>
  <c r="I311" i="5"/>
  <c r="J311" i="5" s="1"/>
  <c r="I312" i="5"/>
  <c r="J312" i="5" s="1"/>
  <c r="I313" i="5"/>
  <c r="J313" i="5" s="1"/>
  <c r="I314" i="5"/>
  <c r="J314" i="5" s="1"/>
  <c r="I315" i="5"/>
  <c r="J315" i="5" s="1"/>
  <c r="I316" i="5"/>
  <c r="J316" i="5" s="1"/>
  <c r="I317" i="5"/>
  <c r="J317" i="5" s="1"/>
  <c r="I318" i="5"/>
  <c r="J318" i="5" s="1"/>
  <c r="I319" i="5"/>
  <c r="J319" i="5" s="1"/>
  <c r="I320" i="5"/>
  <c r="J320" i="5" s="1"/>
  <c r="I321" i="5"/>
  <c r="J321" i="5" s="1"/>
  <c r="I322" i="5"/>
  <c r="J322" i="5" s="1"/>
  <c r="I323" i="5"/>
  <c r="J323" i="5" s="1"/>
  <c r="I324" i="5"/>
  <c r="J324" i="5" s="1"/>
  <c r="I325" i="5"/>
  <c r="J325" i="5" s="1"/>
  <c r="I326" i="5"/>
  <c r="J326" i="5" s="1"/>
  <c r="I327" i="5"/>
  <c r="J327" i="5" s="1"/>
  <c r="I328" i="5"/>
  <c r="J328" i="5" s="1"/>
  <c r="I329" i="5"/>
  <c r="J329" i="5" s="1"/>
  <c r="I330" i="5"/>
  <c r="J330" i="5" s="1"/>
  <c r="I331" i="5"/>
  <c r="J331" i="5" s="1"/>
  <c r="I332" i="5"/>
  <c r="J332" i="5" s="1"/>
  <c r="I333" i="5"/>
  <c r="J333" i="5" s="1"/>
  <c r="I334" i="5"/>
  <c r="J334" i="5" s="1"/>
  <c r="I335" i="5"/>
  <c r="J335" i="5" s="1"/>
  <c r="I336" i="5"/>
  <c r="J336" i="5" s="1"/>
  <c r="I337" i="5"/>
  <c r="J337" i="5" s="1"/>
  <c r="I338" i="5"/>
  <c r="J338" i="5" s="1"/>
  <c r="I339" i="5"/>
  <c r="J339" i="5" s="1"/>
  <c r="I340" i="5"/>
  <c r="J340" i="5" s="1"/>
  <c r="I341" i="5"/>
  <c r="J341" i="5" s="1"/>
  <c r="I342" i="5"/>
  <c r="J342" i="5" s="1"/>
  <c r="I343" i="5"/>
  <c r="J343" i="5" s="1"/>
  <c r="I344" i="5"/>
  <c r="J344" i="5" s="1"/>
  <c r="I345" i="5"/>
  <c r="J345" i="5" s="1"/>
  <c r="I346" i="5"/>
  <c r="J346" i="5" s="1"/>
  <c r="I347" i="5"/>
  <c r="J347" i="5" s="1"/>
  <c r="I348" i="5"/>
  <c r="J348" i="5" s="1"/>
  <c r="I349" i="5"/>
  <c r="J349" i="5" s="1"/>
  <c r="I350" i="5"/>
  <c r="J350" i="5" s="1"/>
  <c r="I351" i="5"/>
  <c r="J351" i="5" s="1"/>
  <c r="I352" i="5"/>
  <c r="J352" i="5" s="1"/>
  <c r="I353" i="5"/>
  <c r="J353" i="5" s="1"/>
  <c r="I354" i="5"/>
  <c r="J354" i="5" s="1"/>
  <c r="I355" i="5"/>
  <c r="J355" i="5" s="1"/>
  <c r="I356" i="5"/>
  <c r="J356" i="5" s="1"/>
  <c r="I357" i="5"/>
  <c r="J357" i="5" s="1"/>
  <c r="I358" i="5"/>
  <c r="J358" i="5" s="1"/>
  <c r="I359" i="5"/>
  <c r="J359" i="5" s="1"/>
  <c r="I360" i="5"/>
  <c r="J360" i="5" s="1"/>
  <c r="I361" i="5"/>
  <c r="J361" i="5" s="1"/>
  <c r="I362" i="5"/>
  <c r="J362" i="5" s="1"/>
  <c r="I363" i="5"/>
  <c r="J363" i="5" s="1"/>
  <c r="I364" i="5"/>
  <c r="J364" i="5" s="1"/>
  <c r="I365" i="5"/>
  <c r="J365" i="5" s="1"/>
  <c r="I366" i="5"/>
  <c r="J366" i="5" s="1"/>
  <c r="I367" i="5"/>
  <c r="J367" i="5" s="1"/>
  <c r="I368" i="5"/>
  <c r="J368" i="5" s="1"/>
  <c r="I369" i="5"/>
  <c r="J369" i="5" s="1"/>
  <c r="I370" i="5"/>
  <c r="J370" i="5" s="1"/>
  <c r="I371" i="5"/>
  <c r="J371" i="5" s="1"/>
  <c r="I372" i="5"/>
  <c r="J372" i="5" s="1"/>
  <c r="I373" i="5"/>
  <c r="J373" i="5" s="1"/>
  <c r="I374" i="5"/>
  <c r="J374" i="5" s="1"/>
  <c r="I375" i="5"/>
  <c r="J375" i="5" s="1"/>
  <c r="I376" i="5"/>
  <c r="J376" i="5" s="1"/>
  <c r="I377" i="5"/>
  <c r="J377" i="5" s="1"/>
  <c r="I378" i="5"/>
  <c r="J378" i="5" s="1"/>
  <c r="I379" i="5"/>
  <c r="J379" i="5" s="1"/>
  <c r="I380" i="5"/>
  <c r="J380" i="5" s="1"/>
  <c r="I381" i="5"/>
  <c r="J381" i="5" s="1"/>
  <c r="I382" i="5"/>
  <c r="J382" i="5" s="1"/>
  <c r="I383" i="5"/>
  <c r="J383" i="5" s="1"/>
  <c r="I384" i="5"/>
  <c r="J384" i="5" s="1"/>
  <c r="I385" i="5"/>
  <c r="J385" i="5" s="1"/>
  <c r="I386" i="5"/>
  <c r="J386" i="5" s="1"/>
  <c r="I387" i="5"/>
  <c r="J387" i="5" s="1"/>
  <c r="I388" i="5"/>
  <c r="J388" i="5" s="1"/>
  <c r="I389" i="5"/>
  <c r="J389" i="5" s="1"/>
  <c r="I390" i="5"/>
  <c r="J390" i="5" s="1"/>
  <c r="I391" i="5"/>
  <c r="J391" i="5" s="1"/>
  <c r="I392" i="5"/>
  <c r="J392" i="5" s="1"/>
  <c r="I393" i="5"/>
  <c r="J393" i="5" s="1"/>
  <c r="I394" i="5"/>
  <c r="J394" i="5" s="1"/>
  <c r="I395" i="5"/>
  <c r="J395" i="5" s="1"/>
  <c r="I396" i="5"/>
  <c r="J396" i="5" s="1"/>
  <c r="I397" i="5"/>
  <c r="J397" i="5" s="1"/>
  <c r="I398" i="5"/>
  <c r="J398" i="5" s="1"/>
  <c r="I399" i="5"/>
  <c r="J399" i="5" s="1"/>
  <c r="I400" i="5"/>
  <c r="J400" i="5" s="1"/>
  <c r="I401" i="5"/>
  <c r="J401" i="5" s="1"/>
  <c r="I402" i="5"/>
  <c r="J402" i="5" s="1"/>
  <c r="I403" i="5"/>
  <c r="J403" i="5" s="1"/>
  <c r="I404" i="5"/>
  <c r="J404" i="5" s="1"/>
  <c r="I405" i="5"/>
  <c r="J405" i="5" s="1"/>
  <c r="I406" i="5"/>
  <c r="J406" i="5" s="1"/>
  <c r="I407" i="5"/>
  <c r="J407" i="5" s="1"/>
  <c r="I408" i="5"/>
  <c r="J408" i="5" s="1"/>
  <c r="I409" i="5"/>
  <c r="J409" i="5" s="1"/>
  <c r="I410" i="5"/>
  <c r="J410" i="5" s="1"/>
  <c r="I411" i="5"/>
  <c r="J411" i="5" s="1"/>
  <c r="I412" i="5"/>
  <c r="J412" i="5" s="1"/>
  <c r="I413" i="5"/>
  <c r="J413" i="5" s="1"/>
  <c r="I414" i="5"/>
  <c r="J414" i="5" s="1"/>
  <c r="I415" i="5"/>
  <c r="J415" i="5" s="1"/>
  <c r="I416" i="5"/>
  <c r="I417" i="5"/>
  <c r="J417" i="5" s="1"/>
  <c r="I418" i="5"/>
  <c r="J418" i="5" s="1"/>
  <c r="I419" i="5"/>
  <c r="J419" i="5" s="1"/>
  <c r="I420" i="5"/>
  <c r="J420" i="5" s="1"/>
  <c r="I421" i="5"/>
  <c r="J421" i="5" s="1"/>
  <c r="I422" i="5"/>
  <c r="J422" i="5" s="1"/>
  <c r="I423" i="5"/>
  <c r="J423" i="5" s="1"/>
  <c r="I424" i="5"/>
  <c r="J424" i="5" s="1"/>
  <c r="I425" i="5"/>
  <c r="J425" i="5" s="1"/>
  <c r="I426" i="5"/>
  <c r="J426" i="5" s="1"/>
  <c r="I427" i="5"/>
  <c r="J427" i="5" s="1"/>
  <c r="I428" i="5"/>
  <c r="J428" i="5" s="1"/>
  <c r="I429" i="5"/>
  <c r="J429" i="5" s="1"/>
  <c r="I430" i="5"/>
  <c r="J430" i="5" s="1"/>
  <c r="I431" i="5"/>
  <c r="J431" i="5" s="1"/>
  <c r="I432" i="5"/>
  <c r="J432" i="5" s="1"/>
  <c r="I433" i="5"/>
  <c r="J433" i="5" s="1"/>
  <c r="I434" i="5"/>
  <c r="J434" i="5" s="1"/>
  <c r="I435" i="5"/>
  <c r="J435" i="5" s="1"/>
  <c r="I436" i="5"/>
  <c r="J436" i="5" s="1"/>
  <c r="I437" i="5"/>
  <c r="J437" i="5" s="1"/>
  <c r="I438" i="5"/>
  <c r="J438" i="5" s="1"/>
  <c r="I439" i="5"/>
  <c r="J439" i="5" s="1"/>
  <c r="I440" i="5"/>
  <c r="J440" i="5" s="1"/>
  <c r="I441" i="5"/>
  <c r="J441" i="5" s="1"/>
  <c r="I442" i="5"/>
  <c r="J442" i="5" s="1"/>
  <c r="I443" i="5"/>
  <c r="J443" i="5" s="1"/>
  <c r="I444" i="5"/>
  <c r="J444" i="5" s="1"/>
  <c r="I445" i="5"/>
  <c r="J445" i="5" s="1"/>
  <c r="I446" i="5"/>
  <c r="J446" i="5" s="1"/>
  <c r="I447" i="5"/>
  <c r="J447" i="5" s="1"/>
  <c r="I448" i="5"/>
  <c r="J448" i="5" s="1"/>
  <c r="I449" i="5"/>
  <c r="J449" i="5" s="1"/>
  <c r="I450" i="5"/>
  <c r="J450" i="5" s="1"/>
  <c r="I451" i="5"/>
  <c r="J451" i="5" s="1"/>
  <c r="I452" i="5"/>
  <c r="J452" i="5" s="1"/>
  <c r="I453" i="5"/>
  <c r="J453" i="5" s="1"/>
  <c r="I454" i="5"/>
  <c r="J454" i="5" s="1"/>
  <c r="I455" i="5"/>
  <c r="J455" i="5" s="1"/>
  <c r="I456" i="5"/>
  <c r="J456" i="5" s="1"/>
  <c r="I457" i="5"/>
  <c r="J457" i="5" s="1"/>
  <c r="I458" i="5"/>
  <c r="J458" i="5" s="1"/>
  <c r="I459" i="5"/>
  <c r="J459" i="5" s="1"/>
  <c r="I460" i="5"/>
  <c r="J460" i="5" s="1"/>
  <c r="I461" i="5"/>
  <c r="J461" i="5" s="1"/>
  <c r="I462" i="5"/>
  <c r="J462" i="5" s="1"/>
  <c r="I463" i="5"/>
  <c r="J463" i="5" s="1"/>
  <c r="I464" i="5"/>
  <c r="J464" i="5" s="1"/>
  <c r="I465" i="5"/>
  <c r="J465" i="5" s="1"/>
  <c r="I466" i="5"/>
  <c r="J466" i="5" s="1"/>
  <c r="I467" i="5"/>
  <c r="J467" i="5" s="1"/>
  <c r="I468" i="5"/>
  <c r="J468" i="5" s="1"/>
  <c r="I469" i="5"/>
  <c r="J469" i="5" s="1"/>
  <c r="I470" i="5"/>
  <c r="J470" i="5" s="1"/>
  <c r="I471" i="5"/>
  <c r="J471" i="5" s="1"/>
  <c r="I472" i="5"/>
  <c r="J472" i="5" s="1"/>
  <c r="I473" i="5"/>
  <c r="J473" i="5" s="1"/>
  <c r="I474" i="5"/>
  <c r="J474" i="5" s="1"/>
  <c r="I475" i="5"/>
  <c r="J475" i="5" s="1"/>
  <c r="I476" i="5"/>
  <c r="J476" i="5" s="1"/>
  <c r="I477" i="5"/>
  <c r="J477" i="5" s="1"/>
  <c r="I478" i="5"/>
  <c r="J478" i="5" s="1"/>
  <c r="I479" i="5"/>
  <c r="J479" i="5" s="1"/>
  <c r="I480" i="5"/>
  <c r="J480" i="5" s="1"/>
  <c r="I481" i="5"/>
  <c r="J481" i="5" s="1"/>
  <c r="I482" i="5"/>
  <c r="J482" i="5" s="1"/>
  <c r="I483" i="5"/>
  <c r="J483" i="5" s="1"/>
  <c r="I484" i="5"/>
  <c r="J484" i="5" s="1"/>
  <c r="I485" i="5"/>
  <c r="J485" i="5" s="1"/>
  <c r="I486" i="5"/>
  <c r="J486" i="5" s="1"/>
  <c r="I487" i="5"/>
  <c r="J487" i="5" s="1"/>
  <c r="I488" i="5"/>
  <c r="J488" i="5" s="1"/>
  <c r="I489" i="5"/>
  <c r="J489" i="5" s="1"/>
  <c r="I490" i="5"/>
  <c r="J490" i="5" s="1"/>
  <c r="I491" i="5"/>
  <c r="J491" i="5" s="1"/>
  <c r="I492" i="5"/>
  <c r="J492" i="5" s="1"/>
  <c r="I493" i="5"/>
  <c r="J493" i="5" s="1"/>
  <c r="I494" i="5"/>
  <c r="J494" i="5" s="1"/>
  <c r="I495" i="5"/>
  <c r="J495" i="5" s="1"/>
  <c r="I496" i="5"/>
  <c r="J496" i="5" s="1"/>
  <c r="I497" i="5"/>
  <c r="J497" i="5" s="1"/>
  <c r="I498" i="5"/>
  <c r="J498" i="5" s="1"/>
  <c r="I499" i="5"/>
  <c r="J499" i="5" s="1"/>
  <c r="I500" i="5"/>
  <c r="J500" i="5" s="1"/>
  <c r="I501" i="5"/>
  <c r="J501" i="5" s="1"/>
  <c r="I502" i="5"/>
  <c r="J502" i="5" s="1"/>
  <c r="I503" i="5"/>
  <c r="J503" i="5" s="1"/>
  <c r="I504" i="5"/>
  <c r="J504" i="5" s="1"/>
  <c r="I505" i="5"/>
  <c r="J505" i="5" s="1"/>
  <c r="I506" i="5"/>
  <c r="J506" i="5" s="1"/>
  <c r="I507" i="5"/>
  <c r="J507" i="5" s="1"/>
  <c r="I508" i="5"/>
  <c r="J508" i="5" s="1"/>
  <c r="I509" i="5"/>
  <c r="J509" i="5" s="1"/>
  <c r="I510" i="5"/>
  <c r="J510" i="5" s="1"/>
  <c r="I511" i="5"/>
  <c r="J511" i="5" s="1"/>
  <c r="I512" i="5"/>
  <c r="J512" i="5" s="1"/>
  <c r="I513" i="5"/>
  <c r="J513" i="5" s="1"/>
  <c r="I514" i="5"/>
  <c r="J514" i="5" s="1"/>
  <c r="I515" i="5"/>
  <c r="J515" i="5" s="1"/>
  <c r="I516" i="5"/>
  <c r="J516" i="5" s="1"/>
  <c r="I517" i="5"/>
  <c r="J517" i="5" s="1"/>
  <c r="I518" i="5"/>
  <c r="J518" i="5" s="1"/>
  <c r="I519" i="5"/>
  <c r="J519" i="5" s="1"/>
  <c r="I520" i="5"/>
  <c r="J520" i="5" s="1"/>
  <c r="I521" i="5"/>
  <c r="J521" i="5" s="1"/>
  <c r="I522" i="5"/>
  <c r="J522" i="5" s="1"/>
  <c r="I523" i="5"/>
  <c r="J523" i="5" s="1"/>
  <c r="I524" i="5"/>
  <c r="J524" i="5" s="1"/>
  <c r="I525" i="5"/>
  <c r="J525" i="5" s="1"/>
  <c r="I526" i="5"/>
  <c r="J526" i="5" s="1"/>
  <c r="I527" i="5"/>
  <c r="J527" i="5" s="1"/>
  <c r="I528" i="5"/>
  <c r="J528" i="5" s="1"/>
  <c r="I529" i="5"/>
  <c r="J529" i="5" s="1"/>
  <c r="I530" i="5"/>
  <c r="J530" i="5" s="1"/>
  <c r="I531" i="5"/>
  <c r="J531" i="5" s="1"/>
  <c r="I532" i="5"/>
  <c r="J532" i="5" s="1"/>
  <c r="I533" i="5"/>
  <c r="J533" i="5" s="1"/>
  <c r="I534" i="5"/>
  <c r="J534" i="5" s="1"/>
  <c r="I535" i="5"/>
  <c r="J535" i="5" s="1"/>
  <c r="I536" i="5"/>
  <c r="J536" i="5" s="1"/>
  <c r="I537" i="5"/>
  <c r="J537" i="5" s="1"/>
  <c r="I538" i="5"/>
  <c r="J538" i="5" s="1"/>
  <c r="I539" i="5"/>
  <c r="J539" i="5" s="1"/>
  <c r="I540" i="5"/>
  <c r="J540" i="5" s="1"/>
  <c r="I541" i="5"/>
  <c r="J541" i="5" s="1"/>
  <c r="I542" i="5"/>
  <c r="J542" i="5" s="1"/>
  <c r="I543" i="5"/>
  <c r="J543" i="5" s="1"/>
  <c r="I544" i="5"/>
  <c r="J544" i="5" s="1"/>
  <c r="I545" i="5"/>
  <c r="J545" i="5" s="1"/>
  <c r="I546" i="5"/>
  <c r="J546" i="5" s="1"/>
  <c r="I547" i="5"/>
  <c r="J547" i="5" s="1"/>
  <c r="I548" i="5"/>
  <c r="J548" i="5" s="1"/>
  <c r="I549" i="5"/>
  <c r="J549" i="5" s="1"/>
  <c r="I550" i="5"/>
  <c r="J550" i="5" s="1"/>
  <c r="I551" i="5"/>
  <c r="J551" i="5" s="1"/>
  <c r="I552" i="5"/>
  <c r="J552" i="5" s="1"/>
  <c r="I553" i="5"/>
  <c r="J553" i="5" s="1"/>
  <c r="I554" i="5"/>
  <c r="J554" i="5" s="1"/>
  <c r="I555" i="5"/>
  <c r="J555" i="5" s="1"/>
  <c r="I556" i="5"/>
  <c r="J556" i="5" s="1"/>
  <c r="I557" i="5"/>
  <c r="J557" i="5" s="1"/>
  <c r="I558" i="5"/>
  <c r="J558" i="5" s="1"/>
  <c r="I559" i="5"/>
  <c r="J559" i="5" s="1"/>
  <c r="I560" i="5"/>
  <c r="J560" i="5" s="1"/>
  <c r="I561" i="5"/>
  <c r="J561" i="5" s="1"/>
  <c r="I562" i="5"/>
  <c r="J562" i="5" s="1"/>
  <c r="I563" i="5"/>
  <c r="J563" i="5" s="1"/>
  <c r="I564" i="5"/>
  <c r="J564" i="5" s="1"/>
  <c r="I565" i="5"/>
  <c r="J565" i="5" s="1"/>
  <c r="I566" i="5"/>
  <c r="J566" i="5" s="1"/>
  <c r="I567" i="5"/>
  <c r="J567" i="5" s="1"/>
  <c r="I568" i="5"/>
  <c r="J568" i="5" s="1"/>
  <c r="I569" i="5"/>
  <c r="J569" i="5" s="1"/>
  <c r="I570" i="5"/>
  <c r="J570" i="5" s="1"/>
  <c r="I571" i="5"/>
  <c r="J571" i="5" s="1"/>
  <c r="I572" i="5"/>
  <c r="J572" i="5" s="1"/>
  <c r="I573" i="5"/>
  <c r="J573" i="5" s="1"/>
  <c r="I574" i="5"/>
  <c r="J574" i="5" s="1"/>
  <c r="I575" i="5"/>
  <c r="J575" i="5" s="1"/>
  <c r="I576" i="5"/>
  <c r="J576" i="5" s="1"/>
  <c r="I577" i="5"/>
  <c r="J577" i="5" s="1"/>
  <c r="I578" i="5"/>
  <c r="J578" i="5" s="1"/>
  <c r="I579" i="5"/>
  <c r="J579" i="5" s="1"/>
  <c r="I580" i="5"/>
  <c r="J580" i="5" s="1"/>
  <c r="I581" i="5"/>
  <c r="J581" i="5" s="1"/>
  <c r="I582" i="5"/>
  <c r="J582" i="5" s="1"/>
  <c r="I583" i="5"/>
  <c r="J583" i="5" s="1"/>
  <c r="I584" i="5"/>
  <c r="J584" i="5" s="1"/>
  <c r="I585" i="5"/>
  <c r="J585" i="5" s="1"/>
  <c r="I586" i="5"/>
  <c r="J586" i="5" s="1"/>
  <c r="I587" i="5"/>
  <c r="J587" i="5" s="1"/>
  <c r="I588" i="5"/>
  <c r="J588" i="5" s="1"/>
  <c r="I589" i="5"/>
  <c r="J589" i="5" s="1"/>
  <c r="I590" i="5"/>
  <c r="J590" i="5" s="1"/>
  <c r="I591" i="5"/>
  <c r="J591" i="5" s="1"/>
  <c r="I592" i="5"/>
  <c r="J592" i="5" s="1"/>
  <c r="I593" i="5"/>
  <c r="J593" i="5" s="1"/>
  <c r="I594" i="5"/>
  <c r="J594" i="5" s="1"/>
  <c r="I595" i="5"/>
  <c r="J595" i="5" s="1"/>
  <c r="I596" i="5"/>
  <c r="J596" i="5" s="1"/>
  <c r="I597" i="5"/>
  <c r="J597" i="5" s="1"/>
  <c r="I598" i="5"/>
  <c r="J598" i="5" s="1"/>
  <c r="I599" i="5"/>
  <c r="J599" i="5" s="1"/>
  <c r="I600" i="5"/>
  <c r="J600" i="5" s="1"/>
  <c r="I601" i="5"/>
  <c r="J601" i="5" s="1"/>
  <c r="I602" i="5"/>
  <c r="J602" i="5" s="1"/>
  <c r="I603" i="5"/>
  <c r="J603" i="5" s="1"/>
  <c r="I604" i="5"/>
  <c r="J604" i="5" s="1"/>
  <c r="I605" i="5"/>
  <c r="J605" i="5" s="1"/>
  <c r="I606" i="5"/>
  <c r="J606" i="5" s="1"/>
  <c r="I607" i="5"/>
  <c r="J607" i="5" s="1"/>
  <c r="I608" i="5"/>
  <c r="J608" i="5" s="1"/>
  <c r="I609" i="5"/>
  <c r="J609" i="5" s="1"/>
  <c r="I610" i="5"/>
  <c r="J610" i="5" s="1"/>
  <c r="I611" i="5"/>
  <c r="J611" i="5" s="1"/>
  <c r="I612" i="5"/>
  <c r="J612" i="5" s="1"/>
  <c r="I613" i="5"/>
  <c r="J613" i="5" s="1"/>
  <c r="I614" i="5"/>
  <c r="J614" i="5" s="1"/>
  <c r="I615" i="5"/>
  <c r="J615" i="5" s="1"/>
  <c r="I616" i="5"/>
  <c r="J616" i="5" s="1"/>
  <c r="I617" i="5"/>
  <c r="J617" i="5" s="1"/>
  <c r="I618" i="5"/>
  <c r="J618" i="5" s="1"/>
  <c r="I619" i="5"/>
  <c r="J619" i="5" s="1"/>
  <c r="I620" i="5"/>
  <c r="J620" i="5" s="1"/>
  <c r="I621" i="5"/>
  <c r="J621" i="5" s="1"/>
  <c r="I622" i="5"/>
  <c r="J622" i="5" s="1"/>
  <c r="I623" i="5"/>
  <c r="J623" i="5" s="1"/>
  <c r="I624" i="5"/>
  <c r="J624" i="5" s="1"/>
  <c r="I625" i="5"/>
  <c r="J625" i="5" s="1"/>
  <c r="I626" i="5"/>
  <c r="J626" i="5" s="1"/>
  <c r="I627" i="5"/>
  <c r="J627" i="5" s="1"/>
  <c r="I628" i="5"/>
  <c r="J628" i="5" s="1"/>
  <c r="I629" i="5"/>
  <c r="J629" i="5" s="1"/>
  <c r="I630" i="5"/>
  <c r="J630" i="5" s="1"/>
  <c r="I631" i="5"/>
  <c r="J631" i="5" s="1"/>
  <c r="I632" i="5"/>
  <c r="J632" i="5" s="1"/>
  <c r="I633" i="5"/>
  <c r="J633" i="5" s="1"/>
  <c r="I634" i="5"/>
  <c r="J634" i="5" s="1"/>
  <c r="I635" i="5"/>
  <c r="J635" i="5" s="1"/>
  <c r="I636" i="5"/>
  <c r="J636" i="5" s="1"/>
  <c r="I637" i="5"/>
  <c r="J637" i="5" s="1"/>
  <c r="I638" i="5"/>
  <c r="J638" i="5" s="1"/>
  <c r="I639" i="5"/>
  <c r="J639" i="5" s="1"/>
  <c r="I640" i="5"/>
  <c r="J640" i="5" s="1"/>
  <c r="I641" i="5"/>
  <c r="J641" i="5" s="1"/>
  <c r="I642" i="5"/>
  <c r="J642" i="5" s="1"/>
  <c r="I643" i="5"/>
  <c r="J643" i="5" s="1"/>
  <c r="I644" i="5"/>
  <c r="J644" i="5" s="1"/>
  <c r="I645" i="5"/>
  <c r="J645" i="5" s="1"/>
  <c r="I646" i="5"/>
  <c r="J646" i="5" s="1"/>
  <c r="I647" i="5"/>
  <c r="J647" i="5" s="1"/>
  <c r="I648" i="5"/>
  <c r="J648" i="5" s="1"/>
  <c r="I649" i="5"/>
  <c r="J649" i="5" s="1"/>
  <c r="I650" i="5"/>
  <c r="J650" i="5" s="1"/>
  <c r="I651" i="5"/>
  <c r="J651" i="5" s="1"/>
  <c r="I652" i="5"/>
  <c r="J652" i="5" s="1"/>
  <c r="I653" i="5"/>
  <c r="J653" i="5" s="1"/>
  <c r="I654" i="5"/>
  <c r="J654" i="5" s="1"/>
  <c r="I655" i="5"/>
  <c r="J655" i="5" s="1"/>
  <c r="I656" i="5"/>
  <c r="J656" i="5" s="1"/>
  <c r="I657" i="5"/>
  <c r="J657" i="5" s="1"/>
  <c r="I658" i="5"/>
  <c r="J658" i="5" s="1"/>
  <c r="I659" i="5"/>
  <c r="J659" i="5" s="1"/>
  <c r="I660" i="5"/>
  <c r="J660" i="5" s="1"/>
  <c r="I661" i="5"/>
  <c r="J661" i="5" s="1"/>
  <c r="I662" i="5"/>
  <c r="J662" i="5" s="1"/>
  <c r="I663" i="5"/>
  <c r="J663" i="5" s="1"/>
  <c r="I664" i="5"/>
  <c r="J664" i="5" s="1"/>
  <c r="I665" i="5"/>
  <c r="J665" i="5" s="1"/>
  <c r="I666" i="5"/>
  <c r="J666" i="5" s="1"/>
  <c r="I667" i="5"/>
  <c r="J667" i="5" s="1"/>
  <c r="I668" i="5"/>
  <c r="J668" i="5" s="1"/>
  <c r="I669" i="5"/>
  <c r="J669" i="5" s="1"/>
  <c r="I670" i="5"/>
  <c r="J670" i="5" s="1"/>
  <c r="I671" i="5"/>
  <c r="J671" i="5" s="1"/>
  <c r="I672" i="5"/>
  <c r="J672" i="5" s="1"/>
  <c r="I673" i="5"/>
  <c r="J673" i="5" s="1"/>
  <c r="I674" i="5"/>
  <c r="J674" i="5" s="1"/>
  <c r="I675" i="5"/>
  <c r="J675" i="5" s="1"/>
  <c r="I676" i="5"/>
  <c r="J676" i="5" s="1"/>
  <c r="I677" i="5"/>
  <c r="J677" i="5" s="1"/>
  <c r="I678" i="5"/>
  <c r="J678" i="5" s="1"/>
  <c r="I679" i="5"/>
  <c r="J679" i="5" s="1"/>
  <c r="I680" i="5"/>
  <c r="J680" i="5" s="1"/>
  <c r="I681" i="5"/>
  <c r="J681" i="5" s="1"/>
  <c r="I682" i="5"/>
  <c r="J682" i="5" s="1"/>
  <c r="I683" i="5"/>
  <c r="J683" i="5" s="1"/>
  <c r="I684" i="5"/>
  <c r="J684" i="5" s="1"/>
  <c r="I685" i="5"/>
  <c r="J685" i="5" s="1"/>
  <c r="I686" i="5"/>
  <c r="J686" i="5" s="1"/>
  <c r="I687" i="5"/>
  <c r="J687" i="5" s="1"/>
  <c r="I688" i="5"/>
  <c r="J688" i="5" s="1"/>
  <c r="I689" i="5"/>
  <c r="J689" i="5" s="1"/>
  <c r="I690" i="5"/>
  <c r="J690" i="5" s="1"/>
  <c r="I691" i="5"/>
  <c r="J691" i="5" s="1"/>
  <c r="I692" i="5"/>
  <c r="J692" i="5" s="1"/>
  <c r="I693" i="5"/>
  <c r="J693" i="5" s="1"/>
  <c r="I694" i="5"/>
  <c r="J694" i="5" s="1"/>
  <c r="I695" i="5"/>
  <c r="J695" i="5" s="1"/>
  <c r="I696" i="5"/>
  <c r="J696" i="5" s="1"/>
  <c r="I697" i="5"/>
  <c r="J697" i="5" s="1"/>
  <c r="I698" i="5"/>
  <c r="J698" i="5" s="1"/>
  <c r="I699" i="5"/>
  <c r="J699" i="5" s="1"/>
  <c r="I700" i="5"/>
  <c r="J700" i="5" s="1"/>
  <c r="I701" i="5"/>
  <c r="J701" i="5" s="1"/>
  <c r="I702" i="5"/>
  <c r="J702" i="5" s="1"/>
  <c r="I703" i="5"/>
  <c r="J703" i="5" s="1"/>
  <c r="I704" i="5"/>
  <c r="J704" i="5" s="1"/>
  <c r="I705" i="5"/>
  <c r="J705" i="5" s="1"/>
  <c r="I706" i="5"/>
  <c r="J706" i="5" s="1"/>
  <c r="I707" i="5"/>
  <c r="J707" i="5" s="1"/>
  <c r="I708" i="5"/>
  <c r="J708" i="5" s="1"/>
  <c r="I709" i="5"/>
  <c r="J709" i="5" s="1"/>
  <c r="I710" i="5"/>
  <c r="J710" i="5" s="1"/>
  <c r="I711" i="5"/>
  <c r="J711" i="5" s="1"/>
  <c r="I712" i="5"/>
  <c r="J712" i="5" s="1"/>
  <c r="I713" i="5"/>
  <c r="J713" i="5" s="1"/>
  <c r="I714" i="5"/>
  <c r="J714" i="5" s="1"/>
  <c r="I715" i="5"/>
  <c r="J715" i="5" s="1"/>
  <c r="I716" i="5"/>
  <c r="J716" i="5" s="1"/>
  <c r="I717" i="5"/>
  <c r="J717" i="5" s="1"/>
  <c r="I718" i="5"/>
  <c r="J718" i="5" s="1"/>
  <c r="I719" i="5"/>
  <c r="J719" i="5" s="1"/>
  <c r="I720" i="5"/>
  <c r="J720" i="5" s="1"/>
  <c r="I721" i="5"/>
  <c r="J721" i="5" s="1"/>
  <c r="I722" i="5"/>
  <c r="J722" i="5" s="1"/>
  <c r="I723" i="5"/>
  <c r="J723" i="5" s="1"/>
  <c r="I724" i="5"/>
  <c r="J724" i="5" s="1"/>
  <c r="I725" i="5"/>
  <c r="J725" i="5" s="1"/>
  <c r="I726" i="5"/>
  <c r="J726" i="5" s="1"/>
  <c r="I727" i="5"/>
  <c r="J727" i="5" s="1"/>
  <c r="I728" i="5"/>
  <c r="J728" i="5" s="1"/>
  <c r="I729" i="5"/>
  <c r="J729" i="5" s="1"/>
  <c r="I730" i="5"/>
  <c r="J730" i="5" s="1"/>
  <c r="I731" i="5"/>
  <c r="J731" i="5" s="1"/>
  <c r="I732" i="5"/>
  <c r="J732" i="5" s="1"/>
  <c r="I733" i="5"/>
  <c r="J733" i="5" s="1"/>
  <c r="I734" i="5"/>
  <c r="J734" i="5" s="1"/>
  <c r="I735" i="5"/>
  <c r="J735" i="5" s="1"/>
  <c r="I736" i="5"/>
  <c r="J736" i="5" s="1"/>
  <c r="I737" i="5"/>
  <c r="J737" i="5" s="1"/>
  <c r="I738" i="5"/>
  <c r="J738" i="5" s="1"/>
  <c r="I739" i="5"/>
  <c r="J739" i="5" s="1"/>
  <c r="I740" i="5"/>
  <c r="J740" i="5" s="1"/>
  <c r="I741" i="5"/>
  <c r="J741" i="5" s="1"/>
  <c r="I742" i="5"/>
  <c r="J742" i="5" s="1"/>
  <c r="I743" i="5"/>
  <c r="J743" i="5" s="1"/>
  <c r="I744" i="5"/>
  <c r="J744" i="5" s="1"/>
  <c r="I745" i="5"/>
  <c r="J745" i="5" s="1"/>
  <c r="I746" i="5"/>
  <c r="J746" i="5" s="1"/>
  <c r="I747" i="5"/>
  <c r="J747" i="5" s="1"/>
  <c r="I748" i="5"/>
  <c r="J748" i="5" s="1"/>
  <c r="I749" i="5"/>
  <c r="J749" i="5" s="1"/>
  <c r="I750" i="5"/>
  <c r="J750" i="5" s="1"/>
  <c r="I751" i="5"/>
  <c r="J751" i="5" s="1"/>
  <c r="I752" i="5"/>
  <c r="J752" i="5" s="1"/>
  <c r="I753" i="5"/>
  <c r="J753" i="5" s="1"/>
  <c r="I754" i="5"/>
  <c r="J754" i="5" s="1"/>
  <c r="I755" i="5"/>
  <c r="J755" i="5" s="1"/>
  <c r="I756" i="5"/>
  <c r="J756" i="5" s="1"/>
  <c r="I757" i="5"/>
  <c r="J757" i="5" s="1"/>
  <c r="I758" i="5"/>
  <c r="J758" i="5" s="1"/>
  <c r="I759" i="5"/>
  <c r="J759" i="5" s="1"/>
  <c r="I760" i="5"/>
  <c r="J760" i="5" s="1"/>
  <c r="I761" i="5"/>
  <c r="J761" i="5" s="1"/>
  <c r="I762" i="5"/>
  <c r="J762" i="5" s="1"/>
  <c r="I763" i="5"/>
  <c r="J763" i="5" s="1"/>
  <c r="I764" i="5"/>
  <c r="J764" i="5" s="1"/>
  <c r="I765" i="5"/>
  <c r="J765" i="5" s="1"/>
  <c r="I766" i="5"/>
  <c r="J766" i="5" s="1"/>
  <c r="I767" i="5"/>
  <c r="J767" i="5" s="1"/>
  <c r="I768" i="5"/>
  <c r="J768" i="5" s="1"/>
  <c r="I769" i="5"/>
  <c r="J769" i="5" s="1"/>
  <c r="I770" i="5"/>
  <c r="J770" i="5" s="1"/>
  <c r="I771" i="5"/>
  <c r="J771" i="5" s="1"/>
  <c r="I772" i="5"/>
  <c r="J772" i="5" s="1"/>
  <c r="I773" i="5"/>
  <c r="J773" i="5" s="1"/>
  <c r="I774" i="5"/>
  <c r="J774" i="5" s="1"/>
  <c r="I775" i="5"/>
  <c r="J775" i="5" s="1"/>
  <c r="I776" i="5"/>
  <c r="J776" i="5" s="1"/>
  <c r="I777" i="5"/>
  <c r="J777" i="5" s="1"/>
  <c r="I778" i="5"/>
  <c r="J778" i="5" s="1"/>
  <c r="I779" i="5"/>
  <c r="J779" i="5" s="1"/>
  <c r="I780" i="5"/>
  <c r="J780" i="5" s="1"/>
  <c r="I781" i="5"/>
  <c r="J781" i="5" s="1"/>
  <c r="I782" i="5"/>
  <c r="J782" i="5" s="1"/>
  <c r="I783" i="5"/>
  <c r="J783" i="5" s="1"/>
  <c r="I784" i="5"/>
  <c r="J784" i="5" s="1"/>
  <c r="I785" i="5"/>
  <c r="J785" i="5" s="1"/>
  <c r="I786" i="5"/>
  <c r="J786" i="5" s="1"/>
  <c r="I787" i="5"/>
  <c r="J787" i="5" s="1"/>
  <c r="I788" i="5"/>
  <c r="J788" i="5" s="1"/>
  <c r="I789" i="5"/>
  <c r="J789" i="5" s="1"/>
  <c r="I790" i="5"/>
  <c r="J790" i="5" s="1"/>
  <c r="I791" i="5"/>
  <c r="J791" i="5" s="1"/>
  <c r="I792" i="5"/>
  <c r="J792" i="5" s="1"/>
  <c r="I793" i="5"/>
  <c r="J793" i="5" s="1"/>
  <c r="I794" i="5"/>
  <c r="J794" i="5" s="1"/>
  <c r="I795" i="5"/>
  <c r="J795" i="5" s="1"/>
  <c r="I796" i="5"/>
  <c r="J796" i="5" s="1"/>
  <c r="I797" i="5"/>
  <c r="J797" i="5" s="1"/>
  <c r="I798" i="5"/>
  <c r="J798" i="5" s="1"/>
  <c r="I799" i="5"/>
  <c r="J799" i="5" s="1"/>
  <c r="I800" i="5"/>
  <c r="J800" i="5" s="1"/>
  <c r="I801" i="5"/>
  <c r="J801" i="5" s="1"/>
  <c r="I802" i="5"/>
  <c r="J802" i="5" s="1"/>
  <c r="I803" i="5"/>
  <c r="J803" i="5" s="1"/>
  <c r="I804" i="5"/>
  <c r="J804" i="5" s="1"/>
  <c r="I805" i="5"/>
  <c r="J805" i="5" s="1"/>
  <c r="I806" i="5"/>
  <c r="J806" i="5" s="1"/>
  <c r="I807" i="5"/>
  <c r="J807" i="5" s="1"/>
  <c r="I808" i="5"/>
  <c r="J808" i="5" s="1"/>
  <c r="I809" i="5"/>
  <c r="J809" i="5" s="1"/>
  <c r="I810" i="5"/>
  <c r="J810" i="5" s="1"/>
  <c r="I811" i="5"/>
  <c r="J811" i="5" s="1"/>
  <c r="I812" i="5"/>
  <c r="J812" i="5" s="1"/>
  <c r="I813" i="5"/>
  <c r="J813" i="5" s="1"/>
  <c r="I814" i="5"/>
  <c r="J814" i="5" s="1"/>
  <c r="I815" i="5"/>
  <c r="J815" i="5" s="1"/>
  <c r="I816" i="5"/>
  <c r="J816" i="5" s="1"/>
  <c r="I817" i="5"/>
  <c r="J817" i="5" s="1"/>
  <c r="I818" i="5"/>
  <c r="J818" i="5" s="1"/>
  <c r="I819" i="5"/>
  <c r="J819" i="5" s="1"/>
  <c r="I820" i="5"/>
  <c r="J820" i="5" s="1"/>
  <c r="I821" i="5"/>
  <c r="J821" i="5" s="1"/>
  <c r="I822" i="5"/>
  <c r="J822" i="5" s="1"/>
  <c r="I823" i="5"/>
  <c r="J823" i="5" s="1"/>
  <c r="I824" i="5"/>
  <c r="J824" i="5" s="1"/>
  <c r="I825" i="5"/>
  <c r="J825" i="5" s="1"/>
  <c r="I826" i="5"/>
  <c r="J826" i="5" s="1"/>
  <c r="I827" i="5"/>
  <c r="J827" i="5" s="1"/>
  <c r="I828" i="5"/>
  <c r="J828" i="5" s="1"/>
  <c r="I829" i="5"/>
  <c r="J829" i="5" s="1"/>
  <c r="I830" i="5"/>
  <c r="J830" i="5" s="1"/>
  <c r="I831" i="5"/>
  <c r="J831" i="5" s="1"/>
  <c r="I832" i="5"/>
  <c r="J832" i="5" s="1"/>
  <c r="I833" i="5"/>
  <c r="J833" i="5" s="1"/>
  <c r="I834" i="5"/>
  <c r="J834" i="5" s="1"/>
  <c r="I835" i="5"/>
  <c r="J835" i="5" s="1"/>
  <c r="I836" i="5"/>
  <c r="J836" i="5" s="1"/>
  <c r="I837" i="5"/>
  <c r="J837" i="5" s="1"/>
  <c r="I838" i="5"/>
  <c r="J838" i="5" s="1"/>
  <c r="I839" i="5"/>
  <c r="J839" i="5" s="1"/>
  <c r="I840" i="5"/>
  <c r="J840" i="5" s="1"/>
  <c r="I841" i="5"/>
  <c r="J841" i="5" s="1"/>
  <c r="I842" i="5"/>
  <c r="J842" i="5" s="1"/>
  <c r="I843" i="5"/>
  <c r="J843" i="5" s="1"/>
  <c r="I844" i="5"/>
  <c r="J844" i="5" s="1"/>
  <c r="I845" i="5"/>
  <c r="J845" i="5" s="1"/>
  <c r="I846" i="5"/>
  <c r="J846" i="5" s="1"/>
  <c r="I847" i="5"/>
  <c r="J847" i="5" s="1"/>
  <c r="I848" i="5"/>
  <c r="J848" i="5" s="1"/>
  <c r="I849" i="5"/>
  <c r="J849" i="5" s="1"/>
  <c r="I850" i="5"/>
  <c r="J850" i="5" s="1"/>
  <c r="I851" i="5"/>
  <c r="J851" i="5" s="1"/>
  <c r="I852" i="5"/>
  <c r="J852" i="5" s="1"/>
  <c r="I853" i="5"/>
  <c r="J853" i="5" s="1"/>
  <c r="I854" i="5"/>
  <c r="J854" i="5" s="1"/>
  <c r="I855" i="5"/>
  <c r="J855" i="5" s="1"/>
  <c r="I856" i="5"/>
  <c r="J856" i="5" s="1"/>
  <c r="I857" i="5"/>
  <c r="J857" i="5" s="1"/>
  <c r="I858" i="5"/>
  <c r="J858" i="5" s="1"/>
  <c r="I859" i="5"/>
  <c r="J859" i="5" s="1"/>
  <c r="I860" i="5"/>
  <c r="J860" i="5" s="1"/>
  <c r="I861" i="5"/>
  <c r="J861" i="5" s="1"/>
  <c r="I862" i="5"/>
  <c r="J862" i="5" s="1"/>
  <c r="I863" i="5"/>
  <c r="J863" i="5" s="1"/>
  <c r="I864" i="5"/>
  <c r="J864" i="5" s="1"/>
  <c r="I865" i="5"/>
  <c r="J865" i="5" s="1"/>
  <c r="I866" i="5"/>
  <c r="J866" i="5" s="1"/>
  <c r="I867" i="5"/>
  <c r="J867" i="5" s="1"/>
  <c r="I868" i="5"/>
  <c r="J868" i="5" s="1"/>
  <c r="I869" i="5"/>
  <c r="J869" i="5" s="1"/>
  <c r="I870" i="5"/>
  <c r="J870" i="5" s="1"/>
  <c r="I871" i="5"/>
  <c r="J871" i="5" s="1"/>
  <c r="I872" i="5"/>
  <c r="J872" i="5" s="1"/>
  <c r="I873" i="5"/>
  <c r="J873" i="5" s="1"/>
  <c r="I874" i="5"/>
  <c r="J874" i="5" s="1"/>
  <c r="I875" i="5"/>
  <c r="J875" i="5" s="1"/>
  <c r="I876" i="5"/>
  <c r="J876" i="5" s="1"/>
  <c r="I877" i="5"/>
  <c r="J877" i="5" s="1"/>
  <c r="I878" i="5"/>
  <c r="J878" i="5" s="1"/>
  <c r="I879" i="5"/>
  <c r="J879" i="5" s="1"/>
  <c r="I880" i="5"/>
  <c r="J880" i="5" s="1"/>
  <c r="I881" i="5"/>
  <c r="J881" i="5" s="1"/>
  <c r="I882" i="5"/>
  <c r="J882" i="5" s="1"/>
  <c r="I883" i="5"/>
  <c r="J883" i="5" s="1"/>
  <c r="I884" i="5"/>
  <c r="J884" i="5" s="1"/>
  <c r="I885" i="5"/>
  <c r="J885" i="5" s="1"/>
  <c r="I886" i="5"/>
  <c r="J886" i="5" s="1"/>
  <c r="I887" i="5"/>
  <c r="J887" i="5" s="1"/>
  <c r="I888" i="5"/>
  <c r="J888" i="5" s="1"/>
  <c r="I889" i="5"/>
  <c r="J889" i="5" s="1"/>
  <c r="I890" i="5"/>
  <c r="J890" i="5" s="1"/>
  <c r="I891" i="5"/>
  <c r="J891" i="5" s="1"/>
  <c r="I892" i="5"/>
  <c r="J892" i="5" s="1"/>
  <c r="I893" i="5"/>
  <c r="J893" i="5" s="1"/>
  <c r="I894" i="5"/>
  <c r="J894" i="5" s="1"/>
  <c r="I895" i="5"/>
  <c r="J895" i="5" s="1"/>
  <c r="I896" i="5"/>
  <c r="J896" i="5" s="1"/>
  <c r="I897" i="5"/>
  <c r="J897" i="5" s="1"/>
  <c r="I898" i="5"/>
  <c r="J898" i="5" s="1"/>
  <c r="I899" i="5"/>
  <c r="J899" i="5" s="1"/>
  <c r="I900" i="5"/>
  <c r="J900" i="5" s="1"/>
  <c r="I901" i="5"/>
  <c r="J901" i="5" s="1"/>
  <c r="I902" i="5"/>
  <c r="J902" i="5" s="1"/>
  <c r="I903" i="5"/>
  <c r="J903" i="5" s="1"/>
  <c r="I904" i="5"/>
  <c r="J904" i="5" s="1"/>
  <c r="I905" i="5"/>
  <c r="J905" i="5" s="1"/>
  <c r="I906" i="5"/>
  <c r="J906" i="5" s="1"/>
  <c r="I907" i="5"/>
  <c r="J907" i="5" s="1"/>
  <c r="I908" i="5"/>
  <c r="J908" i="5" s="1"/>
  <c r="I909" i="5"/>
  <c r="J909" i="5" s="1"/>
  <c r="I910" i="5"/>
  <c r="J910" i="5" s="1"/>
  <c r="I911" i="5"/>
  <c r="J911" i="5" s="1"/>
  <c r="I912" i="5"/>
  <c r="J912" i="5" s="1"/>
  <c r="I913" i="5"/>
  <c r="J913" i="5" s="1"/>
  <c r="I914" i="5"/>
  <c r="J914" i="5" s="1"/>
  <c r="I915" i="5"/>
  <c r="J915" i="5" s="1"/>
  <c r="I916" i="5"/>
  <c r="J916" i="5" s="1"/>
  <c r="I917" i="5"/>
  <c r="J917" i="5" s="1"/>
  <c r="I918" i="5"/>
  <c r="J918" i="5" s="1"/>
  <c r="I919" i="5"/>
  <c r="J919" i="5" s="1"/>
  <c r="I920" i="5"/>
  <c r="J920" i="5" s="1"/>
  <c r="I921" i="5"/>
  <c r="J921" i="5" s="1"/>
  <c r="I922" i="5"/>
  <c r="J922" i="5" s="1"/>
  <c r="I923" i="5"/>
  <c r="J923" i="5" s="1"/>
  <c r="I924" i="5"/>
  <c r="J924" i="5" s="1"/>
  <c r="I925" i="5"/>
  <c r="J925" i="5" s="1"/>
  <c r="I926" i="5"/>
  <c r="J926" i="5" s="1"/>
  <c r="I927" i="5"/>
  <c r="J927" i="5" s="1"/>
  <c r="I928" i="5"/>
  <c r="J928" i="5" s="1"/>
  <c r="I929" i="5"/>
  <c r="J929" i="5" s="1"/>
  <c r="I930" i="5"/>
  <c r="J930" i="5" s="1"/>
  <c r="I931" i="5"/>
  <c r="J931" i="5" s="1"/>
  <c r="I932" i="5"/>
  <c r="J932" i="5" s="1"/>
  <c r="I933" i="5"/>
  <c r="J933" i="5" s="1"/>
  <c r="I934" i="5"/>
  <c r="J934" i="5" s="1"/>
  <c r="I935" i="5"/>
  <c r="J935" i="5" s="1"/>
  <c r="I936" i="5"/>
  <c r="J936" i="5" s="1"/>
  <c r="I937" i="5"/>
  <c r="J937" i="5" s="1"/>
  <c r="I938" i="5"/>
  <c r="J938" i="5" s="1"/>
  <c r="I939" i="5"/>
  <c r="J939" i="5" s="1"/>
  <c r="I940" i="5"/>
  <c r="J940" i="5" s="1"/>
  <c r="I941" i="5"/>
  <c r="J941" i="5" s="1"/>
  <c r="I942" i="5"/>
  <c r="J942" i="5" s="1"/>
  <c r="I943" i="5"/>
  <c r="J943" i="5" s="1"/>
  <c r="I944" i="5"/>
  <c r="J944" i="5" s="1"/>
  <c r="I945" i="5"/>
  <c r="J945" i="5" s="1"/>
  <c r="I946" i="5"/>
  <c r="J946" i="5" s="1"/>
  <c r="I947" i="5"/>
  <c r="J947" i="5" s="1"/>
  <c r="I948" i="5"/>
  <c r="J948" i="5" s="1"/>
  <c r="I949" i="5"/>
  <c r="J949" i="5" s="1"/>
  <c r="I950" i="5"/>
  <c r="J950" i="5" s="1"/>
  <c r="I951" i="5"/>
  <c r="J951" i="5" s="1"/>
  <c r="I952" i="5"/>
  <c r="J952" i="5" s="1"/>
  <c r="I953" i="5"/>
  <c r="J953" i="5" s="1"/>
  <c r="I954" i="5"/>
  <c r="J954" i="5" s="1"/>
  <c r="I955" i="5"/>
  <c r="J955" i="5" s="1"/>
  <c r="I956" i="5"/>
  <c r="J956" i="5" s="1"/>
  <c r="I957" i="5"/>
  <c r="J957" i="5" s="1"/>
  <c r="I958" i="5"/>
  <c r="J958" i="5" s="1"/>
  <c r="I959" i="5"/>
  <c r="J959" i="5" s="1"/>
  <c r="I960" i="5"/>
  <c r="J960" i="5" s="1"/>
  <c r="I961" i="5"/>
  <c r="J961" i="5" s="1"/>
  <c r="I962" i="5"/>
  <c r="J962" i="5" s="1"/>
  <c r="I963" i="5"/>
  <c r="J963" i="5" s="1"/>
  <c r="I964" i="5"/>
  <c r="J964" i="5" s="1"/>
  <c r="I965" i="5"/>
  <c r="J965" i="5" s="1"/>
  <c r="I966" i="5"/>
  <c r="J966" i="5" s="1"/>
  <c r="I967" i="5"/>
  <c r="J967" i="5" s="1"/>
  <c r="I968" i="5"/>
  <c r="J968" i="5" s="1"/>
  <c r="I969" i="5"/>
  <c r="J969" i="5" s="1"/>
  <c r="I970" i="5"/>
  <c r="J970" i="5" s="1"/>
  <c r="I971" i="5"/>
  <c r="J971" i="5" s="1"/>
  <c r="I972" i="5"/>
  <c r="J972" i="5" s="1"/>
  <c r="I973" i="5"/>
  <c r="J973" i="5" s="1"/>
  <c r="I974" i="5"/>
  <c r="J974" i="5" s="1"/>
  <c r="I975" i="5"/>
  <c r="J975" i="5" s="1"/>
  <c r="I976" i="5"/>
  <c r="J976" i="5" s="1"/>
  <c r="I977" i="5"/>
  <c r="J977" i="5" s="1"/>
  <c r="I978" i="5"/>
  <c r="J978" i="5" s="1"/>
  <c r="I979" i="5"/>
  <c r="J979" i="5" s="1"/>
  <c r="I980" i="5"/>
  <c r="J980" i="5" s="1"/>
  <c r="I981" i="5"/>
  <c r="J981" i="5" s="1"/>
  <c r="I982" i="5"/>
  <c r="J982" i="5" s="1"/>
  <c r="I983" i="5"/>
  <c r="J983" i="5" s="1"/>
  <c r="I984" i="5"/>
  <c r="J984" i="5" s="1"/>
  <c r="I985" i="5"/>
  <c r="J985" i="5" s="1"/>
  <c r="I986" i="5"/>
  <c r="J986" i="5" s="1"/>
  <c r="I987" i="5"/>
  <c r="J987" i="5" s="1"/>
  <c r="I988" i="5"/>
  <c r="J988" i="5" s="1"/>
  <c r="I989" i="5"/>
  <c r="J989" i="5" s="1"/>
  <c r="I990" i="5"/>
  <c r="J990" i="5" s="1"/>
  <c r="I991" i="5"/>
  <c r="J991" i="5" s="1"/>
  <c r="I992" i="5"/>
  <c r="J992" i="5" s="1"/>
  <c r="I993" i="5"/>
  <c r="J993" i="5" s="1"/>
  <c r="I994" i="5"/>
  <c r="J994" i="5" s="1"/>
  <c r="I995" i="5"/>
  <c r="J995" i="5" s="1"/>
  <c r="I996" i="5"/>
  <c r="J996" i="5" s="1"/>
  <c r="I997" i="5"/>
  <c r="J997" i="5" s="1"/>
  <c r="I998" i="5"/>
  <c r="J998" i="5" s="1"/>
  <c r="I999" i="5"/>
  <c r="J999" i="5" s="1"/>
  <c r="I1000" i="5"/>
  <c r="J1000" i="5" s="1"/>
  <c r="I1001" i="5"/>
  <c r="J1001" i="5" s="1"/>
  <c r="I1002" i="5"/>
  <c r="J1002" i="5" s="1"/>
  <c r="I1003" i="5"/>
  <c r="J1003" i="5" s="1"/>
  <c r="I1004" i="5"/>
  <c r="J1004" i="5" s="1"/>
  <c r="I1005" i="5"/>
  <c r="J1005" i="5" s="1"/>
  <c r="I1006" i="5"/>
  <c r="J1006" i="5" s="1"/>
  <c r="I1007" i="5"/>
  <c r="J1007" i="5" s="1"/>
  <c r="I1008" i="5"/>
  <c r="J1008" i="5" s="1"/>
  <c r="I1009" i="5"/>
  <c r="J1009" i="5" s="1"/>
  <c r="I1010" i="5"/>
  <c r="J1010" i="5" s="1"/>
  <c r="I1011" i="5"/>
  <c r="J1011" i="5" s="1"/>
  <c r="I1012" i="5"/>
  <c r="J1012" i="5" s="1"/>
  <c r="I1013" i="5"/>
  <c r="J1013" i="5" s="1"/>
  <c r="I1014" i="5"/>
  <c r="J1014" i="5" s="1"/>
  <c r="I1015" i="5"/>
  <c r="J1015" i="5" s="1"/>
  <c r="I1016" i="5"/>
  <c r="J1016" i="5" s="1"/>
  <c r="I1017" i="5"/>
  <c r="J1017" i="5" s="1"/>
  <c r="I1018" i="5"/>
  <c r="J1018" i="5" s="1"/>
  <c r="I1019" i="5"/>
  <c r="J1019" i="5" s="1"/>
  <c r="I1020" i="5"/>
  <c r="J1020" i="5" s="1"/>
  <c r="I1021" i="5"/>
  <c r="J1021" i="5" s="1"/>
  <c r="I1022" i="5"/>
  <c r="J1022" i="5" s="1"/>
  <c r="I1023" i="5"/>
  <c r="J1023" i="5" s="1"/>
  <c r="I1024" i="5"/>
  <c r="J1024" i="5" s="1"/>
  <c r="I1025" i="5"/>
  <c r="J1025" i="5" s="1"/>
  <c r="I1026" i="5"/>
  <c r="J1026" i="5" s="1"/>
  <c r="I1027" i="5"/>
  <c r="J1027" i="5" s="1"/>
  <c r="I1028" i="5"/>
  <c r="J1028" i="5" s="1"/>
  <c r="I1029" i="5"/>
  <c r="J1029" i="5" s="1"/>
  <c r="I1030" i="5"/>
  <c r="J1030" i="5" s="1"/>
  <c r="I1031" i="5"/>
  <c r="J1031" i="5" s="1"/>
  <c r="I1032" i="5"/>
  <c r="J1032" i="5" s="1"/>
  <c r="I1033" i="5"/>
  <c r="J1033" i="5" s="1"/>
  <c r="I1034" i="5"/>
  <c r="J1034" i="5" s="1"/>
  <c r="I1035" i="5"/>
  <c r="J1035" i="5" s="1"/>
  <c r="I1036" i="5"/>
  <c r="J1036" i="5" s="1"/>
  <c r="I1037" i="5"/>
  <c r="J1037" i="5" s="1"/>
  <c r="I1038" i="5"/>
  <c r="J1038" i="5" s="1"/>
  <c r="I1039" i="5"/>
  <c r="J1039" i="5" s="1"/>
  <c r="I1040" i="5"/>
  <c r="J1040" i="5" s="1"/>
  <c r="I1041" i="5"/>
  <c r="J1041" i="5" s="1"/>
  <c r="I1042" i="5"/>
  <c r="J1042" i="5" s="1"/>
  <c r="I1043" i="5"/>
  <c r="J1043" i="5" s="1"/>
  <c r="I1044" i="5"/>
  <c r="J1044" i="5" s="1"/>
  <c r="I1045" i="5"/>
  <c r="J1045" i="5" s="1"/>
  <c r="I1046" i="5"/>
  <c r="J1046" i="5" s="1"/>
  <c r="I1047" i="5"/>
  <c r="J1047" i="5" s="1"/>
  <c r="I1048" i="5"/>
  <c r="J1048" i="5" s="1"/>
  <c r="I1049" i="5"/>
  <c r="J1049" i="5" s="1"/>
  <c r="I1050" i="5"/>
  <c r="J1050" i="5" s="1"/>
  <c r="I1051" i="5"/>
  <c r="J1051" i="5" s="1"/>
  <c r="I1052" i="5"/>
  <c r="J1052" i="5" s="1"/>
  <c r="I1053" i="5"/>
  <c r="J1053" i="5" s="1"/>
  <c r="I1054" i="5"/>
  <c r="J1054" i="5" s="1"/>
  <c r="I1055" i="5"/>
  <c r="J1055" i="5" s="1"/>
  <c r="I1056" i="5"/>
  <c r="J1056" i="5" s="1"/>
  <c r="I1057" i="5"/>
  <c r="J1057" i="5" s="1"/>
  <c r="I1058" i="5"/>
  <c r="J1058" i="5" s="1"/>
  <c r="I1059" i="5"/>
  <c r="J1059" i="5" s="1"/>
  <c r="I1060" i="5"/>
  <c r="J1060" i="5" s="1"/>
  <c r="I1061" i="5"/>
  <c r="J1061" i="5" s="1"/>
  <c r="I1062" i="5"/>
  <c r="J1062" i="5" s="1"/>
  <c r="I1063" i="5"/>
  <c r="J1063" i="5" s="1"/>
  <c r="I1064" i="5"/>
  <c r="J1064" i="5" s="1"/>
  <c r="I1065" i="5"/>
  <c r="J1065" i="5" s="1"/>
  <c r="I1066" i="5"/>
  <c r="J1066" i="5" s="1"/>
  <c r="I1067" i="5"/>
  <c r="J1067" i="5" s="1"/>
  <c r="I1068" i="5"/>
  <c r="J1068" i="5" s="1"/>
  <c r="I1069" i="5"/>
  <c r="J1069" i="5" s="1"/>
  <c r="I1070" i="5"/>
  <c r="J1070" i="5" s="1"/>
  <c r="I1071" i="5"/>
  <c r="J1071" i="5" s="1"/>
  <c r="I1072" i="5"/>
  <c r="J1072" i="5" s="1"/>
  <c r="I1073" i="5"/>
  <c r="J1073" i="5" s="1"/>
  <c r="I1074" i="5"/>
  <c r="J1074" i="5" s="1"/>
  <c r="I1075" i="5"/>
  <c r="J1075" i="5" s="1"/>
  <c r="I1076" i="5"/>
  <c r="J1076" i="5" s="1"/>
  <c r="I1077" i="5"/>
  <c r="J1077" i="5" s="1"/>
  <c r="I1078" i="5"/>
  <c r="J1078" i="5" s="1"/>
  <c r="I1079" i="5"/>
  <c r="J1079" i="5" s="1"/>
  <c r="I1080" i="5"/>
  <c r="J1080" i="5" s="1"/>
  <c r="I1081" i="5"/>
  <c r="J1081" i="5" s="1"/>
  <c r="I1082" i="5"/>
  <c r="J1082" i="5" s="1"/>
  <c r="I1083" i="5"/>
  <c r="J1083" i="5" s="1"/>
  <c r="I1084" i="5"/>
  <c r="J1084" i="5" s="1"/>
  <c r="I1085" i="5"/>
  <c r="J1085" i="5" s="1"/>
  <c r="I1086" i="5"/>
  <c r="J1086" i="5" s="1"/>
  <c r="I1087" i="5"/>
  <c r="J1087" i="5" s="1"/>
  <c r="I1088" i="5"/>
  <c r="J1088" i="5" s="1"/>
  <c r="I1089" i="5"/>
  <c r="J1089" i="5" s="1"/>
  <c r="I1090" i="5"/>
  <c r="J1090" i="5" s="1"/>
  <c r="I1091" i="5"/>
  <c r="J1091" i="5" s="1"/>
  <c r="I1092" i="5"/>
  <c r="J1092" i="5" s="1"/>
  <c r="I1093" i="5"/>
  <c r="J1093" i="5" s="1"/>
  <c r="I1094" i="5"/>
  <c r="J1094" i="5" s="1"/>
  <c r="I1095" i="5"/>
  <c r="J1095" i="5" s="1"/>
  <c r="I1096" i="5"/>
  <c r="J1096" i="5" s="1"/>
  <c r="I1097" i="5"/>
  <c r="J1097" i="5" s="1"/>
  <c r="I1098" i="5"/>
  <c r="J1098" i="5" s="1"/>
  <c r="I1099" i="5"/>
  <c r="J1099" i="5" s="1"/>
  <c r="I1100" i="5"/>
  <c r="J1100" i="5" s="1"/>
  <c r="I1101" i="5"/>
  <c r="J1101" i="5" s="1"/>
  <c r="I1102" i="5"/>
  <c r="J1102" i="5" s="1"/>
  <c r="I1103" i="5"/>
  <c r="J1103" i="5" s="1"/>
  <c r="I1104" i="5"/>
  <c r="J1104" i="5" s="1"/>
  <c r="I1105" i="5"/>
  <c r="J1105" i="5" s="1"/>
  <c r="I1106" i="5"/>
  <c r="J1106" i="5" s="1"/>
  <c r="I1107" i="5"/>
  <c r="J1107" i="5" s="1"/>
  <c r="I1108" i="5"/>
  <c r="J1108" i="5" s="1"/>
  <c r="I1109" i="5"/>
  <c r="J1109" i="5" s="1"/>
  <c r="I1110" i="5"/>
  <c r="J1110" i="5" s="1"/>
  <c r="I1111" i="5"/>
  <c r="J1111" i="5" s="1"/>
  <c r="I1112" i="5"/>
  <c r="J1112" i="5" s="1"/>
  <c r="I1113" i="5"/>
  <c r="J1113" i="5" s="1"/>
  <c r="I1114" i="5"/>
  <c r="J1114" i="5" s="1"/>
  <c r="I1115" i="5"/>
  <c r="J1115" i="5" s="1"/>
  <c r="I1116" i="5"/>
  <c r="J1116" i="5" s="1"/>
  <c r="I1117" i="5"/>
  <c r="J1117" i="5" s="1"/>
  <c r="I1118" i="5"/>
  <c r="J1118" i="5" s="1"/>
  <c r="I1119" i="5"/>
  <c r="J1119" i="5" s="1"/>
  <c r="I1120" i="5"/>
  <c r="J1120" i="5" s="1"/>
  <c r="I1121" i="5"/>
  <c r="J1121" i="5" s="1"/>
  <c r="I1122" i="5"/>
  <c r="J1122" i="5" s="1"/>
  <c r="I1123" i="5"/>
  <c r="J1123" i="5" s="1"/>
  <c r="I1124" i="5"/>
  <c r="J1124" i="5" s="1"/>
  <c r="I1125" i="5"/>
  <c r="J1125" i="5" s="1"/>
  <c r="I1126" i="5"/>
  <c r="J1126" i="5" s="1"/>
  <c r="I1127" i="5"/>
  <c r="J1127" i="5" s="1"/>
  <c r="I1128" i="5"/>
  <c r="J1128" i="5" s="1"/>
  <c r="I1129" i="5"/>
  <c r="J1129" i="5" s="1"/>
  <c r="I1130" i="5"/>
  <c r="J1130" i="5" s="1"/>
  <c r="I1131" i="5"/>
  <c r="J1131" i="5" s="1"/>
  <c r="I1132" i="5"/>
  <c r="J1132" i="5" s="1"/>
  <c r="I1133" i="5"/>
  <c r="J1133" i="5" s="1"/>
  <c r="I1134" i="5"/>
  <c r="J1134" i="5" s="1"/>
  <c r="I1135" i="5"/>
  <c r="J1135" i="5" s="1"/>
  <c r="I1136" i="5"/>
  <c r="J1136" i="5" s="1"/>
  <c r="I1137" i="5"/>
  <c r="J1137" i="5" s="1"/>
  <c r="I1138" i="5"/>
  <c r="J1138" i="5" s="1"/>
  <c r="I1139" i="5"/>
  <c r="J1139" i="5" s="1"/>
  <c r="I1140" i="5"/>
  <c r="J1140" i="5" s="1"/>
  <c r="I1141" i="5"/>
  <c r="J1141" i="5" s="1"/>
  <c r="I1142" i="5"/>
  <c r="J1142" i="5" s="1"/>
  <c r="I1143" i="5"/>
  <c r="J1143" i="5" s="1"/>
  <c r="I1144" i="5"/>
  <c r="J1144" i="5" s="1"/>
  <c r="I1145" i="5"/>
  <c r="J1145" i="5" s="1"/>
  <c r="I1146" i="5"/>
  <c r="J1146" i="5" s="1"/>
  <c r="I1147" i="5"/>
  <c r="J1147" i="5" s="1"/>
  <c r="I1148" i="5"/>
  <c r="J1148" i="5" s="1"/>
  <c r="I1149" i="5"/>
  <c r="J1149" i="5" s="1"/>
  <c r="I1150" i="5"/>
  <c r="J1150" i="5" s="1"/>
  <c r="I1151" i="5"/>
  <c r="J1151" i="5" s="1"/>
  <c r="I1152" i="5"/>
  <c r="J1152" i="5" s="1"/>
  <c r="I1153" i="5"/>
  <c r="J1153" i="5" s="1"/>
  <c r="I1154" i="5"/>
  <c r="J1154" i="5" s="1"/>
  <c r="I1155" i="5"/>
  <c r="J1155" i="5" s="1"/>
  <c r="I1156" i="5"/>
  <c r="J1156" i="5" s="1"/>
  <c r="I1157" i="5"/>
  <c r="J1157" i="5" s="1"/>
  <c r="I1158" i="5"/>
  <c r="J1158" i="5" s="1"/>
  <c r="I1159" i="5"/>
  <c r="J1159" i="5" s="1"/>
  <c r="I1160" i="5"/>
  <c r="J1160" i="5" s="1"/>
  <c r="I1161" i="5"/>
  <c r="J1161" i="5" s="1"/>
  <c r="I1162" i="5"/>
  <c r="J1162" i="5" s="1"/>
  <c r="I1163" i="5"/>
  <c r="J1163" i="5" s="1"/>
  <c r="I1164" i="5"/>
  <c r="J1164" i="5" s="1"/>
  <c r="I1165" i="5"/>
  <c r="J1165" i="5" s="1"/>
  <c r="I1166" i="5"/>
  <c r="J1166" i="5" s="1"/>
  <c r="I1167" i="5"/>
  <c r="J1167" i="5" s="1"/>
  <c r="I1168" i="5"/>
  <c r="J1168" i="5" s="1"/>
  <c r="I1169" i="5"/>
  <c r="J1169" i="5" s="1"/>
  <c r="I1170" i="5"/>
  <c r="J1170" i="5" s="1"/>
  <c r="I1171" i="5"/>
  <c r="J1171" i="5" s="1"/>
  <c r="I1172" i="5"/>
  <c r="J1172" i="5" s="1"/>
  <c r="I1173" i="5"/>
  <c r="J1173" i="5" s="1"/>
  <c r="I1174" i="5"/>
  <c r="J1174" i="5" s="1"/>
  <c r="I1175" i="5"/>
  <c r="J1175" i="5" s="1"/>
  <c r="I1176" i="5"/>
  <c r="J1176" i="5" s="1"/>
  <c r="I1177" i="5"/>
  <c r="J1177" i="5" s="1"/>
  <c r="I1178" i="5"/>
  <c r="J1178" i="5" s="1"/>
  <c r="I1179" i="5"/>
  <c r="J1179" i="5" s="1"/>
  <c r="I1180" i="5"/>
  <c r="J1180" i="5" s="1"/>
  <c r="I1181" i="5"/>
  <c r="J1181" i="5" s="1"/>
  <c r="I1182" i="5"/>
  <c r="J1182" i="5" s="1"/>
  <c r="I1183" i="5"/>
  <c r="J1183" i="5" s="1"/>
  <c r="I1184" i="5"/>
  <c r="J1184" i="5" s="1"/>
  <c r="I1185" i="5"/>
  <c r="J1185" i="5" s="1"/>
  <c r="I1186" i="5"/>
  <c r="J1186" i="5" s="1"/>
  <c r="I1187" i="5"/>
  <c r="J1187" i="5" s="1"/>
  <c r="I1188" i="5"/>
  <c r="J1188" i="5" s="1"/>
  <c r="I1189" i="5"/>
  <c r="J1189" i="5" s="1"/>
  <c r="I1190" i="5"/>
  <c r="J1190" i="5" s="1"/>
  <c r="I1191" i="5"/>
  <c r="J1191" i="5" s="1"/>
  <c r="I1192" i="5"/>
  <c r="J1192" i="5" s="1"/>
  <c r="I1193" i="5"/>
  <c r="J1193" i="5" s="1"/>
  <c r="I1194" i="5"/>
  <c r="J1194" i="5" s="1"/>
  <c r="I1195" i="5"/>
  <c r="J1195" i="5" s="1"/>
  <c r="I1196" i="5"/>
  <c r="J1196" i="5" s="1"/>
  <c r="I1197" i="5"/>
  <c r="J1197" i="5" s="1"/>
  <c r="I1198" i="5"/>
  <c r="J1198" i="5" s="1"/>
  <c r="I6" i="5"/>
  <c r="J6" i="5" s="1"/>
  <c r="I7" i="5"/>
  <c r="J7" i="5" s="1"/>
  <c r="I8" i="5"/>
  <c r="J8" i="5" s="1"/>
  <c r="I9" i="5"/>
  <c r="J9" i="5" s="1"/>
  <c r="I10" i="5"/>
  <c r="J10" i="5" s="1"/>
  <c r="I11" i="5"/>
  <c r="J11" i="5" s="1"/>
  <c r="I12" i="5"/>
  <c r="J12" i="5" s="1"/>
  <c r="I13" i="5"/>
  <c r="J13" i="5" s="1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 s="1"/>
  <c r="I25" i="5"/>
  <c r="J25" i="5" s="1"/>
  <c r="I26" i="5"/>
  <c r="J26" i="5" s="1"/>
  <c r="I27" i="5"/>
  <c r="J27" i="5" s="1"/>
  <c r="I28" i="5"/>
  <c r="J28" i="5" s="1"/>
  <c r="I29" i="5"/>
  <c r="J29" i="5" s="1"/>
  <c r="I30" i="5"/>
  <c r="J30" i="5" s="1"/>
  <c r="I31" i="5"/>
  <c r="J31" i="5" s="1"/>
  <c r="I32" i="5"/>
  <c r="J32" i="5" s="1"/>
  <c r="I3" i="5"/>
  <c r="J3" i="5" s="1"/>
  <c r="I4" i="5"/>
  <c r="J4" i="5" s="1"/>
  <c r="I5" i="5"/>
  <c r="J5" i="5" s="1"/>
  <c r="I2" i="5"/>
  <c r="J2" i="5" s="1"/>
  <c r="F1198" i="5"/>
  <c r="B5" i="6" s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5" i="5"/>
  <c r="F4" i="5"/>
  <c r="F3" i="5"/>
  <c r="D5" i="5"/>
  <c r="D4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3" i="5"/>
  <c r="C2" i="5" a="1"/>
  <c r="B6" i="6" l="1"/>
  <c r="E39" i="5"/>
  <c r="E1197" i="5"/>
  <c r="E1133" i="5"/>
  <c r="E1069" i="5"/>
  <c r="E1013" i="5"/>
  <c r="E941" i="5"/>
  <c r="E877" i="5"/>
  <c r="E829" i="5"/>
  <c r="E789" i="5"/>
  <c r="E735" i="5"/>
  <c r="E629" i="5"/>
  <c r="E522" i="5"/>
  <c r="E373" i="5"/>
  <c r="E223" i="5"/>
  <c r="C2" i="5"/>
  <c r="H9" i="5"/>
  <c r="H17" i="5"/>
  <c r="H25" i="5"/>
  <c r="H33" i="5"/>
  <c r="H41" i="5"/>
  <c r="H49" i="5"/>
  <c r="H57" i="5"/>
  <c r="H65" i="5"/>
  <c r="H73" i="5"/>
  <c r="H81" i="5"/>
  <c r="H89" i="5"/>
  <c r="H97" i="5"/>
  <c r="H105" i="5"/>
  <c r="H113" i="5"/>
  <c r="H121" i="5"/>
  <c r="H129" i="5"/>
  <c r="H137" i="5"/>
  <c r="H145" i="5"/>
  <c r="H153" i="5"/>
  <c r="H161" i="5"/>
  <c r="H169" i="5"/>
  <c r="H177" i="5"/>
  <c r="H185" i="5"/>
  <c r="H193" i="5"/>
  <c r="H201" i="5"/>
  <c r="H209" i="5"/>
  <c r="H217" i="5"/>
  <c r="H225" i="5"/>
  <c r="H233" i="5"/>
  <c r="H241" i="5"/>
  <c r="H249" i="5"/>
  <c r="H257" i="5"/>
  <c r="H265" i="5"/>
  <c r="H273" i="5"/>
  <c r="H281" i="5"/>
  <c r="H289" i="5"/>
  <c r="H297" i="5"/>
  <c r="H305" i="5"/>
  <c r="H313" i="5"/>
  <c r="H321" i="5"/>
  <c r="H329" i="5"/>
  <c r="H337" i="5"/>
  <c r="H345" i="5"/>
  <c r="H353" i="5"/>
  <c r="H361" i="5"/>
  <c r="H369" i="5"/>
  <c r="H377" i="5"/>
  <c r="H385" i="5"/>
  <c r="H393" i="5"/>
  <c r="H401" i="5"/>
  <c r="H409" i="5"/>
  <c r="H417" i="5"/>
  <c r="H425" i="5"/>
  <c r="H433" i="5"/>
  <c r="H441" i="5"/>
  <c r="H449" i="5"/>
  <c r="H457" i="5"/>
  <c r="H465" i="5"/>
  <c r="H473" i="5"/>
  <c r="H481" i="5"/>
  <c r="H489" i="5"/>
  <c r="H497" i="5"/>
  <c r="H505" i="5"/>
  <c r="H513" i="5"/>
  <c r="H521" i="5"/>
  <c r="H529" i="5"/>
  <c r="H537" i="5"/>
  <c r="H545" i="5"/>
  <c r="H553" i="5"/>
  <c r="H561" i="5"/>
  <c r="H569" i="5"/>
  <c r="H577" i="5"/>
  <c r="H585" i="5"/>
  <c r="H593" i="5"/>
  <c r="H601" i="5"/>
  <c r="H609" i="5"/>
  <c r="H617" i="5"/>
  <c r="H625" i="5"/>
  <c r="H633" i="5"/>
  <c r="H641" i="5"/>
  <c r="H649" i="5"/>
  <c r="H657" i="5"/>
  <c r="H665" i="5"/>
  <c r="H673" i="5"/>
  <c r="H1198" i="5"/>
  <c r="H10" i="5"/>
  <c r="H18" i="5"/>
  <c r="H8" i="5"/>
  <c r="H11" i="5"/>
  <c r="H19" i="5"/>
  <c r="H27" i="5"/>
  <c r="H35" i="5"/>
  <c r="H3" i="5"/>
  <c r="H12" i="5"/>
  <c r="H20" i="5"/>
  <c r="H28" i="5"/>
  <c r="H36" i="5"/>
  <c r="H44" i="5"/>
  <c r="H52" i="5"/>
  <c r="H60" i="5"/>
  <c r="H68" i="5"/>
  <c r="H4" i="5"/>
  <c r="H7" i="5"/>
  <c r="H24" i="5"/>
  <c r="H38" i="5"/>
  <c r="H48" i="5"/>
  <c r="H59" i="5"/>
  <c r="H70" i="5"/>
  <c r="H79" i="5"/>
  <c r="H88" i="5"/>
  <c r="H98" i="5"/>
  <c r="H107" i="5"/>
  <c r="H116" i="5"/>
  <c r="H125" i="5"/>
  <c r="H134" i="5"/>
  <c r="H143" i="5"/>
  <c r="H152" i="5"/>
  <c r="H162" i="5"/>
  <c r="H171" i="5"/>
  <c r="H180" i="5"/>
  <c r="H189" i="5"/>
  <c r="H198" i="5"/>
  <c r="H207" i="5"/>
  <c r="H216" i="5"/>
  <c r="H226" i="5"/>
  <c r="H235" i="5"/>
  <c r="H244" i="5"/>
  <c r="H253" i="5"/>
  <c r="H262" i="5"/>
  <c r="H271" i="5"/>
  <c r="H280" i="5"/>
  <c r="H290" i="5"/>
  <c r="H299" i="5"/>
  <c r="H308" i="5"/>
  <c r="H317" i="5"/>
  <c r="H326" i="5"/>
  <c r="H335" i="5"/>
  <c r="H344" i="5"/>
  <c r="H354" i="5"/>
  <c r="H363" i="5"/>
  <c r="H372" i="5"/>
  <c r="H381" i="5"/>
  <c r="H390" i="5"/>
  <c r="H399" i="5"/>
  <c r="H408" i="5"/>
  <c r="H418" i="5"/>
  <c r="H427" i="5"/>
  <c r="H436" i="5"/>
  <c r="H445" i="5"/>
  <c r="H454" i="5"/>
  <c r="H463" i="5"/>
  <c r="H472" i="5"/>
  <c r="H482" i="5"/>
  <c r="H491" i="5"/>
  <c r="H500" i="5"/>
  <c r="H509" i="5"/>
  <c r="H518" i="5"/>
  <c r="H527" i="5"/>
  <c r="H536" i="5"/>
  <c r="H546" i="5"/>
  <c r="H555" i="5"/>
  <c r="H564" i="5"/>
  <c r="H573" i="5"/>
  <c r="H582" i="5"/>
  <c r="H591" i="5"/>
  <c r="H600" i="5"/>
  <c r="H610" i="5"/>
  <c r="H619" i="5"/>
  <c r="H628" i="5"/>
  <c r="H637" i="5"/>
  <c r="H646" i="5"/>
  <c r="H655" i="5"/>
  <c r="H664" i="5"/>
  <c r="H674" i="5"/>
  <c r="H682" i="5"/>
  <c r="H690" i="5"/>
  <c r="H698" i="5"/>
  <c r="H706" i="5"/>
  <c r="H714" i="5"/>
  <c r="H722" i="5"/>
  <c r="H730" i="5"/>
  <c r="H738" i="5"/>
  <c r="H746" i="5"/>
  <c r="H754" i="5"/>
  <c r="H762" i="5"/>
  <c r="H770" i="5"/>
  <c r="H778" i="5"/>
  <c r="H13" i="5"/>
  <c r="H26" i="5"/>
  <c r="H39" i="5"/>
  <c r="H50" i="5"/>
  <c r="H61" i="5"/>
  <c r="H71" i="5"/>
  <c r="H80" i="5"/>
  <c r="H90" i="5"/>
  <c r="H99" i="5"/>
  <c r="H108" i="5"/>
  <c r="H117" i="5"/>
  <c r="H126" i="5"/>
  <c r="H135" i="5"/>
  <c r="H144" i="5"/>
  <c r="H154" i="5"/>
  <c r="H163" i="5"/>
  <c r="H172" i="5"/>
  <c r="H181" i="5"/>
  <c r="H190" i="5"/>
  <c r="H199" i="5"/>
  <c r="H208" i="5"/>
  <c r="H218" i="5"/>
  <c r="H227" i="5"/>
  <c r="H236" i="5"/>
  <c r="H245" i="5"/>
  <c r="H254" i="5"/>
  <c r="H263" i="5"/>
  <c r="H272" i="5"/>
  <c r="H282" i="5"/>
  <c r="H291" i="5"/>
  <c r="H300" i="5"/>
  <c r="H309" i="5"/>
  <c r="H318" i="5"/>
  <c r="H327" i="5"/>
  <c r="H336" i="5"/>
  <c r="H346" i="5"/>
  <c r="H355" i="5"/>
  <c r="H364" i="5"/>
  <c r="H373" i="5"/>
  <c r="H382" i="5"/>
  <c r="H391" i="5"/>
  <c r="H400" i="5"/>
  <c r="H410" i="5"/>
  <c r="H419" i="5"/>
  <c r="H428" i="5"/>
  <c r="H437" i="5"/>
  <c r="H446" i="5"/>
  <c r="H455" i="5"/>
  <c r="H464" i="5"/>
  <c r="H474" i="5"/>
  <c r="H483" i="5"/>
  <c r="H492" i="5"/>
  <c r="H501" i="5"/>
  <c r="H510" i="5"/>
  <c r="H519" i="5"/>
  <c r="H528" i="5"/>
  <c r="H538" i="5"/>
  <c r="H547" i="5"/>
  <c r="H556" i="5"/>
  <c r="H565" i="5"/>
  <c r="H574" i="5"/>
  <c r="H583" i="5"/>
  <c r="H592" i="5"/>
  <c r="H602" i="5"/>
  <c r="H611" i="5"/>
  <c r="H620" i="5"/>
  <c r="H629" i="5"/>
  <c r="H638" i="5"/>
  <c r="H647" i="5"/>
  <c r="H656" i="5"/>
  <c r="H666" i="5"/>
  <c r="H675" i="5"/>
  <c r="H683" i="5"/>
  <c r="H691" i="5"/>
  <c r="H699" i="5"/>
  <c r="H707" i="5"/>
  <c r="H715" i="5"/>
  <c r="H723" i="5"/>
  <c r="H731" i="5"/>
  <c r="H739" i="5"/>
  <c r="H747" i="5"/>
  <c r="H755" i="5"/>
  <c r="H763" i="5"/>
  <c r="H771" i="5"/>
  <c r="H779" i="5"/>
  <c r="H14" i="5"/>
  <c r="H29" i="5"/>
  <c r="H40" i="5"/>
  <c r="H51" i="5"/>
  <c r="H62" i="5"/>
  <c r="H72" i="5"/>
  <c r="H82" i="5"/>
  <c r="H91" i="5"/>
  <c r="H100" i="5"/>
  <c r="H109" i="5"/>
  <c r="H118" i="5"/>
  <c r="H127" i="5"/>
  <c r="H136" i="5"/>
  <c r="H146" i="5"/>
  <c r="H155" i="5"/>
  <c r="H164" i="5"/>
  <c r="H173" i="5"/>
  <c r="H182" i="5"/>
  <c r="H191" i="5"/>
  <c r="H200" i="5"/>
  <c r="H210" i="5"/>
  <c r="H219" i="5"/>
  <c r="H228" i="5"/>
  <c r="H237" i="5"/>
  <c r="H246" i="5"/>
  <c r="H255" i="5"/>
  <c r="H264" i="5"/>
  <c r="H274" i="5"/>
  <c r="H283" i="5"/>
  <c r="H292" i="5"/>
  <c r="H301" i="5"/>
  <c r="H310" i="5"/>
  <c r="H319" i="5"/>
  <c r="H328" i="5"/>
  <c r="H338" i="5"/>
  <c r="H347" i="5"/>
  <c r="H356" i="5"/>
  <c r="H365" i="5"/>
  <c r="H374" i="5"/>
  <c r="H383" i="5"/>
  <c r="H392" i="5"/>
  <c r="H402" i="5"/>
  <c r="H411" i="5"/>
  <c r="H420" i="5"/>
  <c r="H429" i="5"/>
  <c r="H438" i="5"/>
  <c r="H447" i="5"/>
  <c r="H456" i="5"/>
  <c r="H466" i="5"/>
  <c r="H475" i="5"/>
  <c r="H484" i="5"/>
  <c r="H493" i="5"/>
  <c r="H502" i="5"/>
  <c r="H511" i="5"/>
  <c r="H520" i="5"/>
  <c r="H530" i="5"/>
  <c r="H539" i="5"/>
  <c r="H548" i="5"/>
  <c r="H557" i="5"/>
  <c r="H566" i="5"/>
  <c r="H575" i="5"/>
  <c r="H584" i="5"/>
  <c r="H594" i="5"/>
  <c r="H603" i="5"/>
  <c r="H612" i="5"/>
  <c r="H621" i="5"/>
  <c r="H630" i="5"/>
  <c r="H639" i="5"/>
  <c r="H648" i="5"/>
  <c r="H658" i="5"/>
  <c r="H667" i="5"/>
  <c r="H676" i="5"/>
  <c r="H684" i="5"/>
  <c r="H692" i="5"/>
  <c r="H700" i="5"/>
  <c r="H708" i="5"/>
  <c r="H716" i="5"/>
  <c r="H724" i="5"/>
  <c r="H732" i="5"/>
  <c r="H740" i="5"/>
  <c r="H748" i="5"/>
  <c r="H756" i="5"/>
  <c r="H764" i="5"/>
  <c r="H772" i="5"/>
  <c r="H780" i="5"/>
  <c r="H15" i="5"/>
  <c r="H30" i="5"/>
  <c r="H42" i="5"/>
  <c r="H53" i="5"/>
  <c r="H63" i="5"/>
  <c r="H74" i="5"/>
  <c r="H83" i="5"/>
  <c r="H92" i="5"/>
  <c r="H101" i="5"/>
  <c r="H110" i="5"/>
  <c r="H119" i="5"/>
  <c r="H128" i="5"/>
  <c r="H138" i="5"/>
  <c r="H147" i="5"/>
  <c r="H156" i="5"/>
  <c r="H165" i="5"/>
  <c r="H174" i="5"/>
  <c r="H183" i="5"/>
  <c r="H192" i="5"/>
  <c r="H202" i="5"/>
  <c r="H211" i="5"/>
  <c r="H220" i="5"/>
  <c r="H229" i="5"/>
  <c r="H238" i="5"/>
  <c r="H247" i="5"/>
  <c r="H256" i="5"/>
  <c r="H266" i="5"/>
  <c r="H275" i="5"/>
  <c r="H284" i="5"/>
  <c r="H293" i="5"/>
  <c r="H302" i="5"/>
  <c r="H311" i="5"/>
  <c r="H320" i="5"/>
  <c r="H330" i="5"/>
  <c r="H339" i="5"/>
  <c r="H348" i="5"/>
  <c r="H357" i="5"/>
  <c r="H366" i="5"/>
  <c r="H375" i="5"/>
  <c r="H384" i="5"/>
  <c r="H394" i="5"/>
  <c r="H403" i="5"/>
  <c r="H412" i="5"/>
  <c r="H421" i="5"/>
  <c r="H430" i="5"/>
  <c r="H439" i="5"/>
  <c r="H448" i="5"/>
  <c r="H458" i="5"/>
  <c r="H467" i="5"/>
  <c r="H476" i="5"/>
  <c r="H485" i="5"/>
  <c r="H494" i="5"/>
  <c r="H503" i="5"/>
  <c r="H512" i="5"/>
  <c r="H522" i="5"/>
  <c r="H531" i="5"/>
  <c r="H540" i="5"/>
  <c r="H549" i="5"/>
  <c r="H558" i="5"/>
  <c r="H567" i="5"/>
  <c r="H576" i="5"/>
  <c r="H586" i="5"/>
  <c r="H595" i="5"/>
  <c r="H604" i="5"/>
  <c r="H613" i="5"/>
  <c r="H622" i="5"/>
  <c r="H631" i="5"/>
  <c r="H640" i="5"/>
  <c r="H650" i="5"/>
  <c r="H659" i="5"/>
  <c r="H668" i="5"/>
  <c r="H677" i="5"/>
  <c r="H685" i="5"/>
  <c r="H693" i="5"/>
  <c r="H701" i="5"/>
  <c r="H709" i="5"/>
  <c r="H717" i="5"/>
  <c r="H725" i="5"/>
  <c r="H733" i="5"/>
  <c r="H741" i="5"/>
  <c r="H749" i="5"/>
  <c r="H757" i="5"/>
  <c r="H765" i="5"/>
  <c r="H773" i="5"/>
  <c r="H781" i="5"/>
  <c r="H16" i="5"/>
  <c r="H31" i="5"/>
  <c r="H43" i="5"/>
  <c r="H54" i="5"/>
  <c r="H64" i="5"/>
  <c r="H75" i="5"/>
  <c r="H84" i="5"/>
  <c r="H93" i="5"/>
  <c r="H102" i="5"/>
  <c r="H111" i="5"/>
  <c r="H120" i="5"/>
  <c r="H130" i="5"/>
  <c r="H139" i="5"/>
  <c r="H148" i="5"/>
  <c r="H157" i="5"/>
  <c r="H166" i="5"/>
  <c r="H175" i="5"/>
  <c r="H184" i="5"/>
  <c r="H194" i="5"/>
  <c r="H203" i="5"/>
  <c r="H212" i="5"/>
  <c r="H221" i="5"/>
  <c r="H230" i="5"/>
  <c r="H239" i="5"/>
  <c r="H248" i="5"/>
  <c r="H258" i="5"/>
  <c r="H267" i="5"/>
  <c r="H276" i="5"/>
  <c r="H285" i="5"/>
  <c r="H294" i="5"/>
  <c r="H303" i="5"/>
  <c r="H312" i="5"/>
  <c r="H322" i="5"/>
  <c r="H331" i="5"/>
  <c r="H340" i="5"/>
  <c r="H349" i="5"/>
  <c r="H358" i="5"/>
  <c r="H367" i="5"/>
  <c r="H376" i="5"/>
  <c r="H386" i="5"/>
  <c r="H395" i="5"/>
  <c r="H404" i="5"/>
  <c r="H413" i="5"/>
  <c r="H422" i="5"/>
  <c r="H431" i="5"/>
  <c r="H440" i="5"/>
  <c r="H450" i="5"/>
  <c r="H459" i="5"/>
  <c r="H468" i="5"/>
  <c r="H477" i="5"/>
  <c r="H486" i="5"/>
  <c r="H495" i="5"/>
  <c r="H504" i="5"/>
  <c r="H514" i="5"/>
  <c r="H523" i="5"/>
  <c r="H532" i="5"/>
  <c r="H541" i="5"/>
  <c r="H550" i="5"/>
  <c r="H559" i="5"/>
  <c r="H568" i="5"/>
  <c r="H578" i="5"/>
  <c r="H587" i="5"/>
  <c r="H596" i="5"/>
  <c r="H605" i="5"/>
  <c r="H614" i="5"/>
  <c r="H623" i="5"/>
  <c r="H632" i="5"/>
  <c r="H642" i="5"/>
  <c r="H651" i="5"/>
  <c r="H660" i="5"/>
  <c r="H669" i="5"/>
  <c r="H678" i="5"/>
  <c r="H686" i="5"/>
  <c r="H694" i="5"/>
  <c r="H702" i="5"/>
  <c r="H710" i="5"/>
  <c r="H718" i="5"/>
  <c r="H726" i="5"/>
  <c r="H734" i="5"/>
  <c r="H742" i="5"/>
  <c r="H750" i="5"/>
  <c r="H758" i="5"/>
  <c r="H766" i="5"/>
  <c r="H774" i="5"/>
  <c r="H782" i="5"/>
  <c r="H21" i="5"/>
  <c r="H32" i="5"/>
  <c r="H45" i="5"/>
  <c r="H55" i="5"/>
  <c r="H66" i="5"/>
  <c r="H76" i="5"/>
  <c r="H85" i="5"/>
  <c r="H94" i="5"/>
  <c r="H103" i="5"/>
  <c r="H112" i="5"/>
  <c r="H122" i="5"/>
  <c r="H131" i="5"/>
  <c r="H140" i="5"/>
  <c r="H149" i="5"/>
  <c r="H158" i="5"/>
  <c r="H167" i="5"/>
  <c r="H176" i="5"/>
  <c r="H186" i="5"/>
  <c r="H195" i="5"/>
  <c r="H204" i="5"/>
  <c r="H213" i="5"/>
  <c r="H222" i="5"/>
  <c r="H231" i="5"/>
  <c r="H240" i="5"/>
  <c r="H250" i="5"/>
  <c r="H259" i="5"/>
  <c r="H268" i="5"/>
  <c r="H277" i="5"/>
  <c r="H286" i="5"/>
  <c r="H295" i="5"/>
  <c r="H304" i="5"/>
  <c r="H314" i="5"/>
  <c r="H323" i="5"/>
  <c r="H332" i="5"/>
  <c r="H341" i="5"/>
  <c r="H350" i="5"/>
  <c r="H359" i="5"/>
  <c r="H368" i="5"/>
  <c r="H378" i="5"/>
  <c r="H387" i="5"/>
  <c r="H396" i="5"/>
  <c r="H405" i="5"/>
  <c r="H414" i="5"/>
  <c r="H423" i="5"/>
  <c r="H432" i="5"/>
  <c r="H442" i="5"/>
  <c r="H451" i="5"/>
  <c r="H460" i="5"/>
  <c r="H469" i="5"/>
  <c r="H478" i="5"/>
  <c r="H487" i="5"/>
  <c r="H496" i="5"/>
  <c r="H506" i="5"/>
  <c r="H515" i="5"/>
  <c r="H524" i="5"/>
  <c r="H533" i="5"/>
  <c r="H542" i="5"/>
  <c r="H551" i="5"/>
  <c r="H560" i="5"/>
  <c r="H570" i="5"/>
  <c r="H579" i="5"/>
  <c r="H588" i="5"/>
  <c r="H597" i="5"/>
  <c r="H606" i="5"/>
  <c r="H615" i="5"/>
  <c r="H624" i="5"/>
  <c r="H634" i="5"/>
  <c r="H643" i="5"/>
  <c r="H652" i="5"/>
  <c r="H661" i="5"/>
  <c r="H670" i="5"/>
  <c r="H679" i="5"/>
  <c r="H687" i="5"/>
  <c r="H695" i="5"/>
  <c r="H703" i="5"/>
  <c r="H711" i="5"/>
  <c r="H719" i="5"/>
  <c r="H727" i="5"/>
  <c r="H735" i="5"/>
  <c r="H743" i="5"/>
  <c r="H751" i="5"/>
  <c r="H759" i="5"/>
  <c r="H767" i="5"/>
  <c r="H775" i="5"/>
  <c r="H5" i="5"/>
  <c r="H22" i="5"/>
  <c r="H34" i="5"/>
  <c r="H46" i="5"/>
  <c r="H56" i="5"/>
  <c r="H67" i="5"/>
  <c r="H77" i="5"/>
  <c r="H86" i="5"/>
  <c r="H95" i="5"/>
  <c r="H104" i="5"/>
  <c r="H114" i="5"/>
  <c r="H123" i="5"/>
  <c r="H132" i="5"/>
  <c r="H141" i="5"/>
  <c r="H150" i="5"/>
  <c r="H159" i="5"/>
  <c r="H168" i="5"/>
  <c r="H178" i="5"/>
  <c r="H187" i="5"/>
  <c r="H196" i="5"/>
  <c r="H205" i="5"/>
  <c r="H214" i="5"/>
  <c r="H223" i="5"/>
  <c r="H232" i="5"/>
  <c r="H242" i="5"/>
  <c r="H251" i="5"/>
  <c r="H260" i="5"/>
  <c r="H269" i="5"/>
  <c r="H278" i="5"/>
  <c r="H287" i="5"/>
  <c r="H296" i="5"/>
  <c r="H306" i="5"/>
  <c r="H315" i="5"/>
  <c r="H324" i="5"/>
  <c r="H333" i="5"/>
  <c r="H342" i="5"/>
  <c r="H351" i="5"/>
  <c r="H360" i="5"/>
  <c r="H370" i="5"/>
  <c r="H379" i="5"/>
  <c r="H388" i="5"/>
  <c r="H397" i="5"/>
  <c r="H406" i="5"/>
  <c r="H415" i="5"/>
  <c r="H424" i="5"/>
  <c r="H434" i="5"/>
  <c r="H443" i="5"/>
  <c r="H452" i="5"/>
  <c r="H461" i="5"/>
  <c r="H470" i="5"/>
  <c r="H479" i="5"/>
  <c r="H488" i="5"/>
  <c r="H498" i="5"/>
  <c r="H507" i="5"/>
  <c r="H516" i="5"/>
  <c r="H525" i="5"/>
  <c r="H534" i="5"/>
  <c r="H543" i="5"/>
  <c r="H552" i="5"/>
  <c r="H562" i="5"/>
  <c r="H571" i="5"/>
  <c r="H580" i="5"/>
  <c r="H589" i="5"/>
  <c r="H598" i="5"/>
  <c r="H607" i="5"/>
  <c r="H616" i="5"/>
  <c r="H626" i="5"/>
  <c r="H635" i="5"/>
  <c r="H644" i="5"/>
  <c r="H653" i="5"/>
  <c r="H662" i="5"/>
  <c r="H671" i="5"/>
  <c r="H680" i="5"/>
  <c r="H688" i="5"/>
  <c r="H696" i="5"/>
  <c r="H704" i="5"/>
  <c r="H712" i="5"/>
  <c r="H720" i="5"/>
  <c r="H728" i="5"/>
  <c r="H736" i="5"/>
  <c r="H744" i="5"/>
  <c r="H752" i="5"/>
  <c r="H760" i="5"/>
  <c r="H768" i="5"/>
  <c r="H776" i="5"/>
  <c r="H47" i="5"/>
  <c r="H124" i="5"/>
  <c r="H197" i="5"/>
  <c r="H270" i="5"/>
  <c r="H343" i="5"/>
  <c r="H416" i="5"/>
  <c r="H490" i="5"/>
  <c r="H563" i="5"/>
  <c r="H636" i="5"/>
  <c r="H705" i="5"/>
  <c r="H769" i="5"/>
  <c r="H789" i="5"/>
  <c r="H797" i="5"/>
  <c r="H805" i="5"/>
  <c r="H813" i="5"/>
  <c r="H821" i="5"/>
  <c r="H829" i="5"/>
  <c r="H837" i="5"/>
  <c r="H845" i="5"/>
  <c r="H853" i="5"/>
  <c r="H861" i="5"/>
  <c r="H869" i="5"/>
  <c r="H877" i="5"/>
  <c r="H885" i="5"/>
  <c r="H893" i="5"/>
  <c r="H901" i="5"/>
  <c r="H909" i="5"/>
  <c r="H917" i="5"/>
  <c r="H925" i="5"/>
  <c r="H933" i="5"/>
  <c r="H941" i="5"/>
  <c r="H949" i="5"/>
  <c r="H957" i="5"/>
  <c r="H965" i="5"/>
  <c r="H973" i="5"/>
  <c r="H981" i="5"/>
  <c r="H989" i="5"/>
  <c r="H997" i="5"/>
  <c r="H1005" i="5"/>
  <c r="H1013" i="5"/>
  <c r="H1021" i="5"/>
  <c r="H1029" i="5"/>
  <c r="H1037" i="5"/>
  <c r="H1045" i="5"/>
  <c r="H1053" i="5"/>
  <c r="H1061" i="5"/>
  <c r="H1069" i="5"/>
  <c r="H1077" i="5"/>
  <c r="H1085" i="5"/>
  <c r="H1093" i="5"/>
  <c r="H1101" i="5"/>
  <c r="H1109" i="5"/>
  <c r="H1117" i="5"/>
  <c r="H1125" i="5"/>
  <c r="H1133" i="5"/>
  <c r="H1141" i="5"/>
  <c r="H1149" i="5"/>
  <c r="H1157" i="5"/>
  <c r="H1165" i="5"/>
  <c r="H1173" i="5"/>
  <c r="H1181" i="5"/>
  <c r="H1189" i="5"/>
  <c r="H1197" i="5"/>
  <c r="G10" i="5"/>
  <c r="G18" i="5"/>
  <c r="G26" i="5"/>
  <c r="G34" i="5"/>
  <c r="G50" i="5"/>
  <c r="G66" i="5"/>
  <c r="G74" i="5"/>
  <c r="G82" i="5"/>
  <c r="G90" i="5"/>
  <c r="G98" i="5"/>
  <c r="G106" i="5"/>
  <c r="G114" i="5"/>
  <c r="G122" i="5"/>
  <c r="G130" i="5"/>
  <c r="G138" i="5"/>
  <c r="G146" i="5"/>
  <c r="G154" i="5"/>
  <c r="G162" i="5"/>
  <c r="G170" i="5"/>
  <c r="G178" i="5"/>
  <c r="G186" i="5"/>
  <c r="G194" i="5"/>
  <c r="H58" i="5"/>
  <c r="H133" i="5"/>
  <c r="H206" i="5"/>
  <c r="H279" i="5"/>
  <c r="H352" i="5"/>
  <c r="H426" i="5"/>
  <c r="H499" i="5"/>
  <c r="H572" i="5"/>
  <c r="H645" i="5"/>
  <c r="H713" i="5"/>
  <c r="H777" i="5"/>
  <c r="H790" i="5"/>
  <c r="H798" i="5"/>
  <c r="H806" i="5"/>
  <c r="H814" i="5"/>
  <c r="H822" i="5"/>
  <c r="H830" i="5"/>
  <c r="H838" i="5"/>
  <c r="H846" i="5"/>
  <c r="H854" i="5"/>
  <c r="H862" i="5"/>
  <c r="H870" i="5"/>
  <c r="H878" i="5"/>
  <c r="H886" i="5"/>
  <c r="H894" i="5"/>
  <c r="H902" i="5"/>
  <c r="H910" i="5"/>
  <c r="H918" i="5"/>
  <c r="H926" i="5"/>
  <c r="H934" i="5"/>
  <c r="H942" i="5"/>
  <c r="H950" i="5"/>
  <c r="H69" i="5"/>
  <c r="H142" i="5"/>
  <c r="H215" i="5"/>
  <c r="H288" i="5"/>
  <c r="H362" i="5"/>
  <c r="H435" i="5"/>
  <c r="H508" i="5"/>
  <c r="H581" i="5"/>
  <c r="H654" i="5"/>
  <c r="H721" i="5"/>
  <c r="H783" i="5"/>
  <c r="H791" i="5"/>
  <c r="H799" i="5"/>
  <c r="H807" i="5"/>
  <c r="H815" i="5"/>
  <c r="H823" i="5"/>
  <c r="H831" i="5"/>
  <c r="H839" i="5"/>
  <c r="H847" i="5"/>
  <c r="H855" i="5"/>
  <c r="H863" i="5"/>
  <c r="H871" i="5"/>
  <c r="H879" i="5"/>
  <c r="H887" i="5"/>
  <c r="H895" i="5"/>
  <c r="H903" i="5"/>
  <c r="H911" i="5"/>
  <c r="H919" i="5"/>
  <c r="H927" i="5"/>
  <c r="H935" i="5"/>
  <c r="H943" i="5"/>
  <c r="H951" i="5"/>
  <c r="H78" i="5"/>
  <c r="H151" i="5"/>
  <c r="H224" i="5"/>
  <c r="H298" i="5"/>
  <c r="H371" i="5"/>
  <c r="H444" i="5"/>
  <c r="H517" i="5"/>
  <c r="H590" i="5"/>
  <c r="H663" i="5"/>
  <c r="H729" i="5"/>
  <c r="H784" i="5"/>
  <c r="H792" i="5"/>
  <c r="H800" i="5"/>
  <c r="H808" i="5"/>
  <c r="H816" i="5"/>
  <c r="H824" i="5"/>
  <c r="H832" i="5"/>
  <c r="H840" i="5"/>
  <c r="H848" i="5"/>
  <c r="H856" i="5"/>
  <c r="H864" i="5"/>
  <c r="H872" i="5"/>
  <c r="H880" i="5"/>
  <c r="H888" i="5"/>
  <c r="H896" i="5"/>
  <c r="H904" i="5"/>
  <c r="H912" i="5"/>
  <c r="H920" i="5"/>
  <c r="H928" i="5"/>
  <c r="H936" i="5"/>
  <c r="H944" i="5"/>
  <c r="H952" i="5"/>
  <c r="H960" i="5"/>
  <c r="H968" i="5"/>
  <c r="H976" i="5"/>
  <c r="H984" i="5"/>
  <c r="H992" i="5"/>
  <c r="H1000" i="5"/>
  <c r="H1008" i="5"/>
  <c r="H1016" i="5"/>
  <c r="H1024" i="5"/>
  <c r="H1032" i="5"/>
  <c r="H1040" i="5"/>
  <c r="H1048" i="5"/>
  <c r="H1056" i="5"/>
  <c r="H1064" i="5"/>
  <c r="H1072" i="5"/>
  <c r="H1080" i="5"/>
  <c r="H1088" i="5"/>
  <c r="H1096" i="5"/>
  <c r="H1104" i="5"/>
  <c r="H1112" i="5"/>
  <c r="H1120" i="5"/>
  <c r="H1128" i="5"/>
  <c r="H1136" i="5"/>
  <c r="H1144" i="5"/>
  <c r="H1152" i="5"/>
  <c r="H1160" i="5"/>
  <c r="H1168" i="5"/>
  <c r="H1176" i="5"/>
  <c r="H1184" i="5"/>
  <c r="H1192" i="5"/>
  <c r="G5" i="5"/>
  <c r="G13" i="5"/>
  <c r="G21" i="5"/>
  <c r="G29" i="5"/>
  <c r="G37" i="5"/>
  <c r="G45" i="5"/>
  <c r="G53" i="5"/>
  <c r="G61" i="5"/>
  <c r="G69" i="5"/>
  <c r="G77" i="5"/>
  <c r="G85" i="5"/>
  <c r="G93" i="5"/>
  <c r="G101" i="5"/>
  <c r="G109" i="5"/>
  <c r="G117" i="5"/>
  <c r="G125" i="5"/>
  <c r="G133" i="5"/>
  <c r="G141" i="5"/>
  <c r="G149" i="5"/>
  <c r="G157" i="5"/>
  <c r="G165" i="5"/>
  <c r="G173" i="5"/>
  <c r="G181" i="5"/>
  <c r="H87" i="5"/>
  <c r="H160" i="5"/>
  <c r="H234" i="5"/>
  <c r="H307" i="5"/>
  <c r="H380" i="5"/>
  <c r="H453" i="5"/>
  <c r="H526" i="5"/>
  <c r="H599" i="5"/>
  <c r="H672" i="5"/>
  <c r="H737" i="5"/>
  <c r="H785" i="5"/>
  <c r="H793" i="5"/>
  <c r="H801" i="5"/>
  <c r="H809" i="5"/>
  <c r="H817" i="5"/>
  <c r="H825" i="5"/>
  <c r="H833" i="5"/>
  <c r="H841" i="5"/>
  <c r="H849" i="5"/>
  <c r="H857" i="5"/>
  <c r="H865" i="5"/>
  <c r="H873" i="5"/>
  <c r="H881" i="5"/>
  <c r="H889" i="5"/>
  <c r="H897" i="5"/>
  <c r="H905" i="5"/>
  <c r="H913" i="5"/>
  <c r="H921" i="5"/>
  <c r="H929" i="5"/>
  <c r="H937" i="5"/>
  <c r="H945" i="5"/>
  <c r="H953" i="5"/>
  <c r="H961" i="5"/>
  <c r="H969" i="5"/>
  <c r="H977" i="5"/>
  <c r="H985" i="5"/>
  <c r="H993" i="5"/>
  <c r="H1001" i="5"/>
  <c r="H1009" i="5"/>
  <c r="H1017" i="5"/>
  <c r="H1025" i="5"/>
  <c r="H1033" i="5"/>
  <c r="H1041" i="5"/>
  <c r="H1049" i="5"/>
  <c r="H1057" i="5"/>
  <c r="H1065" i="5"/>
  <c r="H1073" i="5"/>
  <c r="H1081" i="5"/>
  <c r="H1089" i="5"/>
  <c r="H1097" i="5"/>
  <c r="H1105" i="5"/>
  <c r="H1113" i="5"/>
  <c r="H1121" i="5"/>
  <c r="H1129" i="5"/>
  <c r="H1137" i="5"/>
  <c r="H1145" i="5"/>
  <c r="H1153" i="5"/>
  <c r="H1161" i="5"/>
  <c r="H1169" i="5"/>
  <c r="H1177" i="5"/>
  <c r="H1185" i="5"/>
  <c r="H1193" i="5"/>
  <c r="G6" i="5"/>
  <c r="G14" i="5"/>
  <c r="G22" i="5"/>
  <c r="G30" i="5"/>
  <c r="G38" i="5"/>
  <c r="G46" i="5"/>
  <c r="G54" i="5"/>
  <c r="G62" i="5"/>
  <c r="G70" i="5"/>
  <c r="G78" i="5"/>
  <c r="G86" i="5"/>
  <c r="G94" i="5"/>
  <c r="G102" i="5"/>
  <c r="G110" i="5"/>
  <c r="G118" i="5"/>
  <c r="G126" i="5"/>
  <c r="G134" i="5"/>
  <c r="G142" i="5"/>
  <c r="G150" i="5"/>
  <c r="G158" i="5"/>
  <c r="G166" i="5"/>
  <c r="G174" i="5"/>
  <c r="G182" i="5"/>
  <c r="G190" i="5"/>
  <c r="G198" i="5"/>
  <c r="H6" i="5"/>
  <c r="H96" i="5"/>
  <c r="H170" i="5"/>
  <c r="H243" i="5"/>
  <c r="H316" i="5"/>
  <c r="H389" i="5"/>
  <c r="H462" i="5"/>
  <c r="H535" i="5"/>
  <c r="H608" i="5"/>
  <c r="H681" i="5"/>
  <c r="H745" i="5"/>
  <c r="H786" i="5"/>
  <c r="H794" i="5"/>
  <c r="H802" i="5"/>
  <c r="H810" i="5"/>
  <c r="H818" i="5"/>
  <c r="H826" i="5"/>
  <c r="H834" i="5"/>
  <c r="H842" i="5"/>
  <c r="H850" i="5"/>
  <c r="H858" i="5"/>
  <c r="H866" i="5"/>
  <c r="H874" i="5"/>
  <c r="H882" i="5"/>
  <c r="H890" i="5"/>
  <c r="H898" i="5"/>
  <c r="H906" i="5"/>
  <c r="H914" i="5"/>
  <c r="H922" i="5"/>
  <c r="H930" i="5"/>
  <c r="H938" i="5"/>
  <c r="H946" i="5"/>
  <c r="H954" i="5"/>
  <c r="H962" i="5"/>
  <c r="H970" i="5"/>
  <c r="H978" i="5"/>
  <c r="H986" i="5"/>
  <c r="H994" i="5"/>
  <c r="H1002" i="5"/>
  <c r="H1010" i="5"/>
  <c r="H1018" i="5"/>
  <c r="H1026" i="5"/>
  <c r="H1034" i="5"/>
  <c r="H1042" i="5"/>
  <c r="H1050" i="5"/>
  <c r="H1058" i="5"/>
  <c r="H1066" i="5"/>
  <c r="H1074" i="5"/>
  <c r="H1082" i="5"/>
  <c r="H1090" i="5"/>
  <c r="H1098" i="5"/>
  <c r="H1106" i="5"/>
  <c r="H1114" i="5"/>
  <c r="H1122" i="5"/>
  <c r="H1130" i="5"/>
  <c r="H1138" i="5"/>
  <c r="H1146" i="5"/>
  <c r="H1154" i="5"/>
  <c r="H1162" i="5"/>
  <c r="H1170" i="5"/>
  <c r="H1178" i="5"/>
  <c r="H1186" i="5"/>
  <c r="H1194" i="5"/>
  <c r="G7" i="5"/>
  <c r="G15" i="5"/>
  <c r="G23" i="5"/>
  <c r="G31" i="5"/>
  <c r="G39" i="5"/>
  <c r="G47" i="5"/>
  <c r="G55" i="5"/>
  <c r="G63" i="5"/>
  <c r="G71" i="5"/>
  <c r="G79" i="5"/>
  <c r="G87" i="5"/>
  <c r="G95" i="5"/>
  <c r="G103" i="5"/>
  <c r="G111" i="5"/>
  <c r="G119" i="5"/>
  <c r="G127" i="5"/>
  <c r="G135" i="5"/>
  <c r="G143" i="5"/>
  <c r="G151" i="5"/>
  <c r="G159" i="5"/>
  <c r="G167" i="5"/>
  <c r="G175" i="5"/>
  <c r="G183" i="5"/>
  <c r="G191" i="5"/>
  <c r="H23" i="5"/>
  <c r="H106" i="5"/>
  <c r="H179" i="5"/>
  <c r="H252" i="5"/>
  <c r="H325" i="5"/>
  <c r="H398" i="5"/>
  <c r="H471" i="5"/>
  <c r="H544" i="5"/>
  <c r="H618" i="5"/>
  <c r="H689" i="5"/>
  <c r="H753" i="5"/>
  <c r="H787" i="5"/>
  <c r="H795" i="5"/>
  <c r="H803" i="5"/>
  <c r="H811" i="5"/>
  <c r="H819" i="5"/>
  <c r="H827" i="5"/>
  <c r="H835" i="5"/>
  <c r="H843" i="5"/>
  <c r="H851" i="5"/>
  <c r="H859" i="5"/>
  <c r="H867" i="5"/>
  <c r="H875" i="5"/>
  <c r="H883" i="5"/>
  <c r="H891" i="5"/>
  <c r="H899" i="5"/>
  <c r="H907" i="5"/>
  <c r="H915" i="5"/>
  <c r="H923" i="5"/>
  <c r="H931" i="5"/>
  <c r="H939" i="5"/>
  <c r="H947" i="5"/>
  <c r="H955" i="5"/>
  <c r="H963" i="5"/>
  <c r="H971" i="5"/>
  <c r="H979" i="5"/>
  <c r="H987" i="5"/>
  <c r="H995" i="5"/>
  <c r="H1003" i="5"/>
  <c r="H1011" i="5"/>
  <c r="H1019" i="5"/>
  <c r="H1027" i="5"/>
  <c r="H1035" i="5"/>
  <c r="H1043" i="5"/>
  <c r="H1051" i="5"/>
  <c r="H1059" i="5"/>
  <c r="H1067" i="5"/>
  <c r="H1075" i="5"/>
  <c r="H1083" i="5"/>
  <c r="H1091" i="5"/>
  <c r="H1099" i="5"/>
  <c r="H1107" i="5"/>
  <c r="H1115" i="5"/>
  <c r="H1123" i="5"/>
  <c r="H1131" i="5"/>
  <c r="H1139" i="5"/>
  <c r="H1147" i="5"/>
  <c r="H1155" i="5"/>
  <c r="H1163" i="5"/>
  <c r="H1171" i="5"/>
  <c r="H1179" i="5"/>
  <c r="H1187" i="5"/>
  <c r="H1195" i="5"/>
  <c r="G8" i="5"/>
  <c r="G16" i="5"/>
  <c r="G24" i="5"/>
  <c r="G32" i="5"/>
  <c r="G40" i="5"/>
  <c r="G48" i="5"/>
  <c r="G56" i="5"/>
  <c r="G64" i="5"/>
  <c r="G72" i="5"/>
  <c r="G80" i="5"/>
  <c r="G88" i="5"/>
  <c r="G96" i="5"/>
  <c r="G104" i="5"/>
  <c r="G112" i="5"/>
  <c r="G120" i="5"/>
  <c r="G128" i="5"/>
  <c r="G136" i="5"/>
  <c r="G144" i="5"/>
  <c r="G152" i="5"/>
  <c r="G160" i="5"/>
  <c r="G168" i="5"/>
  <c r="G176" i="5"/>
  <c r="G184" i="5"/>
  <c r="G192" i="5"/>
  <c r="H261" i="5"/>
  <c r="H788" i="5"/>
  <c r="H852" i="5"/>
  <c r="H916" i="5"/>
  <c r="H964" i="5"/>
  <c r="H983" i="5"/>
  <c r="H1006" i="5"/>
  <c r="H1028" i="5"/>
  <c r="H1047" i="5"/>
  <c r="H1070" i="5"/>
  <c r="H1092" i="5"/>
  <c r="H1111" i="5"/>
  <c r="H1134" i="5"/>
  <c r="H1156" i="5"/>
  <c r="H1175" i="5"/>
  <c r="G25" i="5"/>
  <c r="G44" i="5"/>
  <c r="G67" i="5"/>
  <c r="G89" i="5"/>
  <c r="G108" i="5"/>
  <c r="G131" i="5"/>
  <c r="G153" i="5"/>
  <c r="G172" i="5"/>
  <c r="G193" i="5"/>
  <c r="G203" i="5"/>
  <c r="G211" i="5"/>
  <c r="G219" i="5"/>
  <c r="G227" i="5"/>
  <c r="G235" i="5"/>
  <c r="G243" i="5"/>
  <c r="G251" i="5"/>
  <c r="G259" i="5"/>
  <c r="G267" i="5"/>
  <c r="G275" i="5"/>
  <c r="G283" i="5"/>
  <c r="G291" i="5"/>
  <c r="G299" i="5"/>
  <c r="G307" i="5"/>
  <c r="G315" i="5"/>
  <c r="G323" i="5"/>
  <c r="G331" i="5"/>
  <c r="G339" i="5"/>
  <c r="G347" i="5"/>
  <c r="G355" i="5"/>
  <c r="G363" i="5"/>
  <c r="G371" i="5"/>
  <c r="G379" i="5"/>
  <c r="G387" i="5"/>
  <c r="G395" i="5"/>
  <c r="G403" i="5"/>
  <c r="G411" i="5"/>
  <c r="G419" i="5"/>
  <c r="G427" i="5"/>
  <c r="G435" i="5"/>
  <c r="G443" i="5"/>
  <c r="G451" i="5"/>
  <c r="G459" i="5"/>
  <c r="G467" i="5"/>
  <c r="G475" i="5"/>
  <c r="G483" i="5"/>
  <c r="G491" i="5"/>
  <c r="G499" i="5"/>
  <c r="G507" i="5"/>
  <c r="G515" i="5"/>
  <c r="G523" i="5"/>
  <c r="G531" i="5"/>
  <c r="G539" i="5"/>
  <c r="G547" i="5"/>
  <c r="G555" i="5"/>
  <c r="G563" i="5"/>
  <c r="G571" i="5"/>
  <c r="G579" i="5"/>
  <c r="G587" i="5"/>
  <c r="G595" i="5"/>
  <c r="G603" i="5"/>
  <c r="G611" i="5"/>
  <c r="G619" i="5"/>
  <c r="G627" i="5"/>
  <c r="G635" i="5"/>
  <c r="G643" i="5"/>
  <c r="G651" i="5"/>
  <c r="G659" i="5"/>
  <c r="G667" i="5"/>
  <c r="G675" i="5"/>
  <c r="G683" i="5"/>
  <c r="G691" i="5"/>
  <c r="G699" i="5"/>
  <c r="G707" i="5"/>
  <c r="H334" i="5"/>
  <c r="H796" i="5"/>
  <c r="H860" i="5"/>
  <c r="H924" i="5"/>
  <c r="H966" i="5"/>
  <c r="H988" i="5"/>
  <c r="H1007" i="5"/>
  <c r="H1030" i="5"/>
  <c r="H1052" i="5"/>
  <c r="H1071" i="5"/>
  <c r="H1094" i="5"/>
  <c r="H1116" i="5"/>
  <c r="H1135" i="5"/>
  <c r="H1158" i="5"/>
  <c r="H1180" i="5"/>
  <c r="G4" i="5"/>
  <c r="G27" i="5"/>
  <c r="G49" i="5"/>
  <c r="G68" i="5"/>
  <c r="G91" i="5"/>
  <c r="G113" i="5"/>
  <c r="G132" i="5"/>
  <c r="G155" i="5"/>
  <c r="G177" i="5"/>
  <c r="G195" i="5"/>
  <c r="G204" i="5"/>
  <c r="G212" i="5"/>
  <c r="G220" i="5"/>
  <c r="G228" i="5"/>
  <c r="G236" i="5"/>
  <c r="G244" i="5"/>
  <c r="G252" i="5"/>
  <c r="G260" i="5"/>
  <c r="G268" i="5"/>
  <c r="G276" i="5"/>
  <c r="G284" i="5"/>
  <c r="G292" i="5"/>
  <c r="G300" i="5"/>
  <c r="G308" i="5"/>
  <c r="G316" i="5"/>
  <c r="G324" i="5"/>
  <c r="G332" i="5"/>
  <c r="G340" i="5"/>
  <c r="G348" i="5"/>
  <c r="G356" i="5"/>
  <c r="G364" i="5"/>
  <c r="G372" i="5"/>
  <c r="G380" i="5"/>
  <c r="G388" i="5"/>
  <c r="G396" i="5"/>
  <c r="G404" i="5"/>
  <c r="G412" i="5"/>
  <c r="G420" i="5"/>
  <c r="G428" i="5"/>
  <c r="G436" i="5"/>
  <c r="G444" i="5"/>
  <c r="G452" i="5"/>
  <c r="G460" i="5"/>
  <c r="G468" i="5"/>
  <c r="G476" i="5"/>
  <c r="G484" i="5"/>
  <c r="G492" i="5"/>
  <c r="G500" i="5"/>
  <c r="G508" i="5"/>
  <c r="G516" i="5"/>
  <c r="G524" i="5"/>
  <c r="G532" i="5"/>
  <c r="G540" i="5"/>
  <c r="G548" i="5"/>
  <c r="G556" i="5"/>
  <c r="G564" i="5"/>
  <c r="G572" i="5"/>
  <c r="G580" i="5"/>
  <c r="G588" i="5"/>
  <c r="G596" i="5"/>
  <c r="G604" i="5"/>
  <c r="G612" i="5"/>
  <c r="G620" i="5"/>
  <c r="G628" i="5"/>
  <c r="G636" i="5"/>
  <c r="G644" i="5"/>
  <c r="G652" i="5"/>
  <c r="G660" i="5"/>
  <c r="G668" i="5"/>
  <c r="G676" i="5"/>
  <c r="G684" i="5"/>
  <c r="G692" i="5"/>
  <c r="G700" i="5"/>
  <c r="G708" i="5"/>
  <c r="G716" i="5"/>
  <c r="G724" i="5"/>
  <c r="G732" i="5"/>
  <c r="G740" i="5"/>
  <c r="G748" i="5"/>
  <c r="G756" i="5"/>
  <c r="G764" i="5"/>
  <c r="G772" i="5"/>
  <c r="G780" i="5"/>
  <c r="G788" i="5"/>
  <c r="H407" i="5"/>
  <c r="H804" i="5"/>
  <c r="H868" i="5"/>
  <c r="H932" i="5"/>
  <c r="H967" i="5"/>
  <c r="H990" i="5"/>
  <c r="H1012" i="5"/>
  <c r="H1031" i="5"/>
  <c r="H1054" i="5"/>
  <c r="H1076" i="5"/>
  <c r="H1095" i="5"/>
  <c r="H1118" i="5"/>
  <c r="H1140" i="5"/>
  <c r="H1159" i="5"/>
  <c r="H1182" i="5"/>
  <c r="G9" i="5"/>
  <c r="G28" i="5"/>
  <c r="G51" i="5"/>
  <c r="G73" i="5"/>
  <c r="G92" i="5"/>
  <c r="G115" i="5"/>
  <c r="G137" i="5"/>
  <c r="G156" i="5"/>
  <c r="G179" i="5"/>
  <c r="G196" i="5"/>
  <c r="G205" i="5"/>
  <c r="G213" i="5"/>
  <c r="G221" i="5"/>
  <c r="G229" i="5"/>
  <c r="G237" i="5"/>
  <c r="G245" i="5"/>
  <c r="G253" i="5"/>
  <c r="G261" i="5"/>
  <c r="G269" i="5"/>
  <c r="G277" i="5"/>
  <c r="G285" i="5"/>
  <c r="G293" i="5"/>
  <c r="G301" i="5"/>
  <c r="G309" i="5"/>
  <c r="G317" i="5"/>
  <c r="G325" i="5"/>
  <c r="G333" i="5"/>
  <c r="G341" i="5"/>
  <c r="G349" i="5"/>
  <c r="G357" i="5"/>
  <c r="G365" i="5"/>
  <c r="G373" i="5"/>
  <c r="G381" i="5"/>
  <c r="G389" i="5"/>
  <c r="G397" i="5"/>
  <c r="G405" i="5"/>
  <c r="G413" i="5"/>
  <c r="G421" i="5"/>
  <c r="G429" i="5"/>
  <c r="G437" i="5"/>
  <c r="G445" i="5"/>
  <c r="G453" i="5"/>
  <c r="G461" i="5"/>
  <c r="G469" i="5"/>
  <c r="G477" i="5"/>
  <c r="G485" i="5"/>
  <c r="G493" i="5"/>
  <c r="G501" i="5"/>
  <c r="G509" i="5"/>
  <c r="G517" i="5"/>
  <c r="G525" i="5"/>
  <c r="G533" i="5"/>
  <c r="G541" i="5"/>
  <c r="G549" i="5"/>
  <c r="G557" i="5"/>
  <c r="G565" i="5"/>
  <c r="G573" i="5"/>
  <c r="G581" i="5"/>
  <c r="G589" i="5"/>
  <c r="G597" i="5"/>
  <c r="G605" i="5"/>
  <c r="G613" i="5"/>
  <c r="G621" i="5"/>
  <c r="G629" i="5"/>
  <c r="G637" i="5"/>
  <c r="G645" i="5"/>
  <c r="G653" i="5"/>
  <c r="G661" i="5"/>
  <c r="G669" i="5"/>
  <c r="G677" i="5"/>
  <c r="H480" i="5"/>
  <c r="H812" i="5"/>
  <c r="H876" i="5"/>
  <c r="H940" i="5"/>
  <c r="H972" i="5"/>
  <c r="H991" i="5"/>
  <c r="H1014" i="5"/>
  <c r="H1036" i="5"/>
  <c r="H1055" i="5"/>
  <c r="H1078" i="5"/>
  <c r="H1100" i="5"/>
  <c r="H1119" i="5"/>
  <c r="H1142" i="5"/>
  <c r="H1164" i="5"/>
  <c r="H1183" i="5"/>
  <c r="G11" i="5"/>
  <c r="G33" i="5"/>
  <c r="G52" i="5"/>
  <c r="G75" i="5"/>
  <c r="G97" i="5"/>
  <c r="G116" i="5"/>
  <c r="G139" i="5"/>
  <c r="G161" i="5"/>
  <c r="G180" i="5"/>
  <c r="G197" i="5"/>
  <c r="G206" i="5"/>
  <c r="G214" i="5"/>
  <c r="G222" i="5"/>
  <c r="G230" i="5"/>
  <c r="G238" i="5"/>
  <c r="G246" i="5"/>
  <c r="G254" i="5"/>
  <c r="G262" i="5"/>
  <c r="G270" i="5"/>
  <c r="G278" i="5"/>
  <c r="G286" i="5"/>
  <c r="G294" i="5"/>
  <c r="G302" i="5"/>
  <c r="G310" i="5"/>
  <c r="G318" i="5"/>
  <c r="G326" i="5"/>
  <c r="G334" i="5"/>
  <c r="G342" i="5"/>
  <c r="G350" i="5"/>
  <c r="G358" i="5"/>
  <c r="G366" i="5"/>
  <c r="G374" i="5"/>
  <c r="G382" i="5"/>
  <c r="G390" i="5"/>
  <c r="G398" i="5"/>
  <c r="G406" i="5"/>
  <c r="G414" i="5"/>
  <c r="G422" i="5"/>
  <c r="G430" i="5"/>
  <c r="G438" i="5"/>
  <c r="G446" i="5"/>
  <c r="G454" i="5"/>
  <c r="G462" i="5"/>
  <c r="G470" i="5"/>
  <c r="G478" i="5"/>
  <c r="G486" i="5"/>
  <c r="G494" i="5"/>
  <c r="G502" i="5"/>
  <c r="G510" i="5"/>
  <c r="G518" i="5"/>
  <c r="G526" i="5"/>
  <c r="G534" i="5"/>
  <c r="G542" i="5"/>
  <c r="G550" i="5"/>
  <c r="G558" i="5"/>
  <c r="G566" i="5"/>
  <c r="G574" i="5"/>
  <c r="G582" i="5"/>
  <c r="G590" i="5"/>
  <c r="G598" i="5"/>
  <c r="G606" i="5"/>
  <c r="G614" i="5"/>
  <c r="G622" i="5"/>
  <c r="G630" i="5"/>
  <c r="G638" i="5"/>
  <c r="G646" i="5"/>
  <c r="G654" i="5"/>
  <c r="G662" i="5"/>
  <c r="G670" i="5"/>
  <c r="G678" i="5"/>
  <c r="G686" i="5"/>
  <c r="G694" i="5"/>
  <c r="H554" i="5"/>
  <c r="H820" i="5"/>
  <c r="H884" i="5"/>
  <c r="H948" i="5"/>
  <c r="H974" i="5"/>
  <c r="H996" i="5"/>
  <c r="H1015" i="5"/>
  <c r="H1038" i="5"/>
  <c r="H1060" i="5"/>
  <c r="H1079" i="5"/>
  <c r="H1102" i="5"/>
  <c r="H1124" i="5"/>
  <c r="H1143" i="5"/>
  <c r="H1166" i="5"/>
  <c r="H1188" i="5"/>
  <c r="G12" i="5"/>
  <c r="G35" i="5"/>
  <c r="G57" i="5"/>
  <c r="G76" i="5"/>
  <c r="G99" i="5"/>
  <c r="G121" i="5"/>
  <c r="G140" i="5"/>
  <c r="G163" i="5"/>
  <c r="G185" i="5"/>
  <c r="G199" i="5"/>
  <c r="G207" i="5"/>
  <c r="G215" i="5"/>
  <c r="G223" i="5"/>
  <c r="G231" i="5"/>
  <c r="G239" i="5"/>
  <c r="G247" i="5"/>
  <c r="G255" i="5"/>
  <c r="G263" i="5"/>
  <c r="G271" i="5"/>
  <c r="G279" i="5"/>
  <c r="G287" i="5"/>
  <c r="G295" i="5"/>
  <c r="G303" i="5"/>
  <c r="G311" i="5"/>
  <c r="G319" i="5"/>
  <c r="G327" i="5"/>
  <c r="G335" i="5"/>
  <c r="G343" i="5"/>
  <c r="G351" i="5"/>
  <c r="G359" i="5"/>
  <c r="G367" i="5"/>
  <c r="G375" i="5"/>
  <c r="G383" i="5"/>
  <c r="G391" i="5"/>
  <c r="G399" i="5"/>
  <c r="G407" i="5"/>
  <c r="G415" i="5"/>
  <c r="G423" i="5"/>
  <c r="G431" i="5"/>
  <c r="G439" i="5"/>
  <c r="G447" i="5"/>
  <c r="G455" i="5"/>
  <c r="G463" i="5"/>
  <c r="G471" i="5"/>
  <c r="G479" i="5"/>
  <c r="G487" i="5"/>
  <c r="G495" i="5"/>
  <c r="G503" i="5"/>
  <c r="G511" i="5"/>
  <c r="G519" i="5"/>
  <c r="G527" i="5"/>
  <c r="G535" i="5"/>
  <c r="G543" i="5"/>
  <c r="G551" i="5"/>
  <c r="G559" i="5"/>
  <c r="G567" i="5"/>
  <c r="G575" i="5"/>
  <c r="G583" i="5"/>
  <c r="G591" i="5"/>
  <c r="G599" i="5"/>
  <c r="G607" i="5"/>
  <c r="G615" i="5"/>
  <c r="G623" i="5"/>
  <c r="G631" i="5"/>
  <c r="G639" i="5"/>
  <c r="G647" i="5"/>
  <c r="G655" i="5"/>
  <c r="G663" i="5"/>
  <c r="G671" i="5"/>
  <c r="G679" i="5"/>
  <c r="G687" i="5"/>
  <c r="G695" i="5"/>
  <c r="G703" i="5"/>
  <c r="H37" i="5"/>
  <c r="H627" i="5"/>
  <c r="H828" i="5"/>
  <c r="H892" i="5"/>
  <c r="H956" i="5"/>
  <c r="H975" i="5"/>
  <c r="H998" i="5"/>
  <c r="H1020" i="5"/>
  <c r="H1039" i="5"/>
  <c r="H1062" i="5"/>
  <c r="H1084" i="5"/>
  <c r="H1103" i="5"/>
  <c r="H1126" i="5"/>
  <c r="H1148" i="5"/>
  <c r="H1167" i="5"/>
  <c r="H1190" i="5"/>
  <c r="G17" i="5"/>
  <c r="G36" i="5"/>
  <c r="G59" i="5"/>
  <c r="G81" i="5"/>
  <c r="G100" i="5"/>
  <c r="G123" i="5"/>
  <c r="G145" i="5"/>
  <c r="G164" i="5"/>
  <c r="G187" i="5"/>
  <c r="G200" i="5"/>
  <c r="G208" i="5"/>
  <c r="G216" i="5"/>
  <c r="G224" i="5"/>
  <c r="G232" i="5"/>
  <c r="G240" i="5"/>
  <c r="G248" i="5"/>
  <c r="G256" i="5"/>
  <c r="G264" i="5"/>
  <c r="G272" i="5"/>
  <c r="G280" i="5"/>
  <c r="G288" i="5"/>
  <c r="G296" i="5"/>
  <c r="G304" i="5"/>
  <c r="G312" i="5"/>
  <c r="G320" i="5"/>
  <c r="G328" i="5"/>
  <c r="G336" i="5"/>
  <c r="G344" i="5"/>
  <c r="G352" i="5"/>
  <c r="G360" i="5"/>
  <c r="G368" i="5"/>
  <c r="G376" i="5"/>
  <c r="G384" i="5"/>
  <c r="G392" i="5"/>
  <c r="G400" i="5"/>
  <c r="G408" i="5"/>
  <c r="G416" i="5"/>
  <c r="G424" i="5"/>
  <c r="G432" i="5"/>
  <c r="G440" i="5"/>
  <c r="G448" i="5"/>
  <c r="G456" i="5"/>
  <c r="G464" i="5"/>
  <c r="G472" i="5"/>
  <c r="G480" i="5"/>
  <c r="G488" i="5"/>
  <c r="G496" i="5"/>
  <c r="G504" i="5"/>
  <c r="G512" i="5"/>
  <c r="G520" i="5"/>
  <c r="G528" i="5"/>
  <c r="G536" i="5"/>
  <c r="G544" i="5"/>
  <c r="G552" i="5"/>
  <c r="G560" i="5"/>
  <c r="G568" i="5"/>
  <c r="H115" i="5"/>
  <c r="H697" i="5"/>
  <c r="H836" i="5"/>
  <c r="H900" i="5"/>
  <c r="H958" i="5"/>
  <c r="H980" i="5"/>
  <c r="H999" i="5"/>
  <c r="H1022" i="5"/>
  <c r="H1044" i="5"/>
  <c r="H1063" i="5"/>
  <c r="H1086" i="5"/>
  <c r="H1108" i="5"/>
  <c r="H1127" i="5"/>
  <c r="H1150" i="5"/>
  <c r="H1172" i="5"/>
  <c r="H1191" i="5"/>
  <c r="G19" i="5"/>
  <c r="G41" i="5"/>
  <c r="G60" i="5"/>
  <c r="G83" i="5"/>
  <c r="G105" i="5"/>
  <c r="G124" i="5"/>
  <c r="G147" i="5"/>
  <c r="G169" i="5"/>
  <c r="G188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305" i="5"/>
  <c r="G313" i="5"/>
  <c r="G321" i="5"/>
  <c r="G329" i="5"/>
  <c r="G337" i="5"/>
  <c r="G345" i="5"/>
  <c r="G353" i="5"/>
  <c r="G361" i="5"/>
  <c r="G369" i="5"/>
  <c r="G377" i="5"/>
  <c r="G385" i="5"/>
  <c r="G393" i="5"/>
  <c r="G401" i="5"/>
  <c r="G409" i="5"/>
  <c r="G417" i="5"/>
  <c r="G425" i="5"/>
  <c r="G433" i="5"/>
  <c r="G441" i="5"/>
  <c r="G449" i="5"/>
  <c r="G457" i="5"/>
  <c r="G465" i="5"/>
  <c r="G473" i="5"/>
  <c r="G481" i="5"/>
  <c r="G489" i="5"/>
  <c r="G497" i="5"/>
  <c r="G505" i="5"/>
  <c r="G513" i="5"/>
  <c r="G521" i="5"/>
  <c r="G529" i="5"/>
  <c r="H908" i="5"/>
  <c r="H1110" i="5"/>
  <c r="G84" i="5"/>
  <c r="G218" i="5"/>
  <c r="G282" i="5"/>
  <c r="G346" i="5"/>
  <c r="G410" i="5"/>
  <c r="G474" i="5"/>
  <c r="G537" i="5"/>
  <c r="G569" i="5"/>
  <c r="G592" i="5"/>
  <c r="G610" i="5"/>
  <c r="G633" i="5"/>
  <c r="G656" i="5"/>
  <c r="G674" i="5"/>
  <c r="G693" i="5"/>
  <c r="G706" i="5"/>
  <c r="G717" i="5"/>
  <c r="G726" i="5"/>
  <c r="G735" i="5"/>
  <c r="G744" i="5"/>
  <c r="G753" i="5"/>
  <c r="G762" i="5"/>
  <c r="G771" i="5"/>
  <c r="G781" i="5"/>
  <c r="G790" i="5"/>
  <c r="G798" i="5"/>
  <c r="G806" i="5"/>
  <c r="G814" i="5"/>
  <c r="G822" i="5"/>
  <c r="G830" i="5"/>
  <c r="G838" i="5"/>
  <c r="G846" i="5"/>
  <c r="G854" i="5"/>
  <c r="G862" i="5"/>
  <c r="G870" i="5"/>
  <c r="G878" i="5"/>
  <c r="G886" i="5"/>
  <c r="G894" i="5"/>
  <c r="G902" i="5"/>
  <c r="G910" i="5"/>
  <c r="G918" i="5"/>
  <c r="G926" i="5"/>
  <c r="G934" i="5"/>
  <c r="G942" i="5"/>
  <c r="G950" i="5"/>
  <c r="G958" i="5"/>
  <c r="G966" i="5"/>
  <c r="G974" i="5"/>
  <c r="G982" i="5"/>
  <c r="G990" i="5"/>
  <c r="G998" i="5"/>
  <c r="G1006" i="5"/>
  <c r="G1014" i="5"/>
  <c r="G1022" i="5"/>
  <c r="G1030" i="5"/>
  <c r="G1038" i="5"/>
  <c r="G1046" i="5"/>
  <c r="G1054" i="5"/>
  <c r="G1062" i="5"/>
  <c r="G1070" i="5"/>
  <c r="G1078" i="5"/>
  <c r="G1086" i="5"/>
  <c r="G1094" i="5"/>
  <c r="G1102" i="5"/>
  <c r="G1110" i="5"/>
  <c r="G1118" i="5"/>
  <c r="G1126" i="5"/>
  <c r="G1134" i="5"/>
  <c r="G1142" i="5"/>
  <c r="G1150" i="5"/>
  <c r="G1158" i="5"/>
  <c r="G1166" i="5"/>
  <c r="G1174" i="5"/>
  <c r="G1182" i="5"/>
  <c r="G1190" i="5"/>
  <c r="G1198" i="5"/>
  <c r="B12" i="6" s="1"/>
  <c r="E6" i="5"/>
  <c r="E14" i="5"/>
  <c r="E22" i="5"/>
  <c r="E30" i="5"/>
  <c r="E38" i="5"/>
  <c r="E46" i="5"/>
  <c r="E54" i="5"/>
  <c r="E62" i="5"/>
  <c r="E70" i="5"/>
  <c r="E78" i="5"/>
  <c r="E86" i="5"/>
  <c r="E94" i="5"/>
  <c r="E102" i="5"/>
  <c r="E110" i="5"/>
  <c r="E118" i="5"/>
  <c r="E126" i="5"/>
  <c r="E134" i="5"/>
  <c r="E142" i="5"/>
  <c r="E150" i="5"/>
  <c r="E158" i="5"/>
  <c r="E166" i="5"/>
  <c r="E174" i="5"/>
  <c r="E182" i="5"/>
  <c r="E190" i="5"/>
  <c r="E198" i="5"/>
  <c r="E206" i="5"/>
  <c r="E214" i="5"/>
  <c r="E222" i="5"/>
  <c r="E230" i="5"/>
  <c r="E238" i="5"/>
  <c r="E246" i="5"/>
  <c r="E254" i="5"/>
  <c r="E262" i="5"/>
  <c r="E270" i="5"/>
  <c r="E278" i="5"/>
  <c r="E286" i="5"/>
  <c r="E294" i="5"/>
  <c r="E302" i="5"/>
  <c r="E310" i="5"/>
  <c r="E318" i="5"/>
  <c r="E326" i="5"/>
  <c r="E334" i="5"/>
  <c r="E342" i="5"/>
  <c r="E350" i="5"/>
  <c r="E358" i="5"/>
  <c r="E366" i="5"/>
  <c r="E374" i="5"/>
  <c r="E382" i="5"/>
  <c r="E390" i="5"/>
  <c r="E398" i="5"/>
  <c r="E406" i="5"/>
  <c r="E414" i="5"/>
  <c r="E422" i="5"/>
  <c r="E430" i="5"/>
  <c r="E438" i="5"/>
  <c r="E446" i="5"/>
  <c r="E454" i="5"/>
  <c r="E462" i="5"/>
  <c r="E470" i="5"/>
  <c r="E478" i="5"/>
  <c r="E486" i="5"/>
  <c r="E494" i="5"/>
  <c r="E502" i="5"/>
  <c r="E510" i="5"/>
  <c r="E518" i="5"/>
  <c r="E526" i="5"/>
  <c r="E534" i="5"/>
  <c r="E542" i="5"/>
  <c r="E550" i="5"/>
  <c r="E558" i="5"/>
  <c r="E566" i="5"/>
  <c r="E574" i="5"/>
  <c r="E582" i="5"/>
  <c r="E590" i="5"/>
  <c r="E598" i="5"/>
  <c r="E606" i="5"/>
  <c r="E614" i="5"/>
  <c r="E622" i="5"/>
  <c r="E630" i="5"/>
  <c r="E638" i="5"/>
  <c r="E646" i="5"/>
  <c r="E654" i="5"/>
  <c r="E662" i="5"/>
  <c r="E670" i="5"/>
  <c r="E678" i="5"/>
  <c r="E686" i="5"/>
  <c r="E694" i="5"/>
  <c r="E702" i="5"/>
  <c r="E710" i="5"/>
  <c r="E718" i="5"/>
  <c r="E726" i="5"/>
  <c r="E734" i="5"/>
  <c r="E742" i="5"/>
  <c r="H959" i="5"/>
  <c r="H1132" i="5"/>
  <c r="G107" i="5"/>
  <c r="G226" i="5"/>
  <c r="G290" i="5"/>
  <c r="G354" i="5"/>
  <c r="G418" i="5"/>
  <c r="G482" i="5"/>
  <c r="G538" i="5"/>
  <c r="G570" i="5"/>
  <c r="G593" i="5"/>
  <c r="G616" i="5"/>
  <c r="G634" i="5"/>
  <c r="G657" i="5"/>
  <c r="G680" i="5"/>
  <c r="G696" i="5"/>
  <c r="G709" i="5"/>
  <c r="G718" i="5"/>
  <c r="G727" i="5"/>
  <c r="G736" i="5"/>
  <c r="G745" i="5"/>
  <c r="G754" i="5"/>
  <c r="G763" i="5"/>
  <c r="G773" i="5"/>
  <c r="G782" i="5"/>
  <c r="G791" i="5"/>
  <c r="G799" i="5"/>
  <c r="G807" i="5"/>
  <c r="G815" i="5"/>
  <c r="G823" i="5"/>
  <c r="G831" i="5"/>
  <c r="G839" i="5"/>
  <c r="G847" i="5"/>
  <c r="G855" i="5"/>
  <c r="G863" i="5"/>
  <c r="G871" i="5"/>
  <c r="G879" i="5"/>
  <c r="G887" i="5"/>
  <c r="G895" i="5"/>
  <c r="G903" i="5"/>
  <c r="G911" i="5"/>
  <c r="G919" i="5"/>
  <c r="G927" i="5"/>
  <c r="G935" i="5"/>
  <c r="G943" i="5"/>
  <c r="G951" i="5"/>
  <c r="G959" i="5"/>
  <c r="G967" i="5"/>
  <c r="G975" i="5"/>
  <c r="G983" i="5"/>
  <c r="G991" i="5"/>
  <c r="G999" i="5"/>
  <c r="G1007" i="5"/>
  <c r="G1015" i="5"/>
  <c r="G1023" i="5"/>
  <c r="G1031" i="5"/>
  <c r="G1039" i="5"/>
  <c r="G1047" i="5"/>
  <c r="G1055" i="5"/>
  <c r="G1063" i="5"/>
  <c r="G1071" i="5"/>
  <c r="G1079" i="5"/>
  <c r="G1087" i="5"/>
  <c r="G1095" i="5"/>
  <c r="G1103" i="5"/>
  <c r="G1111" i="5"/>
  <c r="G1119" i="5"/>
  <c r="G1127" i="5"/>
  <c r="G1135" i="5"/>
  <c r="G1143" i="5"/>
  <c r="G1151" i="5"/>
  <c r="G1159" i="5"/>
  <c r="G1167" i="5"/>
  <c r="G1175" i="5"/>
  <c r="G1183" i="5"/>
  <c r="G1191" i="5"/>
  <c r="G3" i="5"/>
  <c r="H982" i="5"/>
  <c r="H1151" i="5"/>
  <c r="G129" i="5"/>
  <c r="G234" i="5"/>
  <c r="G298" i="5"/>
  <c r="G362" i="5"/>
  <c r="G426" i="5"/>
  <c r="G490" i="5"/>
  <c r="G545" i="5"/>
  <c r="G576" i="5"/>
  <c r="G594" i="5"/>
  <c r="G617" i="5"/>
  <c r="G640" i="5"/>
  <c r="G658" i="5"/>
  <c r="G681" i="5"/>
  <c r="G697" i="5"/>
  <c r="G710" i="5"/>
  <c r="G719" i="5"/>
  <c r="G728" i="5"/>
  <c r="G737" i="5"/>
  <c r="G746" i="5"/>
  <c r="G755" i="5"/>
  <c r="G765" i="5"/>
  <c r="G774" i="5"/>
  <c r="G783" i="5"/>
  <c r="G792" i="5"/>
  <c r="G800" i="5"/>
  <c r="G808" i="5"/>
  <c r="G816" i="5"/>
  <c r="G824" i="5"/>
  <c r="G832" i="5"/>
  <c r="G840" i="5"/>
  <c r="G848" i="5"/>
  <c r="G856" i="5"/>
  <c r="G864" i="5"/>
  <c r="G872" i="5"/>
  <c r="G880" i="5"/>
  <c r="G888" i="5"/>
  <c r="G896" i="5"/>
  <c r="G904" i="5"/>
  <c r="G912" i="5"/>
  <c r="G920" i="5"/>
  <c r="G928" i="5"/>
  <c r="G936" i="5"/>
  <c r="G944" i="5"/>
  <c r="G952" i="5"/>
  <c r="G960" i="5"/>
  <c r="G968" i="5"/>
  <c r="G976" i="5"/>
  <c r="G984" i="5"/>
  <c r="G992" i="5"/>
  <c r="G1000" i="5"/>
  <c r="G1008" i="5"/>
  <c r="G1016" i="5"/>
  <c r="G1024" i="5"/>
  <c r="G1032" i="5"/>
  <c r="G1040" i="5"/>
  <c r="G1048" i="5"/>
  <c r="G1056" i="5"/>
  <c r="G1064" i="5"/>
  <c r="G1072" i="5"/>
  <c r="G1080" i="5"/>
  <c r="G1088" i="5"/>
  <c r="G1096" i="5"/>
  <c r="G1104" i="5"/>
  <c r="G1112" i="5"/>
  <c r="G1120" i="5"/>
  <c r="G1128" i="5"/>
  <c r="G1136" i="5"/>
  <c r="G1144" i="5"/>
  <c r="G1152" i="5"/>
  <c r="G1160" i="5"/>
  <c r="G1168" i="5"/>
  <c r="G1176" i="5"/>
  <c r="G1184" i="5"/>
  <c r="G1192" i="5"/>
  <c r="E8" i="5"/>
  <c r="E16" i="5"/>
  <c r="E24" i="5"/>
  <c r="E32" i="5"/>
  <c r="E40" i="5"/>
  <c r="E48" i="5"/>
  <c r="E56" i="5"/>
  <c r="E64" i="5"/>
  <c r="E72" i="5"/>
  <c r="E80" i="5"/>
  <c r="E88" i="5"/>
  <c r="E96" i="5"/>
  <c r="E104" i="5"/>
  <c r="E112" i="5"/>
  <c r="E120" i="5"/>
  <c r="E128" i="5"/>
  <c r="E136" i="5"/>
  <c r="E144" i="5"/>
  <c r="E152" i="5"/>
  <c r="E160" i="5"/>
  <c r="E168" i="5"/>
  <c r="E176" i="5"/>
  <c r="E184" i="5"/>
  <c r="E192" i="5"/>
  <c r="E200" i="5"/>
  <c r="E208" i="5"/>
  <c r="E216" i="5"/>
  <c r="E224" i="5"/>
  <c r="E232" i="5"/>
  <c r="E240" i="5"/>
  <c r="E248" i="5"/>
  <c r="E256" i="5"/>
  <c r="E264" i="5"/>
  <c r="E272" i="5"/>
  <c r="E280" i="5"/>
  <c r="E288" i="5"/>
  <c r="E296" i="5"/>
  <c r="E304" i="5"/>
  <c r="E312" i="5"/>
  <c r="E320" i="5"/>
  <c r="E328" i="5"/>
  <c r="E336" i="5"/>
  <c r="E344" i="5"/>
  <c r="E352" i="5"/>
  <c r="E360" i="5"/>
  <c r="E368" i="5"/>
  <c r="E376" i="5"/>
  <c r="E384" i="5"/>
  <c r="E392" i="5"/>
  <c r="E400" i="5"/>
  <c r="E408" i="5"/>
  <c r="E416" i="5"/>
  <c r="E424" i="5"/>
  <c r="E432" i="5"/>
  <c r="E440" i="5"/>
  <c r="E448" i="5"/>
  <c r="E456" i="5"/>
  <c r="E464" i="5"/>
  <c r="E472" i="5"/>
  <c r="E480" i="5"/>
  <c r="E488" i="5"/>
  <c r="E496" i="5"/>
  <c r="E504" i="5"/>
  <c r="E512" i="5"/>
  <c r="E520" i="5"/>
  <c r="E528" i="5"/>
  <c r="E536" i="5"/>
  <c r="E544" i="5"/>
  <c r="E552" i="5"/>
  <c r="E560" i="5"/>
  <c r="E568" i="5"/>
  <c r="E576" i="5"/>
  <c r="E584" i="5"/>
  <c r="E592" i="5"/>
  <c r="E600" i="5"/>
  <c r="E608" i="5"/>
  <c r="E616" i="5"/>
  <c r="E624" i="5"/>
  <c r="E632" i="5"/>
  <c r="E640" i="5"/>
  <c r="E648" i="5"/>
  <c r="E656" i="5"/>
  <c r="E664" i="5"/>
  <c r="E672" i="5"/>
  <c r="E680" i="5"/>
  <c r="E688" i="5"/>
  <c r="E696" i="5"/>
  <c r="E704" i="5"/>
  <c r="E712" i="5"/>
  <c r="E720" i="5"/>
  <c r="E728" i="5"/>
  <c r="E736" i="5"/>
  <c r="E744" i="5"/>
  <c r="E752" i="5"/>
  <c r="H1004" i="5"/>
  <c r="H1174" i="5"/>
  <c r="G148" i="5"/>
  <c r="G242" i="5"/>
  <c r="G306" i="5"/>
  <c r="G370" i="5"/>
  <c r="G434" i="5"/>
  <c r="G498" i="5"/>
  <c r="G546" i="5"/>
  <c r="G577" i="5"/>
  <c r="G600" i="5"/>
  <c r="G618" i="5"/>
  <c r="G641" i="5"/>
  <c r="G664" i="5"/>
  <c r="G682" i="5"/>
  <c r="G698" i="5"/>
  <c r="G711" i="5"/>
  <c r="G720" i="5"/>
  <c r="G729" i="5"/>
  <c r="G738" i="5"/>
  <c r="G747" i="5"/>
  <c r="G757" i="5"/>
  <c r="G766" i="5"/>
  <c r="G775" i="5"/>
  <c r="G784" i="5"/>
  <c r="G793" i="5"/>
  <c r="G801" i="5"/>
  <c r="G809" i="5"/>
  <c r="G817" i="5"/>
  <c r="G825" i="5"/>
  <c r="G833" i="5"/>
  <c r="G841" i="5"/>
  <c r="G849" i="5"/>
  <c r="G857" i="5"/>
  <c r="G865" i="5"/>
  <c r="G873" i="5"/>
  <c r="G881" i="5"/>
  <c r="G889" i="5"/>
  <c r="G897" i="5"/>
  <c r="G905" i="5"/>
  <c r="G913" i="5"/>
  <c r="G921" i="5"/>
  <c r="G929" i="5"/>
  <c r="G937" i="5"/>
  <c r="G945" i="5"/>
  <c r="G953" i="5"/>
  <c r="G961" i="5"/>
  <c r="G969" i="5"/>
  <c r="G977" i="5"/>
  <c r="G985" i="5"/>
  <c r="G993" i="5"/>
  <c r="G1001" i="5"/>
  <c r="G1009" i="5"/>
  <c r="G1017" i="5"/>
  <c r="G1025" i="5"/>
  <c r="G1033" i="5"/>
  <c r="G1041" i="5"/>
  <c r="G1049" i="5"/>
  <c r="G1057" i="5"/>
  <c r="G1065" i="5"/>
  <c r="G1073" i="5"/>
  <c r="G1081" i="5"/>
  <c r="G1089" i="5"/>
  <c r="G1097" i="5"/>
  <c r="G1105" i="5"/>
  <c r="G1113" i="5"/>
  <c r="G1121" i="5"/>
  <c r="G1129" i="5"/>
  <c r="G1137" i="5"/>
  <c r="G1145" i="5"/>
  <c r="G1153" i="5"/>
  <c r="G1161" i="5"/>
  <c r="G1169" i="5"/>
  <c r="G1177" i="5"/>
  <c r="G1185" i="5"/>
  <c r="G1193" i="5"/>
  <c r="E9" i="5"/>
  <c r="E17" i="5"/>
  <c r="E25" i="5"/>
  <c r="E33" i="5"/>
  <c r="E41" i="5"/>
  <c r="E49" i="5"/>
  <c r="E57" i="5"/>
  <c r="E65" i="5"/>
  <c r="E73" i="5"/>
  <c r="E81" i="5"/>
  <c r="E89" i="5"/>
  <c r="E97" i="5"/>
  <c r="E105" i="5"/>
  <c r="E113" i="5"/>
  <c r="E121" i="5"/>
  <c r="E129" i="5"/>
  <c r="E137" i="5"/>
  <c r="E145" i="5"/>
  <c r="E153" i="5"/>
  <c r="E161" i="5"/>
  <c r="E169" i="5"/>
  <c r="E177" i="5"/>
  <c r="E185" i="5"/>
  <c r="E193" i="5"/>
  <c r="E201" i="5"/>
  <c r="E209" i="5"/>
  <c r="E217" i="5"/>
  <c r="E225" i="5"/>
  <c r="E233" i="5"/>
  <c r="E241" i="5"/>
  <c r="E249" i="5"/>
  <c r="E257" i="5"/>
  <c r="E265" i="5"/>
  <c r="E273" i="5"/>
  <c r="E281" i="5"/>
  <c r="E289" i="5"/>
  <c r="E297" i="5"/>
  <c r="E305" i="5"/>
  <c r="E313" i="5"/>
  <c r="E321" i="5"/>
  <c r="E329" i="5"/>
  <c r="E337" i="5"/>
  <c r="E345" i="5"/>
  <c r="E353" i="5"/>
  <c r="E361" i="5"/>
  <c r="E369" i="5"/>
  <c r="E377" i="5"/>
  <c r="E385" i="5"/>
  <c r="E393" i="5"/>
  <c r="E401" i="5"/>
  <c r="E409" i="5"/>
  <c r="E417" i="5"/>
  <c r="E425" i="5"/>
  <c r="E433" i="5"/>
  <c r="E441" i="5"/>
  <c r="E449" i="5"/>
  <c r="E457" i="5"/>
  <c r="E465" i="5"/>
  <c r="E473" i="5"/>
  <c r="E481" i="5"/>
  <c r="E489" i="5"/>
  <c r="E497" i="5"/>
  <c r="E505" i="5"/>
  <c r="E513" i="5"/>
  <c r="E521" i="5"/>
  <c r="E529" i="5"/>
  <c r="E537" i="5"/>
  <c r="E545" i="5"/>
  <c r="E553" i="5"/>
  <c r="E561" i="5"/>
  <c r="E569" i="5"/>
  <c r="E577" i="5"/>
  <c r="E585" i="5"/>
  <c r="E593" i="5"/>
  <c r="E601" i="5"/>
  <c r="E609" i="5"/>
  <c r="E617" i="5"/>
  <c r="E625" i="5"/>
  <c r="E633" i="5"/>
  <c r="E641" i="5"/>
  <c r="E649" i="5"/>
  <c r="E657" i="5"/>
  <c r="E665" i="5"/>
  <c r="E673" i="5"/>
  <c r="E681" i="5"/>
  <c r="E689" i="5"/>
  <c r="E697" i="5"/>
  <c r="H1023" i="5"/>
  <c r="H1196" i="5"/>
  <c r="G171" i="5"/>
  <c r="G250" i="5"/>
  <c r="G314" i="5"/>
  <c r="G378" i="5"/>
  <c r="G442" i="5"/>
  <c r="G506" i="5"/>
  <c r="G553" i="5"/>
  <c r="G578" i="5"/>
  <c r="G601" i="5"/>
  <c r="G624" i="5"/>
  <c r="G642" i="5"/>
  <c r="G665" i="5"/>
  <c r="G685" i="5"/>
  <c r="G701" i="5"/>
  <c r="G712" i="5"/>
  <c r="G721" i="5"/>
  <c r="G730" i="5"/>
  <c r="G739" i="5"/>
  <c r="G749" i="5"/>
  <c r="G758" i="5"/>
  <c r="G767" i="5"/>
  <c r="G776" i="5"/>
  <c r="G785" i="5"/>
  <c r="G794" i="5"/>
  <c r="G802" i="5"/>
  <c r="G810" i="5"/>
  <c r="G818" i="5"/>
  <c r="G826" i="5"/>
  <c r="G834" i="5"/>
  <c r="G842" i="5"/>
  <c r="G850" i="5"/>
  <c r="G858" i="5"/>
  <c r="G866" i="5"/>
  <c r="G874" i="5"/>
  <c r="G882" i="5"/>
  <c r="G890" i="5"/>
  <c r="G898" i="5"/>
  <c r="G906" i="5"/>
  <c r="G914" i="5"/>
  <c r="G922" i="5"/>
  <c r="G930" i="5"/>
  <c r="G938" i="5"/>
  <c r="G946" i="5"/>
  <c r="G954" i="5"/>
  <c r="G962" i="5"/>
  <c r="G970" i="5"/>
  <c r="G978" i="5"/>
  <c r="G986" i="5"/>
  <c r="G994" i="5"/>
  <c r="G1002" i="5"/>
  <c r="G1010" i="5"/>
  <c r="G1018" i="5"/>
  <c r="G1026" i="5"/>
  <c r="G1034" i="5"/>
  <c r="G1042" i="5"/>
  <c r="G1050" i="5"/>
  <c r="G1058" i="5"/>
  <c r="G1066" i="5"/>
  <c r="G1074" i="5"/>
  <c r="G1082" i="5"/>
  <c r="G1090" i="5"/>
  <c r="G1098" i="5"/>
  <c r="G1106" i="5"/>
  <c r="G1114" i="5"/>
  <c r="G1122" i="5"/>
  <c r="G1130" i="5"/>
  <c r="G1138" i="5"/>
  <c r="G1146" i="5"/>
  <c r="G1154" i="5"/>
  <c r="G1162" i="5"/>
  <c r="G1170" i="5"/>
  <c r="G1178" i="5"/>
  <c r="G1186" i="5"/>
  <c r="G1194" i="5"/>
  <c r="E10" i="5"/>
  <c r="E18" i="5"/>
  <c r="E26" i="5"/>
  <c r="E34" i="5"/>
  <c r="E42" i="5"/>
  <c r="E50" i="5"/>
  <c r="E58" i="5"/>
  <c r="E66" i="5"/>
  <c r="E74" i="5"/>
  <c r="H188" i="5"/>
  <c r="H1046" i="5"/>
  <c r="G20" i="5"/>
  <c r="G189" i="5"/>
  <c r="G258" i="5"/>
  <c r="G322" i="5"/>
  <c r="G386" i="5"/>
  <c r="G450" i="5"/>
  <c r="G514" i="5"/>
  <c r="G554" i="5"/>
  <c r="G584" i="5"/>
  <c r="G602" i="5"/>
  <c r="G625" i="5"/>
  <c r="G648" i="5"/>
  <c r="G666" i="5"/>
  <c r="G688" i="5"/>
  <c r="G702" i="5"/>
  <c r="G713" i="5"/>
  <c r="G722" i="5"/>
  <c r="G731" i="5"/>
  <c r="G741" i="5"/>
  <c r="G750" i="5"/>
  <c r="G759" i="5"/>
  <c r="G768" i="5"/>
  <c r="G777" i="5"/>
  <c r="G786" i="5"/>
  <c r="G795" i="5"/>
  <c r="G803" i="5"/>
  <c r="G811" i="5"/>
  <c r="G819" i="5"/>
  <c r="G827" i="5"/>
  <c r="G835" i="5"/>
  <c r="G843" i="5"/>
  <c r="G851" i="5"/>
  <c r="G859" i="5"/>
  <c r="G867" i="5"/>
  <c r="G875" i="5"/>
  <c r="G883" i="5"/>
  <c r="G891" i="5"/>
  <c r="G899" i="5"/>
  <c r="G907" i="5"/>
  <c r="G915" i="5"/>
  <c r="G923" i="5"/>
  <c r="G931" i="5"/>
  <c r="G939" i="5"/>
  <c r="G947" i="5"/>
  <c r="G955" i="5"/>
  <c r="G963" i="5"/>
  <c r="G971" i="5"/>
  <c r="G979" i="5"/>
  <c r="G987" i="5"/>
  <c r="G995" i="5"/>
  <c r="G1003" i="5"/>
  <c r="G1011" i="5"/>
  <c r="G1019" i="5"/>
  <c r="G1027" i="5"/>
  <c r="G1035" i="5"/>
  <c r="G1043" i="5"/>
  <c r="G1051" i="5"/>
  <c r="G1059" i="5"/>
  <c r="G1067" i="5"/>
  <c r="G1075" i="5"/>
  <c r="G1083" i="5"/>
  <c r="G1091" i="5"/>
  <c r="G1099" i="5"/>
  <c r="G1107" i="5"/>
  <c r="G1115" i="5"/>
  <c r="G1123" i="5"/>
  <c r="G1131" i="5"/>
  <c r="G1139" i="5"/>
  <c r="G1147" i="5"/>
  <c r="G1155" i="5"/>
  <c r="G1163" i="5"/>
  <c r="G1171" i="5"/>
  <c r="G1179" i="5"/>
  <c r="G1187" i="5"/>
  <c r="G1195" i="5"/>
  <c r="E11" i="5"/>
  <c r="E19" i="5"/>
  <c r="E27" i="5"/>
  <c r="E35" i="5"/>
  <c r="E43" i="5"/>
  <c r="E51" i="5"/>
  <c r="E59" i="5"/>
  <c r="E67" i="5"/>
  <c r="E75" i="5"/>
  <c r="E83" i="5"/>
  <c r="E91" i="5"/>
  <c r="E99" i="5"/>
  <c r="E107" i="5"/>
  <c r="E115" i="5"/>
  <c r="E123" i="5"/>
  <c r="E131" i="5"/>
  <c r="E139" i="5"/>
  <c r="E147" i="5"/>
  <c r="E155" i="5"/>
  <c r="E163" i="5"/>
  <c r="E171" i="5"/>
  <c r="E179" i="5"/>
  <c r="E187" i="5"/>
  <c r="E195" i="5"/>
  <c r="E203" i="5"/>
  <c r="E211" i="5"/>
  <c r="E219" i="5"/>
  <c r="E227" i="5"/>
  <c r="E235" i="5"/>
  <c r="E243" i="5"/>
  <c r="E251" i="5"/>
  <c r="E259" i="5"/>
  <c r="E267" i="5"/>
  <c r="E275" i="5"/>
  <c r="E283" i="5"/>
  <c r="E291" i="5"/>
  <c r="E299" i="5"/>
  <c r="E307" i="5"/>
  <c r="E315" i="5"/>
  <c r="E323" i="5"/>
  <c r="E331" i="5"/>
  <c r="E339" i="5"/>
  <c r="E347" i="5"/>
  <c r="E355" i="5"/>
  <c r="E363" i="5"/>
  <c r="E371" i="5"/>
  <c r="E379" i="5"/>
  <c r="E387" i="5"/>
  <c r="E395" i="5"/>
  <c r="E403" i="5"/>
  <c r="E411" i="5"/>
  <c r="E419" i="5"/>
  <c r="E427" i="5"/>
  <c r="E435" i="5"/>
  <c r="E443" i="5"/>
  <c r="E451" i="5"/>
  <c r="E459" i="5"/>
  <c r="E467" i="5"/>
  <c r="E475" i="5"/>
  <c r="E483" i="5"/>
  <c r="E491" i="5"/>
  <c r="E499" i="5"/>
  <c r="E507" i="5"/>
  <c r="E515" i="5"/>
  <c r="E523" i="5"/>
  <c r="E531" i="5"/>
  <c r="E539" i="5"/>
  <c r="E547" i="5"/>
  <c r="E555" i="5"/>
  <c r="E563" i="5"/>
  <c r="E571" i="5"/>
  <c r="E579" i="5"/>
  <c r="E587" i="5"/>
  <c r="E595" i="5"/>
  <c r="E603" i="5"/>
  <c r="E611" i="5"/>
  <c r="E619" i="5"/>
  <c r="E627" i="5"/>
  <c r="E635" i="5"/>
  <c r="E643" i="5"/>
  <c r="E651" i="5"/>
  <c r="E659" i="5"/>
  <c r="E667" i="5"/>
  <c r="E675" i="5"/>
  <c r="E683" i="5"/>
  <c r="E691" i="5"/>
  <c r="E699" i="5"/>
  <c r="E707" i="5"/>
  <c r="E715" i="5"/>
  <c r="E723" i="5"/>
  <c r="E731" i="5"/>
  <c r="E739" i="5"/>
  <c r="E747" i="5"/>
  <c r="H761" i="5"/>
  <c r="H1068" i="5"/>
  <c r="G43" i="5"/>
  <c r="G202" i="5"/>
  <c r="G266" i="5"/>
  <c r="G330" i="5"/>
  <c r="G394" i="5"/>
  <c r="G458" i="5"/>
  <c r="G522" i="5"/>
  <c r="G561" i="5"/>
  <c r="G585" i="5"/>
  <c r="G608" i="5"/>
  <c r="G626" i="5"/>
  <c r="G649" i="5"/>
  <c r="G672" i="5"/>
  <c r="G689" i="5"/>
  <c r="G704" i="5"/>
  <c r="G714" i="5"/>
  <c r="G723" i="5"/>
  <c r="G733" i="5"/>
  <c r="G742" i="5"/>
  <c r="G751" i="5"/>
  <c r="G760" i="5"/>
  <c r="G769" i="5"/>
  <c r="G778" i="5"/>
  <c r="G787" i="5"/>
  <c r="G796" i="5"/>
  <c r="G804" i="5"/>
  <c r="G812" i="5"/>
  <c r="G820" i="5"/>
  <c r="G828" i="5"/>
  <c r="G836" i="5"/>
  <c r="G844" i="5"/>
  <c r="G852" i="5"/>
  <c r="G860" i="5"/>
  <c r="G868" i="5"/>
  <c r="G876" i="5"/>
  <c r="G884" i="5"/>
  <c r="G892" i="5"/>
  <c r="G900" i="5"/>
  <c r="G908" i="5"/>
  <c r="G916" i="5"/>
  <c r="G924" i="5"/>
  <c r="G932" i="5"/>
  <c r="G940" i="5"/>
  <c r="G948" i="5"/>
  <c r="G956" i="5"/>
  <c r="G964" i="5"/>
  <c r="G972" i="5"/>
  <c r="G980" i="5"/>
  <c r="G988" i="5"/>
  <c r="G996" i="5"/>
  <c r="G1004" i="5"/>
  <c r="G1012" i="5"/>
  <c r="G1020" i="5"/>
  <c r="G1028" i="5"/>
  <c r="G1036" i="5"/>
  <c r="G1044" i="5"/>
  <c r="G1052" i="5"/>
  <c r="G1060" i="5"/>
  <c r="G1068" i="5"/>
  <c r="G1076" i="5"/>
  <c r="G1084" i="5"/>
  <c r="G1092" i="5"/>
  <c r="G1100" i="5"/>
  <c r="G1108" i="5"/>
  <c r="G1116" i="5"/>
  <c r="G1124" i="5"/>
  <c r="G1132" i="5"/>
  <c r="G1140" i="5"/>
  <c r="G1148" i="5"/>
  <c r="G1156" i="5"/>
  <c r="G1164" i="5"/>
  <c r="G1172" i="5"/>
  <c r="G1180" i="5"/>
  <c r="G1188" i="5"/>
  <c r="G1196" i="5"/>
  <c r="E4" i="5"/>
  <c r="E12" i="5"/>
  <c r="E20" i="5"/>
  <c r="E28" i="5"/>
  <c r="E36" i="5"/>
  <c r="E44" i="5"/>
  <c r="E52" i="5"/>
  <c r="E60" i="5"/>
  <c r="E68" i="5"/>
  <c r="E76" i="5"/>
  <c r="E84" i="5"/>
  <c r="E92" i="5"/>
  <c r="E100" i="5"/>
  <c r="E108" i="5"/>
  <c r="E116" i="5"/>
  <c r="E124" i="5"/>
  <c r="E132" i="5"/>
  <c r="E140" i="5"/>
  <c r="E148" i="5"/>
  <c r="E156" i="5"/>
  <c r="E164" i="5"/>
  <c r="E172" i="5"/>
  <c r="E180" i="5"/>
  <c r="E188" i="5"/>
  <c r="E196" i="5"/>
  <c r="E204" i="5"/>
  <c r="E212" i="5"/>
  <c r="E220" i="5"/>
  <c r="E228" i="5"/>
  <c r="E236" i="5"/>
  <c r="E244" i="5"/>
  <c r="E252" i="5"/>
  <c r="E260" i="5"/>
  <c r="E268" i="5"/>
  <c r="E276" i="5"/>
  <c r="E284" i="5"/>
  <c r="E292" i="5"/>
  <c r="E300" i="5"/>
  <c r="E308" i="5"/>
  <c r="E316" i="5"/>
  <c r="E324" i="5"/>
  <c r="E332" i="5"/>
  <c r="E340" i="5"/>
  <c r="E348" i="5"/>
  <c r="E356" i="5"/>
  <c r="E364" i="5"/>
  <c r="E372" i="5"/>
  <c r="E380" i="5"/>
  <c r="E388" i="5"/>
  <c r="E396" i="5"/>
  <c r="E404" i="5"/>
  <c r="E412" i="5"/>
  <c r="E420" i="5"/>
  <c r="E428" i="5"/>
  <c r="E436" i="5"/>
  <c r="E444" i="5"/>
  <c r="E452" i="5"/>
  <c r="E460" i="5"/>
  <c r="E468" i="5"/>
  <c r="E476" i="5"/>
  <c r="E484" i="5"/>
  <c r="E492" i="5"/>
  <c r="E500" i="5"/>
  <c r="E508" i="5"/>
  <c r="E516" i="5"/>
  <c r="E524" i="5"/>
  <c r="E532" i="5"/>
  <c r="E540" i="5"/>
  <c r="E548" i="5"/>
  <c r="E556" i="5"/>
  <c r="E564" i="5"/>
  <c r="E572" i="5"/>
  <c r="E580" i="5"/>
  <c r="E588" i="5"/>
  <c r="E596" i="5"/>
  <c r="E604" i="5"/>
  <c r="E612" i="5"/>
  <c r="E620" i="5"/>
  <c r="E628" i="5"/>
  <c r="E636" i="5"/>
  <c r="E644" i="5"/>
  <c r="E652" i="5"/>
  <c r="E660" i="5"/>
  <c r="E668" i="5"/>
  <c r="E676" i="5"/>
  <c r="E684" i="5"/>
  <c r="E692" i="5"/>
  <c r="E700" i="5"/>
  <c r="E1196" i="5"/>
  <c r="E1188" i="5"/>
  <c r="E1180" i="5"/>
  <c r="E1172" i="5"/>
  <c r="E1164" i="5"/>
  <c r="E1156" i="5"/>
  <c r="E1148" i="5"/>
  <c r="E1140" i="5"/>
  <c r="E1132" i="5"/>
  <c r="E1124" i="5"/>
  <c r="E1116" i="5"/>
  <c r="E1108" i="5"/>
  <c r="E1100" i="5"/>
  <c r="E1092" i="5"/>
  <c r="E1084" i="5"/>
  <c r="E1076" i="5"/>
  <c r="E1068" i="5"/>
  <c r="E1060" i="5"/>
  <c r="E1052" i="5"/>
  <c r="E1044" i="5"/>
  <c r="E1036" i="5"/>
  <c r="E1028" i="5"/>
  <c r="E1020" i="5"/>
  <c r="E1012" i="5"/>
  <c r="E1004" i="5"/>
  <c r="E996" i="5"/>
  <c r="E988" i="5"/>
  <c r="E980" i="5"/>
  <c r="E972" i="5"/>
  <c r="E964" i="5"/>
  <c r="E956" i="5"/>
  <c r="E948" i="5"/>
  <c r="E940" i="5"/>
  <c r="E932" i="5"/>
  <c r="E924" i="5"/>
  <c r="E916" i="5"/>
  <c r="E908" i="5"/>
  <c r="E900" i="5"/>
  <c r="E892" i="5"/>
  <c r="E884" i="5"/>
  <c r="E876" i="5"/>
  <c r="E868" i="5"/>
  <c r="E860" i="5"/>
  <c r="E852" i="5"/>
  <c r="E844" i="5"/>
  <c r="E836" i="5"/>
  <c r="E828" i="5"/>
  <c r="E820" i="5"/>
  <c r="E812" i="5"/>
  <c r="E804" i="5"/>
  <c r="E796" i="5"/>
  <c r="E788" i="5"/>
  <c r="E780" i="5"/>
  <c r="E772" i="5"/>
  <c r="E764" i="5"/>
  <c r="E756" i="5"/>
  <c r="E746" i="5"/>
  <c r="E733" i="5"/>
  <c r="E721" i="5"/>
  <c r="E708" i="5"/>
  <c r="E690" i="5"/>
  <c r="E669" i="5"/>
  <c r="E647" i="5"/>
  <c r="E626" i="5"/>
  <c r="E605" i="5"/>
  <c r="E583" i="5"/>
  <c r="E562" i="5"/>
  <c r="E541" i="5"/>
  <c r="E519" i="5"/>
  <c r="E498" i="5"/>
  <c r="E477" i="5"/>
  <c r="E455" i="5"/>
  <c r="E434" i="5"/>
  <c r="E413" i="5"/>
  <c r="E391" i="5"/>
  <c r="E370" i="5"/>
  <c r="E349" i="5"/>
  <c r="E327" i="5"/>
  <c r="E306" i="5"/>
  <c r="E285" i="5"/>
  <c r="E263" i="5"/>
  <c r="E242" i="5"/>
  <c r="E221" i="5"/>
  <c r="E199" i="5"/>
  <c r="E178" i="5"/>
  <c r="E157" i="5"/>
  <c r="E135" i="5"/>
  <c r="E114" i="5"/>
  <c r="E93" i="5"/>
  <c r="E69" i="5"/>
  <c r="E37" i="5"/>
  <c r="E5" i="5"/>
  <c r="G1173" i="5"/>
  <c r="G1109" i="5"/>
  <c r="G1045" i="5"/>
  <c r="G981" i="5"/>
  <c r="G917" i="5"/>
  <c r="G853" i="5"/>
  <c r="G789" i="5"/>
  <c r="G715" i="5"/>
  <c r="G562" i="5"/>
  <c r="H1087" i="5"/>
  <c r="E1165" i="5"/>
  <c r="E1125" i="5"/>
  <c r="E1085" i="5"/>
  <c r="E1037" i="5"/>
  <c r="E997" i="5"/>
  <c r="E933" i="5"/>
  <c r="E869" i="5"/>
  <c r="E813" i="5"/>
  <c r="E765" i="5"/>
  <c r="E671" i="5"/>
  <c r="E543" i="5"/>
  <c r="E415" i="5"/>
  <c r="E245" i="5"/>
  <c r="E138" i="5"/>
  <c r="G1117" i="5"/>
  <c r="B2" i="6"/>
  <c r="B4" i="6"/>
  <c r="B3" i="6"/>
  <c r="E1171" i="5"/>
  <c r="E1123" i="5"/>
  <c r="E1083" i="5"/>
  <c r="E1043" i="5"/>
  <c r="E1003" i="5"/>
  <c r="E971" i="5"/>
  <c r="E923" i="5"/>
  <c r="E883" i="5"/>
  <c r="E843" i="5"/>
  <c r="E819" i="5"/>
  <c r="E779" i="5"/>
  <c r="E706" i="5"/>
  <c r="E559" i="5"/>
  <c r="E410" i="5"/>
  <c r="E175" i="5"/>
  <c r="G779" i="5"/>
  <c r="E1194" i="5"/>
  <c r="E1186" i="5"/>
  <c r="E1178" i="5"/>
  <c r="E1170" i="5"/>
  <c r="E1162" i="5"/>
  <c r="E1154" i="5"/>
  <c r="E1146" i="5"/>
  <c r="E1138" i="5"/>
  <c r="E1130" i="5"/>
  <c r="E1122" i="5"/>
  <c r="E1114" i="5"/>
  <c r="E1106" i="5"/>
  <c r="E1098" i="5"/>
  <c r="E1090" i="5"/>
  <c r="E1082" i="5"/>
  <c r="E1074" i="5"/>
  <c r="E1066" i="5"/>
  <c r="E1058" i="5"/>
  <c r="E1050" i="5"/>
  <c r="E1042" i="5"/>
  <c r="E1034" i="5"/>
  <c r="E1026" i="5"/>
  <c r="E1018" i="5"/>
  <c r="E1010" i="5"/>
  <c r="E1002" i="5"/>
  <c r="E994" i="5"/>
  <c r="E986" i="5"/>
  <c r="E978" i="5"/>
  <c r="E970" i="5"/>
  <c r="E962" i="5"/>
  <c r="E954" i="5"/>
  <c r="E946" i="5"/>
  <c r="E938" i="5"/>
  <c r="E930" i="5"/>
  <c r="E922" i="5"/>
  <c r="E914" i="5"/>
  <c r="E906" i="5"/>
  <c r="E898" i="5"/>
  <c r="E890" i="5"/>
  <c r="E882" i="5"/>
  <c r="E874" i="5"/>
  <c r="E866" i="5"/>
  <c r="E858" i="5"/>
  <c r="E850" i="5"/>
  <c r="E842" i="5"/>
  <c r="E834" i="5"/>
  <c r="E826" i="5"/>
  <c r="E818" i="5"/>
  <c r="E810" i="5"/>
  <c r="E802" i="5"/>
  <c r="E794" i="5"/>
  <c r="E786" i="5"/>
  <c r="E778" i="5"/>
  <c r="E770" i="5"/>
  <c r="E762" i="5"/>
  <c r="E754" i="5"/>
  <c r="E743" i="5"/>
  <c r="E730" i="5"/>
  <c r="E717" i="5"/>
  <c r="E705" i="5"/>
  <c r="E685" i="5"/>
  <c r="E663" i="5"/>
  <c r="E642" i="5"/>
  <c r="E621" i="5"/>
  <c r="E599" i="5"/>
  <c r="E578" i="5"/>
  <c r="E557" i="5"/>
  <c r="E535" i="5"/>
  <c r="E514" i="5"/>
  <c r="E493" i="5"/>
  <c r="E471" i="5"/>
  <c r="E450" i="5"/>
  <c r="E429" i="5"/>
  <c r="E407" i="5"/>
  <c r="E386" i="5"/>
  <c r="E365" i="5"/>
  <c r="E343" i="5"/>
  <c r="E322" i="5"/>
  <c r="E301" i="5"/>
  <c r="E279" i="5"/>
  <c r="E258" i="5"/>
  <c r="E237" i="5"/>
  <c r="E215" i="5"/>
  <c r="E194" i="5"/>
  <c r="E173" i="5"/>
  <c r="E151" i="5"/>
  <c r="E130" i="5"/>
  <c r="E109" i="5"/>
  <c r="E87" i="5"/>
  <c r="E61" i="5"/>
  <c r="E29" i="5"/>
  <c r="G1157" i="5"/>
  <c r="G1093" i="5"/>
  <c r="G1029" i="5"/>
  <c r="G965" i="5"/>
  <c r="G901" i="5"/>
  <c r="G837" i="5"/>
  <c r="G770" i="5"/>
  <c r="G690" i="5"/>
  <c r="G466" i="5"/>
  <c r="E1157" i="5"/>
  <c r="E1117" i="5"/>
  <c r="E1077" i="5"/>
  <c r="E1029" i="5"/>
  <c r="E973" i="5"/>
  <c r="E909" i="5"/>
  <c r="E861" i="5"/>
  <c r="E821" i="5"/>
  <c r="E781" i="5"/>
  <c r="E722" i="5"/>
  <c r="E607" i="5"/>
  <c r="E501" i="5"/>
  <c r="E394" i="5"/>
  <c r="E287" i="5"/>
  <c r="E159" i="5"/>
  <c r="E7" i="5"/>
  <c r="G1053" i="5"/>
  <c r="G925" i="5"/>
  <c r="G797" i="5"/>
  <c r="G725" i="5"/>
  <c r="G65" i="5"/>
  <c r="E1155" i="5"/>
  <c r="E1115" i="5"/>
  <c r="E1075" i="5"/>
  <c r="E1035" i="5"/>
  <c r="E995" i="5"/>
  <c r="E939" i="5"/>
  <c r="E891" i="5"/>
  <c r="E851" i="5"/>
  <c r="E811" i="5"/>
  <c r="E745" i="5"/>
  <c r="E623" i="5"/>
  <c r="E474" i="5"/>
  <c r="E303" i="5"/>
  <c r="E63" i="5"/>
  <c r="G1165" i="5"/>
  <c r="G845" i="5"/>
  <c r="E1193" i="5"/>
  <c r="E1185" i="5"/>
  <c r="E1177" i="5"/>
  <c r="E1169" i="5"/>
  <c r="E1161" i="5"/>
  <c r="E1153" i="5"/>
  <c r="E1145" i="5"/>
  <c r="E1137" i="5"/>
  <c r="E1129" i="5"/>
  <c r="E1121" i="5"/>
  <c r="E1113" i="5"/>
  <c r="E1105" i="5"/>
  <c r="E1097" i="5"/>
  <c r="E1089" i="5"/>
  <c r="E1081" i="5"/>
  <c r="E1073" i="5"/>
  <c r="E1065" i="5"/>
  <c r="E1057" i="5"/>
  <c r="E1049" i="5"/>
  <c r="E1041" i="5"/>
  <c r="E1033" i="5"/>
  <c r="E1025" i="5"/>
  <c r="E1017" i="5"/>
  <c r="E1009" i="5"/>
  <c r="E1001" i="5"/>
  <c r="E993" i="5"/>
  <c r="E985" i="5"/>
  <c r="E977" i="5"/>
  <c r="E969" i="5"/>
  <c r="E961" i="5"/>
  <c r="E953" i="5"/>
  <c r="E945" i="5"/>
  <c r="E937" i="5"/>
  <c r="E929" i="5"/>
  <c r="E921" i="5"/>
  <c r="E913" i="5"/>
  <c r="E905" i="5"/>
  <c r="E897" i="5"/>
  <c r="E889" i="5"/>
  <c r="E881" i="5"/>
  <c r="E873" i="5"/>
  <c r="E865" i="5"/>
  <c r="E857" i="5"/>
  <c r="E849" i="5"/>
  <c r="E841" i="5"/>
  <c r="E833" i="5"/>
  <c r="E825" i="5"/>
  <c r="E817" i="5"/>
  <c r="E809" i="5"/>
  <c r="E801" i="5"/>
  <c r="E793" i="5"/>
  <c r="E785" i="5"/>
  <c r="E777" i="5"/>
  <c r="E769" i="5"/>
  <c r="E761" i="5"/>
  <c r="E753" i="5"/>
  <c r="E741" i="5"/>
  <c r="E729" i="5"/>
  <c r="E716" i="5"/>
  <c r="E703" i="5"/>
  <c r="E682" i="5"/>
  <c r="E661" i="5"/>
  <c r="E639" i="5"/>
  <c r="E618" i="5"/>
  <c r="E597" i="5"/>
  <c r="E575" i="5"/>
  <c r="E554" i="5"/>
  <c r="E533" i="5"/>
  <c r="E511" i="5"/>
  <c r="E490" i="5"/>
  <c r="E469" i="5"/>
  <c r="E447" i="5"/>
  <c r="E426" i="5"/>
  <c r="E405" i="5"/>
  <c r="E383" i="5"/>
  <c r="E362" i="5"/>
  <c r="E341" i="5"/>
  <c r="E319" i="5"/>
  <c r="E298" i="5"/>
  <c r="E277" i="5"/>
  <c r="E255" i="5"/>
  <c r="E234" i="5"/>
  <c r="E213" i="5"/>
  <c r="E191" i="5"/>
  <c r="E170" i="5"/>
  <c r="E149" i="5"/>
  <c r="E127" i="5"/>
  <c r="E106" i="5"/>
  <c r="E85" i="5"/>
  <c r="E55" i="5"/>
  <c r="E23" i="5"/>
  <c r="G1149" i="5"/>
  <c r="G1085" i="5"/>
  <c r="G1021" i="5"/>
  <c r="G957" i="5"/>
  <c r="G893" i="5"/>
  <c r="G829" i="5"/>
  <c r="G761" i="5"/>
  <c r="G673" i="5"/>
  <c r="G402" i="5"/>
  <c r="E1173" i="5"/>
  <c r="E1109" i="5"/>
  <c r="E1053" i="5"/>
  <c r="E981" i="5"/>
  <c r="E901" i="5"/>
  <c r="E837" i="5"/>
  <c r="E773" i="5"/>
  <c r="E650" i="5"/>
  <c r="E479" i="5"/>
  <c r="E330" i="5"/>
  <c r="E71" i="5"/>
  <c r="E1195" i="5"/>
  <c r="E1163" i="5"/>
  <c r="E1131" i="5"/>
  <c r="E1091" i="5"/>
  <c r="E1051" i="5"/>
  <c r="E1011" i="5"/>
  <c r="E963" i="5"/>
  <c r="E931" i="5"/>
  <c r="E899" i="5"/>
  <c r="E859" i="5"/>
  <c r="E795" i="5"/>
  <c r="E755" i="5"/>
  <c r="E687" i="5"/>
  <c r="E538" i="5"/>
  <c r="E367" i="5"/>
  <c r="E111" i="5"/>
  <c r="G705" i="5"/>
  <c r="E1192" i="5"/>
  <c r="E1184" i="5"/>
  <c r="E1176" i="5"/>
  <c r="E1168" i="5"/>
  <c r="E1160" i="5"/>
  <c r="E1152" i="5"/>
  <c r="E1144" i="5"/>
  <c r="E1136" i="5"/>
  <c r="E1128" i="5"/>
  <c r="E1120" i="5"/>
  <c r="E1112" i="5"/>
  <c r="E1104" i="5"/>
  <c r="E1096" i="5"/>
  <c r="E1088" i="5"/>
  <c r="E1080" i="5"/>
  <c r="E1072" i="5"/>
  <c r="E1064" i="5"/>
  <c r="E1056" i="5"/>
  <c r="E1048" i="5"/>
  <c r="E1040" i="5"/>
  <c r="E1032" i="5"/>
  <c r="E1024" i="5"/>
  <c r="E1016" i="5"/>
  <c r="E1008" i="5"/>
  <c r="E1000" i="5"/>
  <c r="E992" i="5"/>
  <c r="E984" i="5"/>
  <c r="E976" i="5"/>
  <c r="E968" i="5"/>
  <c r="E960" i="5"/>
  <c r="E952" i="5"/>
  <c r="E944" i="5"/>
  <c r="E936" i="5"/>
  <c r="E928" i="5"/>
  <c r="E920" i="5"/>
  <c r="E912" i="5"/>
  <c r="E904" i="5"/>
  <c r="E896" i="5"/>
  <c r="E888" i="5"/>
  <c r="E880" i="5"/>
  <c r="E872" i="5"/>
  <c r="E864" i="5"/>
  <c r="E856" i="5"/>
  <c r="E848" i="5"/>
  <c r="E840" i="5"/>
  <c r="E832" i="5"/>
  <c r="E824" i="5"/>
  <c r="E816" i="5"/>
  <c r="E808" i="5"/>
  <c r="E800" i="5"/>
  <c r="E792" i="5"/>
  <c r="E784" i="5"/>
  <c r="E776" i="5"/>
  <c r="E768" i="5"/>
  <c r="E760" i="5"/>
  <c r="E751" i="5"/>
  <c r="E740" i="5"/>
  <c r="E727" i="5"/>
  <c r="E714" i="5"/>
  <c r="E701" i="5"/>
  <c r="E679" i="5"/>
  <c r="E658" i="5"/>
  <c r="E637" i="5"/>
  <c r="E615" i="5"/>
  <c r="E594" i="5"/>
  <c r="E573" i="5"/>
  <c r="E551" i="5"/>
  <c r="E530" i="5"/>
  <c r="E509" i="5"/>
  <c r="E487" i="5"/>
  <c r="E466" i="5"/>
  <c r="E445" i="5"/>
  <c r="E423" i="5"/>
  <c r="E402" i="5"/>
  <c r="E381" i="5"/>
  <c r="E359" i="5"/>
  <c r="E338" i="5"/>
  <c r="E317" i="5"/>
  <c r="E295" i="5"/>
  <c r="E274" i="5"/>
  <c r="E253" i="5"/>
  <c r="E231" i="5"/>
  <c r="E210" i="5"/>
  <c r="E189" i="5"/>
  <c r="E167" i="5"/>
  <c r="E146" i="5"/>
  <c r="E125" i="5"/>
  <c r="E103" i="5"/>
  <c r="E82" i="5"/>
  <c r="E53" i="5"/>
  <c r="E21" i="5"/>
  <c r="G1141" i="5"/>
  <c r="G1077" i="5"/>
  <c r="G1013" i="5"/>
  <c r="G949" i="5"/>
  <c r="G885" i="5"/>
  <c r="G821" i="5"/>
  <c r="G752" i="5"/>
  <c r="G650" i="5"/>
  <c r="G338" i="5"/>
  <c r="E1189" i="5"/>
  <c r="E1141" i="5"/>
  <c r="E1093" i="5"/>
  <c r="E1045" i="5"/>
  <c r="E1005" i="5"/>
  <c r="E965" i="5"/>
  <c r="E949" i="5"/>
  <c r="E917" i="5"/>
  <c r="E885" i="5"/>
  <c r="E845" i="5"/>
  <c r="E797" i="5"/>
  <c r="E757" i="5"/>
  <c r="E709" i="5"/>
  <c r="E586" i="5"/>
  <c r="E458" i="5"/>
  <c r="E351" i="5"/>
  <c r="E266" i="5"/>
  <c r="E202" i="5"/>
  <c r="E117" i="5"/>
  <c r="E1179" i="5"/>
  <c r="E1139" i="5"/>
  <c r="E1099" i="5"/>
  <c r="E1067" i="5"/>
  <c r="E1027" i="5"/>
  <c r="E987" i="5"/>
  <c r="E955" i="5"/>
  <c r="E915" i="5"/>
  <c r="E867" i="5"/>
  <c r="E827" i="5"/>
  <c r="E787" i="5"/>
  <c r="E763" i="5"/>
  <c r="E719" i="5"/>
  <c r="E645" i="5"/>
  <c r="E581" i="5"/>
  <c r="E495" i="5"/>
  <c r="E431" i="5"/>
  <c r="E346" i="5"/>
  <c r="E282" i="5"/>
  <c r="E239" i="5"/>
  <c r="E218" i="5"/>
  <c r="E154" i="5"/>
  <c r="E90" i="5"/>
  <c r="G1037" i="5"/>
  <c r="G909" i="5"/>
  <c r="G530" i="5"/>
  <c r="E3" i="5"/>
  <c r="E1191" i="5"/>
  <c r="E1183" i="5"/>
  <c r="E1175" i="5"/>
  <c r="E1167" i="5"/>
  <c r="E1159" i="5"/>
  <c r="E1151" i="5"/>
  <c r="E1143" i="5"/>
  <c r="E1135" i="5"/>
  <c r="E1127" i="5"/>
  <c r="E1119" i="5"/>
  <c r="E1111" i="5"/>
  <c r="E1103" i="5"/>
  <c r="E1095" i="5"/>
  <c r="E1087" i="5"/>
  <c r="E1079" i="5"/>
  <c r="E1071" i="5"/>
  <c r="E1063" i="5"/>
  <c r="E1055" i="5"/>
  <c r="E1047" i="5"/>
  <c r="E1039" i="5"/>
  <c r="E1031" i="5"/>
  <c r="E1023" i="5"/>
  <c r="E1015" i="5"/>
  <c r="E1007" i="5"/>
  <c r="E999" i="5"/>
  <c r="E991" i="5"/>
  <c r="E983" i="5"/>
  <c r="E975" i="5"/>
  <c r="E967" i="5"/>
  <c r="E959" i="5"/>
  <c r="E951" i="5"/>
  <c r="E943" i="5"/>
  <c r="E935" i="5"/>
  <c r="E927" i="5"/>
  <c r="E919" i="5"/>
  <c r="E911" i="5"/>
  <c r="E903" i="5"/>
  <c r="E895" i="5"/>
  <c r="E887" i="5"/>
  <c r="E879" i="5"/>
  <c r="E871" i="5"/>
  <c r="E863" i="5"/>
  <c r="E855" i="5"/>
  <c r="E847" i="5"/>
  <c r="E839" i="5"/>
  <c r="E831" i="5"/>
  <c r="E823" i="5"/>
  <c r="E815" i="5"/>
  <c r="E807" i="5"/>
  <c r="E799" i="5"/>
  <c r="E791" i="5"/>
  <c r="E783" i="5"/>
  <c r="E775" i="5"/>
  <c r="E767" i="5"/>
  <c r="E759" i="5"/>
  <c r="E750" i="5"/>
  <c r="E738" i="5"/>
  <c r="E725" i="5"/>
  <c r="E713" i="5"/>
  <c r="E698" i="5"/>
  <c r="E677" i="5"/>
  <c r="E655" i="5"/>
  <c r="E634" i="5"/>
  <c r="E613" i="5"/>
  <c r="E591" i="5"/>
  <c r="E570" i="5"/>
  <c r="E549" i="5"/>
  <c r="E527" i="5"/>
  <c r="E506" i="5"/>
  <c r="E485" i="5"/>
  <c r="E463" i="5"/>
  <c r="E442" i="5"/>
  <c r="E421" i="5"/>
  <c r="E399" i="5"/>
  <c r="E378" i="5"/>
  <c r="E357" i="5"/>
  <c r="E335" i="5"/>
  <c r="E314" i="5"/>
  <c r="E293" i="5"/>
  <c r="E271" i="5"/>
  <c r="E250" i="5"/>
  <c r="E229" i="5"/>
  <c r="E207" i="5"/>
  <c r="E186" i="5"/>
  <c r="E165" i="5"/>
  <c r="E143" i="5"/>
  <c r="E122" i="5"/>
  <c r="E101" i="5"/>
  <c r="E79" i="5"/>
  <c r="E47" i="5"/>
  <c r="E15" i="5"/>
  <c r="G1197" i="5"/>
  <c r="G1133" i="5"/>
  <c r="G1069" i="5"/>
  <c r="G1005" i="5"/>
  <c r="G941" i="5"/>
  <c r="G877" i="5"/>
  <c r="G813" i="5"/>
  <c r="G743" i="5"/>
  <c r="G632" i="5"/>
  <c r="G274" i="5"/>
  <c r="E1181" i="5"/>
  <c r="E1149" i="5"/>
  <c r="E1101" i="5"/>
  <c r="E1061" i="5"/>
  <c r="E1021" i="5"/>
  <c r="E989" i="5"/>
  <c r="E957" i="5"/>
  <c r="E925" i="5"/>
  <c r="E893" i="5"/>
  <c r="E853" i="5"/>
  <c r="E805" i="5"/>
  <c r="E748" i="5"/>
  <c r="E693" i="5"/>
  <c r="E565" i="5"/>
  <c r="E437" i="5"/>
  <c r="E309" i="5"/>
  <c r="E181" i="5"/>
  <c r="E95" i="5"/>
  <c r="G1181" i="5"/>
  <c r="G989" i="5"/>
  <c r="G861" i="5"/>
  <c r="G586" i="5"/>
  <c r="E1187" i="5"/>
  <c r="E1147" i="5"/>
  <c r="E1107" i="5"/>
  <c r="E1059" i="5"/>
  <c r="E1019" i="5"/>
  <c r="E979" i="5"/>
  <c r="E947" i="5"/>
  <c r="E907" i="5"/>
  <c r="E875" i="5"/>
  <c r="E835" i="5"/>
  <c r="E803" i="5"/>
  <c r="E771" i="5"/>
  <c r="E732" i="5"/>
  <c r="E666" i="5"/>
  <c r="E602" i="5"/>
  <c r="E517" i="5"/>
  <c r="E453" i="5"/>
  <c r="E389" i="5"/>
  <c r="E325" i="5"/>
  <c r="E261" i="5"/>
  <c r="E197" i="5"/>
  <c r="E133" i="5"/>
  <c r="E31" i="5"/>
  <c r="G1101" i="5"/>
  <c r="G973" i="5"/>
  <c r="H844" i="5"/>
  <c r="E1198" i="5"/>
  <c r="E1190" i="5"/>
  <c r="E1182" i="5"/>
  <c r="E1174" i="5"/>
  <c r="E1166" i="5"/>
  <c r="E1158" i="5"/>
  <c r="E1150" i="5"/>
  <c r="E1142" i="5"/>
  <c r="E1134" i="5"/>
  <c r="E1126" i="5"/>
  <c r="E1118" i="5"/>
  <c r="E1110" i="5"/>
  <c r="E1102" i="5"/>
  <c r="E1094" i="5"/>
  <c r="E1086" i="5"/>
  <c r="E1078" i="5"/>
  <c r="E1070" i="5"/>
  <c r="E1062" i="5"/>
  <c r="E1054" i="5"/>
  <c r="E1046" i="5"/>
  <c r="E1038" i="5"/>
  <c r="E1030" i="5"/>
  <c r="E1022" i="5"/>
  <c r="E1014" i="5"/>
  <c r="E1006" i="5"/>
  <c r="E998" i="5"/>
  <c r="E990" i="5"/>
  <c r="E982" i="5"/>
  <c r="E974" i="5"/>
  <c r="E966" i="5"/>
  <c r="E958" i="5"/>
  <c r="E950" i="5"/>
  <c r="E942" i="5"/>
  <c r="E934" i="5"/>
  <c r="E926" i="5"/>
  <c r="E918" i="5"/>
  <c r="E910" i="5"/>
  <c r="E902" i="5"/>
  <c r="E894" i="5"/>
  <c r="E886" i="5"/>
  <c r="E878" i="5"/>
  <c r="E870" i="5"/>
  <c r="E862" i="5"/>
  <c r="E854" i="5"/>
  <c r="E846" i="5"/>
  <c r="E838" i="5"/>
  <c r="E830" i="5"/>
  <c r="E822" i="5"/>
  <c r="E814" i="5"/>
  <c r="E806" i="5"/>
  <c r="E798" i="5"/>
  <c r="E790" i="5"/>
  <c r="E782" i="5"/>
  <c r="E774" i="5"/>
  <c r="E766" i="5"/>
  <c r="E758" i="5"/>
  <c r="E749" i="5"/>
  <c r="E737" i="5"/>
  <c r="E724" i="5"/>
  <c r="E711" i="5"/>
  <c r="E695" i="5"/>
  <c r="E674" i="5"/>
  <c r="E653" i="5"/>
  <c r="E631" i="5"/>
  <c r="E610" i="5"/>
  <c r="E589" i="5"/>
  <c r="E567" i="5"/>
  <c r="E546" i="5"/>
  <c r="E525" i="5"/>
  <c r="E503" i="5"/>
  <c r="E482" i="5"/>
  <c r="E461" i="5"/>
  <c r="E439" i="5"/>
  <c r="E418" i="5"/>
  <c r="E397" i="5"/>
  <c r="E375" i="5"/>
  <c r="E354" i="5"/>
  <c r="E333" i="5"/>
  <c r="E311" i="5"/>
  <c r="E290" i="5"/>
  <c r="E269" i="5"/>
  <c r="E247" i="5"/>
  <c r="E226" i="5"/>
  <c r="E205" i="5"/>
  <c r="E183" i="5"/>
  <c r="E162" i="5"/>
  <c r="E141" i="5"/>
  <c r="E119" i="5"/>
  <c r="E98" i="5"/>
  <c r="E77" i="5"/>
  <c r="E45" i="5"/>
  <c r="E13" i="5"/>
  <c r="G1189" i="5"/>
  <c r="G1125" i="5"/>
  <c r="G1061" i="5"/>
  <c r="G997" i="5"/>
  <c r="G933" i="5"/>
  <c r="G869" i="5"/>
  <c r="G805" i="5"/>
  <c r="G734" i="5"/>
  <c r="G609" i="5"/>
  <c r="G210" i="5"/>
  <c r="B11" i="6" l="1"/>
  <c r="B10" i="6"/>
  <c r="B9" i="6"/>
  <c r="B15" i="6"/>
  <c r="H2" i="5"/>
  <c r="K7" i="5"/>
  <c r="L7" i="5" s="1"/>
  <c r="K15" i="5"/>
  <c r="L15" i="5" s="1"/>
  <c r="K23" i="5"/>
  <c r="L23" i="5" s="1"/>
  <c r="K31" i="5"/>
  <c r="L31" i="5" s="1"/>
  <c r="K39" i="5"/>
  <c r="L39" i="5" s="1"/>
  <c r="K47" i="5"/>
  <c r="L47" i="5" s="1"/>
  <c r="K55" i="5"/>
  <c r="L55" i="5" s="1"/>
  <c r="K63" i="5"/>
  <c r="L63" i="5" s="1"/>
  <c r="K71" i="5"/>
  <c r="L71" i="5" s="1"/>
  <c r="K79" i="5"/>
  <c r="L79" i="5" s="1"/>
  <c r="K87" i="5"/>
  <c r="L87" i="5" s="1"/>
  <c r="K10" i="5"/>
  <c r="L10" i="5" s="1"/>
  <c r="K3" i="5"/>
  <c r="L3" i="5" s="1"/>
  <c r="K11" i="5"/>
  <c r="L11" i="5" s="1"/>
  <c r="K19" i="5"/>
  <c r="L19" i="5" s="1"/>
  <c r="K27" i="5"/>
  <c r="L27" i="5" s="1"/>
  <c r="K35" i="5"/>
  <c r="L35" i="5" s="1"/>
  <c r="K43" i="5"/>
  <c r="L43" i="5" s="1"/>
  <c r="K51" i="5"/>
  <c r="L51" i="5" s="1"/>
  <c r="K59" i="5"/>
  <c r="L59" i="5" s="1"/>
  <c r="K67" i="5"/>
  <c r="L67" i="5" s="1"/>
  <c r="K75" i="5"/>
  <c r="L75" i="5" s="1"/>
  <c r="K83" i="5"/>
  <c r="L83" i="5" s="1"/>
  <c r="K4" i="5"/>
  <c r="L4" i="5" s="1"/>
  <c r="K12" i="5"/>
  <c r="L12" i="5" s="1"/>
  <c r="K20" i="5"/>
  <c r="L20" i="5" s="1"/>
  <c r="K28" i="5"/>
  <c r="L28" i="5" s="1"/>
  <c r="K36" i="5"/>
  <c r="L36" i="5" s="1"/>
  <c r="K44" i="5"/>
  <c r="L44" i="5" s="1"/>
  <c r="K52" i="5"/>
  <c r="L52" i="5" s="1"/>
  <c r="K60" i="5"/>
  <c r="L60" i="5" s="1"/>
  <c r="K68" i="5"/>
  <c r="L68" i="5" s="1"/>
  <c r="K76" i="5"/>
  <c r="L76" i="5" s="1"/>
  <c r="K84" i="5"/>
  <c r="L84" i="5" s="1"/>
  <c r="K5" i="5"/>
  <c r="L5" i="5" s="1"/>
  <c r="K13" i="5"/>
  <c r="L13" i="5" s="1"/>
  <c r="K21" i="5"/>
  <c r="L21" i="5" s="1"/>
  <c r="K29" i="5"/>
  <c r="L29" i="5" s="1"/>
  <c r="K37" i="5"/>
  <c r="L37" i="5" s="1"/>
  <c r="K45" i="5"/>
  <c r="L45" i="5" s="1"/>
  <c r="K53" i="5"/>
  <c r="L53" i="5" s="1"/>
  <c r="K61" i="5"/>
  <c r="L61" i="5" s="1"/>
  <c r="K69" i="5"/>
  <c r="L69" i="5" s="1"/>
  <c r="K77" i="5"/>
  <c r="L77" i="5" s="1"/>
  <c r="K85" i="5"/>
  <c r="L85" i="5" s="1"/>
  <c r="K93" i="5"/>
  <c r="L93" i="5" s="1"/>
  <c r="K101" i="5"/>
  <c r="L101" i="5" s="1"/>
  <c r="K109" i="5"/>
  <c r="L109" i="5" s="1"/>
  <c r="K6" i="5"/>
  <c r="L6" i="5" s="1"/>
  <c r="K16" i="5"/>
  <c r="L16" i="5" s="1"/>
  <c r="K32" i="5"/>
  <c r="L32" i="5" s="1"/>
  <c r="K48" i="5"/>
  <c r="L48" i="5" s="1"/>
  <c r="K64" i="5"/>
  <c r="L64" i="5" s="1"/>
  <c r="K80" i="5"/>
  <c r="L80" i="5" s="1"/>
  <c r="K92" i="5"/>
  <c r="L92" i="5" s="1"/>
  <c r="K102" i="5"/>
  <c r="L102" i="5" s="1"/>
  <c r="K111" i="5"/>
  <c r="L111" i="5" s="1"/>
  <c r="K119" i="5"/>
  <c r="L119" i="5" s="1"/>
  <c r="K127" i="5"/>
  <c r="L127" i="5" s="1"/>
  <c r="K135" i="5"/>
  <c r="L135" i="5" s="1"/>
  <c r="K143" i="5"/>
  <c r="L143" i="5" s="1"/>
  <c r="K151" i="5"/>
  <c r="L151" i="5" s="1"/>
  <c r="K159" i="5"/>
  <c r="L159" i="5" s="1"/>
  <c r="K167" i="5"/>
  <c r="L167" i="5" s="1"/>
  <c r="K175" i="5"/>
  <c r="L175" i="5" s="1"/>
  <c r="K183" i="5"/>
  <c r="L183" i="5" s="1"/>
  <c r="K191" i="5"/>
  <c r="L191" i="5" s="1"/>
  <c r="K199" i="5"/>
  <c r="L199" i="5" s="1"/>
  <c r="K207" i="5"/>
  <c r="L207" i="5" s="1"/>
  <c r="K215" i="5"/>
  <c r="L215" i="5" s="1"/>
  <c r="K223" i="5"/>
  <c r="L223" i="5" s="1"/>
  <c r="K231" i="5"/>
  <c r="L231" i="5" s="1"/>
  <c r="K239" i="5"/>
  <c r="L239" i="5" s="1"/>
  <c r="K247" i="5"/>
  <c r="L247" i="5" s="1"/>
  <c r="K255" i="5"/>
  <c r="L255" i="5" s="1"/>
  <c r="K263" i="5"/>
  <c r="L263" i="5" s="1"/>
  <c r="K271" i="5"/>
  <c r="L271" i="5" s="1"/>
  <c r="K279" i="5"/>
  <c r="L279" i="5" s="1"/>
  <c r="K287" i="5"/>
  <c r="L287" i="5" s="1"/>
  <c r="K295" i="5"/>
  <c r="L295" i="5" s="1"/>
  <c r="K303" i="5"/>
  <c r="L303" i="5" s="1"/>
  <c r="K311" i="5"/>
  <c r="L311" i="5" s="1"/>
  <c r="K319" i="5"/>
  <c r="L319" i="5" s="1"/>
  <c r="K327" i="5"/>
  <c r="L327" i="5" s="1"/>
  <c r="K335" i="5"/>
  <c r="L335" i="5" s="1"/>
  <c r="K343" i="5"/>
  <c r="L343" i="5" s="1"/>
  <c r="K351" i="5"/>
  <c r="L351" i="5" s="1"/>
  <c r="K359" i="5"/>
  <c r="L359" i="5" s="1"/>
  <c r="K367" i="5"/>
  <c r="L367" i="5" s="1"/>
  <c r="K375" i="5"/>
  <c r="L375" i="5" s="1"/>
  <c r="K383" i="5"/>
  <c r="L383" i="5" s="1"/>
  <c r="K391" i="5"/>
  <c r="L391" i="5" s="1"/>
  <c r="K399" i="5"/>
  <c r="L399" i="5" s="1"/>
  <c r="K407" i="5"/>
  <c r="L407" i="5" s="1"/>
  <c r="K415" i="5"/>
  <c r="L415" i="5" s="1"/>
  <c r="K423" i="5"/>
  <c r="L423" i="5" s="1"/>
  <c r="K431" i="5"/>
  <c r="L431" i="5" s="1"/>
  <c r="K439" i="5"/>
  <c r="L439" i="5" s="1"/>
  <c r="K447" i="5"/>
  <c r="L447" i="5" s="1"/>
  <c r="K455" i="5"/>
  <c r="L455" i="5" s="1"/>
  <c r="K463" i="5"/>
  <c r="L463" i="5" s="1"/>
  <c r="K471" i="5"/>
  <c r="L471" i="5" s="1"/>
  <c r="K479" i="5"/>
  <c r="L479" i="5" s="1"/>
  <c r="K487" i="5"/>
  <c r="L487" i="5" s="1"/>
  <c r="K495" i="5"/>
  <c r="L495" i="5" s="1"/>
  <c r="K503" i="5"/>
  <c r="L503" i="5" s="1"/>
  <c r="K511" i="5"/>
  <c r="L511" i="5" s="1"/>
  <c r="K519" i="5"/>
  <c r="L519" i="5" s="1"/>
  <c r="K527" i="5"/>
  <c r="L527" i="5" s="1"/>
  <c r="K535" i="5"/>
  <c r="L535" i="5" s="1"/>
  <c r="K543" i="5"/>
  <c r="L543" i="5" s="1"/>
  <c r="K551" i="5"/>
  <c r="L551" i="5" s="1"/>
  <c r="K559" i="5"/>
  <c r="L559" i="5" s="1"/>
  <c r="K567" i="5"/>
  <c r="L567" i="5" s="1"/>
  <c r="K575" i="5"/>
  <c r="L575" i="5" s="1"/>
  <c r="K583" i="5"/>
  <c r="L583" i="5" s="1"/>
  <c r="K591" i="5"/>
  <c r="L591" i="5" s="1"/>
  <c r="K599" i="5"/>
  <c r="L599" i="5" s="1"/>
  <c r="K607" i="5"/>
  <c r="L607" i="5" s="1"/>
  <c r="K17" i="5"/>
  <c r="L17" i="5" s="1"/>
  <c r="K33" i="5"/>
  <c r="L33" i="5" s="1"/>
  <c r="K49" i="5"/>
  <c r="L49" i="5" s="1"/>
  <c r="K65" i="5"/>
  <c r="L65" i="5" s="1"/>
  <c r="K81" i="5"/>
  <c r="L81" i="5" s="1"/>
  <c r="K94" i="5"/>
  <c r="L94" i="5" s="1"/>
  <c r="K103" i="5"/>
  <c r="L103" i="5" s="1"/>
  <c r="K112" i="5"/>
  <c r="L112" i="5" s="1"/>
  <c r="K120" i="5"/>
  <c r="L120" i="5" s="1"/>
  <c r="K128" i="5"/>
  <c r="L128" i="5" s="1"/>
  <c r="K136" i="5"/>
  <c r="L136" i="5" s="1"/>
  <c r="K144" i="5"/>
  <c r="L144" i="5" s="1"/>
  <c r="K152" i="5"/>
  <c r="L152" i="5" s="1"/>
  <c r="K160" i="5"/>
  <c r="L160" i="5" s="1"/>
  <c r="K168" i="5"/>
  <c r="L168" i="5" s="1"/>
  <c r="K176" i="5"/>
  <c r="L176" i="5" s="1"/>
  <c r="K184" i="5"/>
  <c r="L184" i="5" s="1"/>
  <c r="K192" i="5"/>
  <c r="L192" i="5" s="1"/>
  <c r="K200" i="5"/>
  <c r="L200" i="5" s="1"/>
  <c r="K208" i="5"/>
  <c r="L208" i="5" s="1"/>
  <c r="K216" i="5"/>
  <c r="L216" i="5" s="1"/>
  <c r="K224" i="5"/>
  <c r="L224" i="5" s="1"/>
  <c r="K18" i="5"/>
  <c r="L18" i="5" s="1"/>
  <c r="K34" i="5"/>
  <c r="L34" i="5" s="1"/>
  <c r="K50" i="5"/>
  <c r="L50" i="5" s="1"/>
  <c r="K66" i="5"/>
  <c r="L66" i="5" s="1"/>
  <c r="K82" i="5"/>
  <c r="L82" i="5" s="1"/>
  <c r="K95" i="5"/>
  <c r="L95" i="5" s="1"/>
  <c r="K104" i="5"/>
  <c r="L104" i="5" s="1"/>
  <c r="K113" i="5"/>
  <c r="L113" i="5" s="1"/>
  <c r="K121" i="5"/>
  <c r="L121" i="5" s="1"/>
  <c r="K129" i="5"/>
  <c r="L129" i="5" s="1"/>
  <c r="K137" i="5"/>
  <c r="L137" i="5" s="1"/>
  <c r="K145" i="5"/>
  <c r="L145" i="5" s="1"/>
  <c r="K153" i="5"/>
  <c r="L153" i="5" s="1"/>
  <c r="K161" i="5"/>
  <c r="L161" i="5" s="1"/>
  <c r="K169" i="5"/>
  <c r="L169" i="5" s="1"/>
  <c r="K177" i="5"/>
  <c r="L177" i="5" s="1"/>
  <c r="K185" i="5"/>
  <c r="L185" i="5" s="1"/>
  <c r="K193" i="5"/>
  <c r="L193" i="5" s="1"/>
  <c r="K201" i="5"/>
  <c r="L201" i="5" s="1"/>
  <c r="K209" i="5"/>
  <c r="L209" i="5" s="1"/>
  <c r="K217" i="5"/>
  <c r="L217" i="5" s="1"/>
  <c r="K225" i="5"/>
  <c r="L225" i="5" s="1"/>
  <c r="K22" i="5"/>
  <c r="L22" i="5" s="1"/>
  <c r="K38" i="5"/>
  <c r="L38" i="5" s="1"/>
  <c r="K54" i="5"/>
  <c r="L54" i="5" s="1"/>
  <c r="K70" i="5"/>
  <c r="L70" i="5" s="1"/>
  <c r="K86" i="5"/>
  <c r="L86" i="5" s="1"/>
  <c r="K96" i="5"/>
  <c r="L96" i="5" s="1"/>
  <c r="K105" i="5"/>
  <c r="L105" i="5" s="1"/>
  <c r="K114" i="5"/>
  <c r="L114" i="5" s="1"/>
  <c r="K122" i="5"/>
  <c r="L122" i="5" s="1"/>
  <c r="K130" i="5"/>
  <c r="L130" i="5" s="1"/>
  <c r="K138" i="5"/>
  <c r="L138" i="5" s="1"/>
  <c r="K146" i="5"/>
  <c r="L146" i="5" s="1"/>
  <c r="K154" i="5"/>
  <c r="L154" i="5" s="1"/>
  <c r="K162" i="5"/>
  <c r="L162" i="5" s="1"/>
  <c r="K170" i="5"/>
  <c r="L170" i="5" s="1"/>
  <c r="K178" i="5"/>
  <c r="L178" i="5" s="1"/>
  <c r="K186" i="5"/>
  <c r="L186" i="5" s="1"/>
  <c r="K194" i="5"/>
  <c r="L194" i="5" s="1"/>
  <c r="K202" i="5"/>
  <c r="L202" i="5" s="1"/>
  <c r="K210" i="5"/>
  <c r="L210" i="5" s="1"/>
  <c r="K218" i="5"/>
  <c r="L218" i="5" s="1"/>
  <c r="K226" i="5"/>
  <c r="L226" i="5" s="1"/>
  <c r="K234" i="5"/>
  <c r="L234" i="5" s="1"/>
  <c r="K242" i="5"/>
  <c r="L242" i="5" s="1"/>
  <c r="K250" i="5"/>
  <c r="L250" i="5" s="1"/>
  <c r="K258" i="5"/>
  <c r="L258" i="5" s="1"/>
  <c r="K266" i="5"/>
  <c r="L266" i="5" s="1"/>
  <c r="K274" i="5"/>
  <c r="L274" i="5" s="1"/>
  <c r="K282" i="5"/>
  <c r="L282" i="5" s="1"/>
  <c r="K290" i="5"/>
  <c r="L290" i="5" s="1"/>
  <c r="K298" i="5"/>
  <c r="L298" i="5" s="1"/>
  <c r="K306" i="5"/>
  <c r="L306" i="5" s="1"/>
  <c r="K314" i="5"/>
  <c r="L314" i="5" s="1"/>
  <c r="K322" i="5"/>
  <c r="L322" i="5" s="1"/>
  <c r="K330" i="5"/>
  <c r="L330" i="5" s="1"/>
  <c r="K338" i="5"/>
  <c r="L338" i="5" s="1"/>
  <c r="K346" i="5"/>
  <c r="L346" i="5" s="1"/>
  <c r="K354" i="5"/>
  <c r="L354" i="5" s="1"/>
  <c r="K362" i="5"/>
  <c r="L362" i="5" s="1"/>
  <c r="K370" i="5"/>
  <c r="L370" i="5" s="1"/>
  <c r="K378" i="5"/>
  <c r="L378" i="5" s="1"/>
  <c r="K386" i="5"/>
  <c r="L386" i="5" s="1"/>
  <c r="K394" i="5"/>
  <c r="L394" i="5" s="1"/>
  <c r="K402" i="5"/>
  <c r="L402" i="5" s="1"/>
  <c r="K410" i="5"/>
  <c r="L410" i="5" s="1"/>
  <c r="K418" i="5"/>
  <c r="L418" i="5" s="1"/>
  <c r="K426" i="5"/>
  <c r="L426" i="5" s="1"/>
  <c r="K434" i="5"/>
  <c r="L434" i="5" s="1"/>
  <c r="K442" i="5"/>
  <c r="L442" i="5" s="1"/>
  <c r="K450" i="5"/>
  <c r="L450" i="5" s="1"/>
  <c r="K458" i="5"/>
  <c r="L458" i="5" s="1"/>
  <c r="K466" i="5"/>
  <c r="L466" i="5" s="1"/>
  <c r="K474" i="5"/>
  <c r="L474" i="5" s="1"/>
  <c r="K482" i="5"/>
  <c r="L482" i="5" s="1"/>
  <c r="K490" i="5"/>
  <c r="L490" i="5" s="1"/>
  <c r="K498" i="5"/>
  <c r="L498" i="5" s="1"/>
  <c r="K506" i="5"/>
  <c r="L506" i="5" s="1"/>
  <c r="K514" i="5"/>
  <c r="L514" i="5" s="1"/>
  <c r="K522" i="5"/>
  <c r="L522" i="5" s="1"/>
  <c r="K530" i="5"/>
  <c r="L530" i="5" s="1"/>
  <c r="K538" i="5"/>
  <c r="L538" i="5" s="1"/>
  <c r="K546" i="5"/>
  <c r="L546" i="5" s="1"/>
  <c r="K554" i="5"/>
  <c r="L554" i="5" s="1"/>
  <c r="K562" i="5"/>
  <c r="L562" i="5" s="1"/>
  <c r="K570" i="5"/>
  <c r="L570" i="5" s="1"/>
  <c r="K578" i="5"/>
  <c r="L578" i="5" s="1"/>
  <c r="K586" i="5"/>
  <c r="L586" i="5" s="1"/>
  <c r="K594" i="5"/>
  <c r="L594" i="5" s="1"/>
  <c r="K602" i="5"/>
  <c r="L602" i="5" s="1"/>
  <c r="K24" i="5"/>
  <c r="L24" i="5" s="1"/>
  <c r="K40" i="5"/>
  <c r="L40" i="5" s="1"/>
  <c r="K56" i="5"/>
  <c r="L56" i="5" s="1"/>
  <c r="K72" i="5"/>
  <c r="L72" i="5" s="1"/>
  <c r="K88" i="5"/>
  <c r="L88" i="5" s="1"/>
  <c r="K97" i="5"/>
  <c r="L97" i="5" s="1"/>
  <c r="K106" i="5"/>
  <c r="L106" i="5" s="1"/>
  <c r="K115" i="5"/>
  <c r="L115" i="5" s="1"/>
  <c r="K123" i="5"/>
  <c r="L123" i="5" s="1"/>
  <c r="K131" i="5"/>
  <c r="L131" i="5" s="1"/>
  <c r="K139" i="5"/>
  <c r="L139" i="5" s="1"/>
  <c r="K147" i="5"/>
  <c r="L147" i="5" s="1"/>
  <c r="K155" i="5"/>
  <c r="L155" i="5" s="1"/>
  <c r="K163" i="5"/>
  <c r="L163" i="5" s="1"/>
  <c r="K171" i="5"/>
  <c r="L171" i="5" s="1"/>
  <c r="K179" i="5"/>
  <c r="L179" i="5" s="1"/>
  <c r="K187" i="5"/>
  <c r="L187" i="5" s="1"/>
  <c r="K195" i="5"/>
  <c r="L195" i="5" s="1"/>
  <c r="K203" i="5"/>
  <c r="L203" i="5" s="1"/>
  <c r="K211" i="5"/>
  <c r="L211" i="5" s="1"/>
  <c r="K219" i="5"/>
  <c r="L219" i="5" s="1"/>
  <c r="K227" i="5"/>
  <c r="L227" i="5" s="1"/>
  <c r="K235" i="5"/>
  <c r="L235" i="5" s="1"/>
  <c r="K243" i="5"/>
  <c r="L243" i="5" s="1"/>
  <c r="K8" i="5"/>
  <c r="L8" i="5" s="1"/>
  <c r="K25" i="5"/>
  <c r="L25" i="5" s="1"/>
  <c r="K41" i="5"/>
  <c r="L41" i="5" s="1"/>
  <c r="K57" i="5"/>
  <c r="L57" i="5" s="1"/>
  <c r="K73" i="5"/>
  <c r="L73" i="5" s="1"/>
  <c r="K89" i="5"/>
  <c r="L89" i="5" s="1"/>
  <c r="K98" i="5"/>
  <c r="L98" i="5" s="1"/>
  <c r="K107" i="5"/>
  <c r="L107" i="5" s="1"/>
  <c r="K116" i="5"/>
  <c r="L116" i="5" s="1"/>
  <c r="K124" i="5"/>
  <c r="L124" i="5" s="1"/>
  <c r="K132" i="5"/>
  <c r="L132" i="5" s="1"/>
  <c r="K140" i="5"/>
  <c r="L140" i="5" s="1"/>
  <c r="K148" i="5"/>
  <c r="L148" i="5" s="1"/>
  <c r="K156" i="5"/>
  <c r="L156" i="5" s="1"/>
  <c r="K164" i="5"/>
  <c r="L164" i="5" s="1"/>
  <c r="K172" i="5"/>
  <c r="L172" i="5" s="1"/>
  <c r="K180" i="5"/>
  <c r="L180" i="5" s="1"/>
  <c r="K188" i="5"/>
  <c r="L188" i="5" s="1"/>
  <c r="K196" i="5"/>
  <c r="L196" i="5" s="1"/>
  <c r="K204" i="5"/>
  <c r="L204" i="5" s="1"/>
  <c r="K212" i="5"/>
  <c r="L212" i="5" s="1"/>
  <c r="K220" i="5"/>
  <c r="L220" i="5" s="1"/>
  <c r="K9" i="5"/>
  <c r="L9" i="5" s="1"/>
  <c r="K26" i="5"/>
  <c r="L26" i="5" s="1"/>
  <c r="K42" i="5"/>
  <c r="L42" i="5" s="1"/>
  <c r="K58" i="5"/>
  <c r="L58" i="5" s="1"/>
  <c r="K74" i="5"/>
  <c r="L74" i="5" s="1"/>
  <c r="K90" i="5"/>
  <c r="L90" i="5" s="1"/>
  <c r="K99" i="5"/>
  <c r="L99" i="5" s="1"/>
  <c r="K108" i="5"/>
  <c r="L108" i="5" s="1"/>
  <c r="K117" i="5"/>
  <c r="L117" i="5" s="1"/>
  <c r="K125" i="5"/>
  <c r="L125" i="5" s="1"/>
  <c r="K133" i="5"/>
  <c r="L133" i="5" s="1"/>
  <c r="K141" i="5"/>
  <c r="L141" i="5" s="1"/>
  <c r="K149" i="5"/>
  <c r="L149" i="5" s="1"/>
  <c r="K157" i="5"/>
  <c r="L157" i="5" s="1"/>
  <c r="K165" i="5"/>
  <c r="L165" i="5" s="1"/>
  <c r="K173" i="5"/>
  <c r="L173" i="5" s="1"/>
  <c r="K181" i="5"/>
  <c r="L181" i="5" s="1"/>
  <c r="K189" i="5"/>
  <c r="L189" i="5" s="1"/>
  <c r="K197" i="5"/>
  <c r="L197" i="5" s="1"/>
  <c r="K205" i="5"/>
  <c r="L205" i="5" s="1"/>
  <c r="K213" i="5"/>
  <c r="L213" i="5" s="1"/>
  <c r="K221" i="5"/>
  <c r="L221" i="5" s="1"/>
  <c r="K229" i="5"/>
  <c r="L229" i="5" s="1"/>
  <c r="K237" i="5"/>
  <c r="L237" i="5" s="1"/>
  <c r="K245" i="5"/>
  <c r="L245" i="5" s="1"/>
  <c r="K253" i="5"/>
  <c r="L253" i="5" s="1"/>
  <c r="K261" i="5"/>
  <c r="L261" i="5" s="1"/>
  <c r="K269" i="5"/>
  <c r="L269" i="5" s="1"/>
  <c r="K277" i="5"/>
  <c r="L277" i="5" s="1"/>
  <c r="K285" i="5"/>
  <c r="L285" i="5" s="1"/>
  <c r="K293" i="5"/>
  <c r="L293" i="5" s="1"/>
  <c r="K301" i="5"/>
  <c r="L301" i="5" s="1"/>
  <c r="K309" i="5"/>
  <c r="L309" i="5" s="1"/>
  <c r="K317" i="5"/>
  <c r="L317" i="5" s="1"/>
  <c r="K325" i="5"/>
  <c r="L325" i="5" s="1"/>
  <c r="K333" i="5"/>
  <c r="L333" i="5" s="1"/>
  <c r="K341" i="5"/>
  <c r="L341" i="5" s="1"/>
  <c r="K349" i="5"/>
  <c r="L349" i="5" s="1"/>
  <c r="K357" i="5"/>
  <c r="L357" i="5" s="1"/>
  <c r="K365" i="5"/>
  <c r="L365" i="5" s="1"/>
  <c r="K373" i="5"/>
  <c r="L373" i="5" s="1"/>
  <c r="K381" i="5"/>
  <c r="L381" i="5" s="1"/>
  <c r="K389" i="5"/>
  <c r="L389" i="5" s="1"/>
  <c r="K397" i="5"/>
  <c r="L397" i="5" s="1"/>
  <c r="K405" i="5"/>
  <c r="L405" i="5" s="1"/>
  <c r="K413" i="5"/>
  <c r="L413" i="5" s="1"/>
  <c r="K421" i="5"/>
  <c r="L421" i="5" s="1"/>
  <c r="K429" i="5"/>
  <c r="L429" i="5" s="1"/>
  <c r="K437" i="5"/>
  <c r="L437" i="5" s="1"/>
  <c r="K445" i="5"/>
  <c r="L445" i="5" s="1"/>
  <c r="K453" i="5"/>
  <c r="L453" i="5" s="1"/>
  <c r="K461" i="5"/>
  <c r="L461" i="5" s="1"/>
  <c r="K469" i="5"/>
  <c r="L469" i="5" s="1"/>
  <c r="K477" i="5"/>
  <c r="L477" i="5" s="1"/>
  <c r="K485" i="5"/>
  <c r="L485" i="5" s="1"/>
  <c r="K493" i="5"/>
  <c r="L493" i="5" s="1"/>
  <c r="K501" i="5"/>
  <c r="L501" i="5" s="1"/>
  <c r="K509" i="5"/>
  <c r="L509" i="5" s="1"/>
  <c r="K517" i="5"/>
  <c r="L517" i="5" s="1"/>
  <c r="K525" i="5"/>
  <c r="L525" i="5" s="1"/>
  <c r="K533" i="5"/>
  <c r="L533" i="5" s="1"/>
  <c r="K541" i="5"/>
  <c r="L541" i="5" s="1"/>
  <c r="K549" i="5"/>
  <c r="L549" i="5" s="1"/>
  <c r="K557" i="5"/>
  <c r="L557" i="5" s="1"/>
  <c r="K565" i="5"/>
  <c r="L565" i="5" s="1"/>
  <c r="K573" i="5"/>
  <c r="L573" i="5" s="1"/>
  <c r="K581" i="5"/>
  <c r="L581" i="5" s="1"/>
  <c r="K589" i="5"/>
  <c r="L589" i="5" s="1"/>
  <c r="K597" i="5"/>
  <c r="L597" i="5" s="1"/>
  <c r="K605" i="5"/>
  <c r="L605" i="5" s="1"/>
  <c r="K613" i="5"/>
  <c r="L613" i="5" s="1"/>
  <c r="K621" i="5"/>
  <c r="L621" i="5" s="1"/>
  <c r="K629" i="5"/>
  <c r="L629" i="5" s="1"/>
  <c r="K637" i="5"/>
  <c r="L637" i="5" s="1"/>
  <c r="K645" i="5"/>
  <c r="L645" i="5" s="1"/>
  <c r="K653" i="5"/>
  <c r="L653" i="5" s="1"/>
  <c r="K661" i="5"/>
  <c r="L661" i="5" s="1"/>
  <c r="K669" i="5"/>
  <c r="L669" i="5" s="1"/>
  <c r="K677" i="5"/>
  <c r="L677" i="5" s="1"/>
  <c r="K685" i="5"/>
  <c r="L685" i="5" s="1"/>
  <c r="K693" i="5"/>
  <c r="L693" i="5" s="1"/>
  <c r="K701" i="5"/>
  <c r="L701" i="5" s="1"/>
  <c r="K709" i="5"/>
  <c r="L709" i="5" s="1"/>
  <c r="K717" i="5"/>
  <c r="L717" i="5" s="1"/>
  <c r="K725" i="5"/>
  <c r="L725" i="5" s="1"/>
  <c r="K733" i="5"/>
  <c r="L733" i="5" s="1"/>
  <c r="K741" i="5"/>
  <c r="L741" i="5" s="1"/>
  <c r="K749" i="5"/>
  <c r="L749" i="5" s="1"/>
  <c r="K757" i="5"/>
  <c r="L757" i="5" s="1"/>
  <c r="K765" i="5"/>
  <c r="L765" i="5" s="1"/>
  <c r="K773" i="5"/>
  <c r="L773" i="5" s="1"/>
  <c r="K781" i="5"/>
  <c r="L781" i="5" s="1"/>
  <c r="K789" i="5"/>
  <c r="L789" i="5" s="1"/>
  <c r="K797" i="5"/>
  <c r="L797" i="5" s="1"/>
  <c r="K805" i="5"/>
  <c r="L805" i="5" s="1"/>
  <c r="K813" i="5"/>
  <c r="L813" i="5" s="1"/>
  <c r="K821" i="5"/>
  <c r="L821" i="5" s="1"/>
  <c r="K829" i="5"/>
  <c r="L829" i="5" s="1"/>
  <c r="K837" i="5"/>
  <c r="L837" i="5" s="1"/>
  <c r="K845" i="5"/>
  <c r="L845" i="5" s="1"/>
  <c r="K853" i="5"/>
  <c r="L853" i="5" s="1"/>
  <c r="K861" i="5"/>
  <c r="L861" i="5" s="1"/>
  <c r="K869" i="5"/>
  <c r="L869" i="5" s="1"/>
  <c r="K877" i="5"/>
  <c r="L877" i="5" s="1"/>
  <c r="K14" i="5"/>
  <c r="L14" i="5" s="1"/>
  <c r="K30" i="5"/>
  <c r="L30" i="5" s="1"/>
  <c r="K46" i="5"/>
  <c r="L46" i="5" s="1"/>
  <c r="K62" i="5"/>
  <c r="L62" i="5" s="1"/>
  <c r="K78" i="5"/>
  <c r="L78" i="5" s="1"/>
  <c r="K91" i="5"/>
  <c r="L91" i="5" s="1"/>
  <c r="K100" i="5"/>
  <c r="L100" i="5" s="1"/>
  <c r="K110" i="5"/>
  <c r="L110" i="5" s="1"/>
  <c r="K118" i="5"/>
  <c r="L118" i="5" s="1"/>
  <c r="K126" i="5"/>
  <c r="L126" i="5" s="1"/>
  <c r="K134" i="5"/>
  <c r="L134" i="5" s="1"/>
  <c r="K142" i="5"/>
  <c r="L142" i="5" s="1"/>
  <c r="K150" i="5"/>
  <c r="L150" i="5" s="1"/>
  <c r="K158" i="5"/>
  <c r="L158" i="5" s="1"/>
  <c r="K166" i="5"/>
  <c r="L166" i="5" s="1"/>
  <c r="K174" i="5"/>
  <c r="L174" i="5" s="1"/>
  <c r="K182" i="5"/>
  <c r="L182" i="5" s="1"/>
  <c r="K190" i="5"/>
  <c r="L190" i="5" s="1"/>
  <c r="K198" i="5"/>
  <c r="L198" i="5" s="1"/>
  <c r="K206" i="5"/>
  <c r="L206" i="5" s="1"/>
  <c r="K214" i="5"/>
  <c r="L214" i="5" s="1"/>
  <c r="K222" i="5"/>
  <c r="L222" i="5" s="1"/>
  <c r="K230" i="5"/>
  <c r="L230" i="5" s="1"/>
  <c r="K238" i="5"/>
  <c r="L238" i="5" s="1"/>
  <c r="K246" i="5"/>
  <c r="L246" i="5" s="1"/>
  <c r="K254" i="5"/>
  <c r="L254" i="5" s="1"/>
  <c r="K262" i="5"/>
  <c r="L262" i="5" s="1"/>
  <c r="K270" i="5"/>
  <c r="L270" i="5" s="1"/>
  <c r="K278" i="5"/>
  <c r="L278" i="5" s="1"/>
  <c r="K286" i="5"/>
  <c r="L286" i="5" s="1"/>
  <c r="K294" i="5"/>
  <c r="L294" i="5" s="1"/>
  <c r="K302" i="5"/>
  <c r="L302" i="5" s="1"/>
  <c r="K310" i="5"/>
  <c r="L310" i="5" s="1"/>
  <c r="K318" i="5"/>
  <c r="L318" i="5" s="1"/>
  <c r="K326" i="5"/>
  <c r="L326" i="5" s="1"/>
  <c r="K334" i="5"/>
  <c r="L334" i="5" s="1"/>
  <c r="K342" i="5"/>
  <c r="L342" i="5" s="1"/>
  <c r="K350" i="5"/>
  <c r="L350" i="5" s="1"/>
  <c r="K358" i="5"/>
  <c r="L358" i="5" s="1"/>
  <c r="K366" i="5"/>
  <c r="L366" i="5" s="1"/>
  <c r="K374" i="5"/>
  <c r="L374" i="5" s="1"/>
  <c r="K382" i="5"/>
  <c r="L382" i="5" s="1"/>
  <c r="K390" i="5"/>
  <c r="L390" i="5" s="1"/>
  <c r="K398" i="5"/>
  <c r="L398" i="5" s="1"/>
  <c r="K406" i="5"/>
  <c r="L406" i="5" s="1"/>
  <c r="K414" i="5"/>
  <c r="L414" i="5" s="1"/>
  <c r="K422" i="5"/>
  <c r="L422" i="5" s="1"/>
  <c r="K430" i="5"/>
  <c r="L430" i="5" s="1"/>
  <c r="K438" i="5"/>
  <c r="L438" i="5" s="1"/>
  <c r="K446" i="5"/>
  <c r="L446" i="5" s="1"/>
  <c r="K454" i="5"/>
  <c r="L454" i="5" s="1"/>
  <c r="K462" i="5"/>
  <c r="L462" i="5" s="1"/>
  <c r="K470" i="5"/>
  <c r="L470" i="5" s="1"/>
  <c r="K478" i="5"/>
  <c r="L478" i="5" s="1"/>
  <c r="K486" i="5"/>
  <c r="L486" i="5" s="1"/>
  <c r="K494" i="5"/>
  <c r="L494" i="5" s="1"/>
  <c r="K502" i="5"/>
  <c r="L502" i="5" s="1"/>
  <c r="K510" i="5"/>
  <c r="L510" i="5" s="1"/>
  <c r="K518" i="5"/>
  <c r="L518" i="5" s="1"/>
  <c r="K526" i="5"/>
  <c r="L526" i="5" s="1"/>
  <c r="K534" i="5"/>
  <c r="L534" i="5" s="1"/>
  <c r="K542" i="5"/>
  <c r="L542" i="5" s="1"/>
  <c r="K550" i="5"/>
  <c r="L550" i="5" s="1"/>
  <c r="K558" i="5"/>
  <c r="L558" i="5" s="1"/>
  <c r="K566" i="5"/>
  <c r="L566" i="5" s="1"/>
  <c r="K574" i="5"/>
  <c r="L574" i="5" s="1"/>
  <c r="K582" i="5"/>
  <c r="L582" i="5" s="1"/>
  <c r="K590" i="5"/>
  <c r="L590" i="5" s="1"/>
  <c r="K598" i="5"/>
  <c r="L598" i="5" s="1"/>
  <c r="K606" i="5"/>
  <c r="L606" i="5" s="1"/>
  <c r="K614" i="5"/>
  <c r="L614" i="5" s="1"/>
  <c r="K622" i="5"/>
  <c r="L622" i="5" s="1"/>
  <c r="K630" i="5"/>
  <c r="L630" i="5" s="1"/>
  <c r="K638" i="5"/>
  <c r="L638" i="5" s="1"/>
  <c r="K646" i="5"/>
  <c r="L646" i="5" s="1"/>
  <c r="K654" i="5"/>
  <c r="L654" i="5" s="1"/>
  <c r="K662" i="5"/>
  <c r="L662" i="5" s="1"/>
  <c r="K670" i="5"/>
  <c r="L670" i="5" s="1"/>
  <c r="K678" i="5"/>
  <c r="L678" i="5" s="1"/>
  <c r="K686" i="5"/>
  <c r="L686" i="5" s="1"/>
  <c r="K694" i="5"/>
  <c r="L694" i="5" s="1"/>
  <c r="K702" i="5"/>
  <c r="L702" i="5" s="1"/>
  <c r="K710" i="5"/>
  <c r="L710" i="5" s="1"/>
  <c r="K718" i="5"/>
  <c r="L718" i="5" s="1"/>
  <c r="K726" i="5"/>
  <c r="L726" i="5" s="1"/>
  <c r="K734" i="5"/>
  <c r="L734" i="5" s="1"/>
  <c r="K742" i="5"/>
  <c r="L742" i="5" s="1"/>
  <c r="K750" i="5"/>
  <c r="L750" i="5" s="1"/>
  <c r="K758" i="5"/>
  <c r="L758" i="5" s="1"/>
  <c r="K766" i="5"/>
  <c r="L766" i="5" s="1"/>
  <c r="K774" i="5"/>
  <c r="L774" i="5" s="1"/>
  <c r="K782" i="5"/>
  <c r="L782" i="5" s="1"/>
  <c r="K790" i="5"/>
  <c r="L790" i="5" s="1"/>
  <c r="K798" i="5"/>
  <c r="L798" i="5" s="1"/>
  <c r="K806" i="5"/>
  <c r="L806" i="5" s="1"/>
  <c r="K814" i="5"/>
  <c r="L814" i="5" s="1"/>
  <c r="K822" i="5"/>
  <c r="L822" i="5" s="1"/>
  <c r="K830" i="5"/>
  <c r="L830" i="5" s="1"/>
  <c r="K838" i="5"/>
  <c r="L838" i="5" s="1"/>
  <c r="K846" i="5"/>
  <c r="L846" i="5" s="1"/>
  <c r="K854" i="5"/>
  <c r="L854" i="5" s="1"/>
  <c r="K862" i="5"/>
  <c r="L862" i="5" s="1"/>
  <c r="K870" i="5"/>
  <c r="L870" i="5" s="1"/>
  <c r="K248" i="5"/>
  <c r="L248" i="5" s="1"/>
  <c r="K264" i="5"/>
  <c r="L264" i="5" s="1"/>
  <c r="K280" i="5"/>
  <c r="L280" i="5" s="1"/>
  <c r="K296" i="5"/>
  <c r="L296" i="5" s="1"/>
  <c r="K312" i="5"/>
  <c r="L312" i="5" s="1"/>
  <c r="K328" i="5"/>
  <c r="L328" i="5" s="1"/>
  <c r="K344" i="5"/>
  <c r="L344" i="5" s="1"/>
  <c r="K360" i="5"/>
  <c r="L360" i="5" s="1"/>
  <c r="K376" i="5"/>
  <c r="L376" i="5" s="1"/>
  <c r="K392" i="5"/>
  <c r="L392" i="5" s="1"/>
  <c r="K408" i="5"/>
  <c r="L408" i="5" s="1"/>
  <c r="K424" i="5"/>
  <c r="L424" i="5" s="1"/>
  <c r="K440" i="5"/>
  <c r="L440" i="5" s="1"/>
  <c r="K456" i="5"/>
  <c r="L456" i="5" s="1"/>
  <c r="K472" i="5"/>
  <c r="L472" i="5" s="1"/>
  <c r="K488" i="5"/>
  <c r="L488" i="5" s="1"/>
  <c r="K504" i="5"/>
  <c r="L504" i="5" s="1"/>
  <c r="K520" i="5"/>
  <c r="L520" i="5" s="1"/>
  <c r="K536" i="5"/>
  <c r="L536" i="5" s="1"/>
  <c r="K552" i="5"/>
  <c r="L552" i="5" s="1"/>
  <c r="K568" i="5"/>
  <c r="L568" i="5" s="1"/>
  <c r="K584" i="5"/>
  <c r="L584" i="5" s="1"/>
  <c r="K600" i="5"/>
  <c r="L600" i="5" s="1"/>
  <c r="K612" i="5"/>
  <c r="L612" i="5" s="1"/>
  <c r="K624" i="5"/>
  <c r="L624" i="5" s="1"/>
  <c r="K634" i="5"/>
  <c r="L634" i="5" s="1"/>
  <c r="K644" i="5"/>
  <c r="L644" i="5" s="1"/>
  <c r="K656" i="5"/>
  <c r="L656" i="5" s="1"/>
  <c r="K666" i="5"/>
  <c r="L666" i="5" s="1"/>
  <c r="K676" i="5"/>
  <c r="L676" i="5" s="1"/>
  <c r="K688" i="5"/>
  <c r="L688" i="5" s="1"/>
  <c r="K698" i="5"/>
  <c r="L698" i="5" s="1"/>
  <c r="K708" i="5"/>
  <c r="L708" i="5" s="1"/>
  <c r="K720" i="5"/>
  <c r="L720" i="5" s="1"/>
  <c r="K730" i="5"/>
  <c r="L730" i="5" s="1"/>
  <c r="K740" i="5"/>
  <c r="L740" i="5" s="1"/>
  <c r="K752" i="5"/>
  <c r="L752" i="5" s="1"/>
  <c r="K762" i="5"/>
  <c r="L762" i="5" s="1"/>
  <c r="K772" i="5"/>
  <c r="L772" i="5" s="1"/>
  <c r="K784" i="5"/>
  <c r="L784" i="5" s="1"/>
  <c r="K794" i="5"/>
  <c r="L794" i="5" s="1"/>
  <c r="K804" i="5"/>
  <c r="L804" i="5" s="1"/>
  <c r="K816" i="5"/>
  <c r="L816" i="5" s="1"/>
  <c r="K826" i="5"/>
  <c r="L826" i="5" s="1"/>
  <c r="K836" i="5"/>
  <c r="L836" i="5" s="1"/>
  <c r="K848" i="5"/>
  <c r="L848" i="5" s="1"/>
  <c r="K858" i="5"/>
  <c r="L858" i="5" s="1"/>
  <c r="K868" i="5"/>
  <c r="L868" i="5" s="1"/>
  <c r="K879" i="5"/>
  <c r="L879" i="5" s="1"/>
  <c r="K887" i="5"/>
  <c r="L887" i="5" s="1"/>
  <c r="K895" i="5"/>
  <c r="L895" i="5" s="1"/>
  <c r="K903" i="5"/>
  <c r="L903" i="5" s="1"/>
  <c r="K911" i="5"/>
  <c r="L911" i="5" s="1"/>
  <c r="K919" i="5"/>
  <c r="L919" i="5" s="1"/>
  <c r="K927" i="5"/>
  <c r="L927" i="5" s="1"/>
  <c r="K935" i="5"/>
  <c r="L935" i="5" s="1"/>
  <c r="K943" i="5"/>
  <c r="L943" i="5" s="1"/>
  <c r="K951" i="5"/>
  <c r="L951" i="5" s="1"/>
  <c r="K959" i="5"/>
  <c r="L959" i="5" s="1"/>
  <c r="K967" i="5"/>
  <c r="L967" i="5" s="1"/>
  <c r="K975" i="5"/>
  <c r="L975" i="5" s="1"/>
  <c r="K983" i="5"/>
  <c r="L983" i="5" s="1"/>
  <c r="K991" i="5"/>
  <c r="L991" i="5" s="1"/>
  <c r="K999" i="5"/>
  <c r="L999" i="5" s="1"/>
  <c r="K1007" i="5"/>
  <c r="L1007" i="5" s="1"/>
  <c r="K1015" i="5"/>
  <c r="L1015" i="5" s="1"/>
  <c r="K1023" i="5"/>
  <c r="L1023" i="5" s="1"/>
  <c r="K1031" i="5"/>
  <c r="L1031" i="5" s="1"/>
  <c r="K1039" i="5"/>
  <c r="L1039" i="5" s="1"/>
  <c r="K1047" i="5"/>
  <c r="L1047" i="5" s="1"/>
  <c r="K1055" i="5"/>
  <c r="L1055" i="5" s="1"/>
  <c r="K1063" i="5"/>
  <c r="L1063" i="5" s="1"/>
  <c r="K1071" i="5"/>
  <c r="L1071" i="5" s="1"/>
  <c r="K1079" i="5"/>
  <c r="L1079" i="5" s="1"/>
  <c r="K1087" i="5"/>
  <c r="L1087" i="5" s="1"/>
  <c r="K1095" i="5"/>
  <c r="L1095" i="5" s="1"/>
  <c r="K1103" i="5"/>
  <c r="L1103" i="5" s="1"/>
  <c r="K1111" i="5"/>
  <c r="L1111" i="5" s="1"/>
  <c r="K1119" i="5"/>
  <c r="L1119" i="5" s="1"/>
  <c r="K1127" i="5"/>
  <c r="L1127" i="5" s="1"/>
  <c r="K1135" i="5"/>
  <c r="L1135" i="5" s="1"/>
  <c r="K1143" i="5"/>
  <c r="L1143" i="5" s="1"/>
  <c r="K1151" i="5"/>
  <c r="L1151" i="5" s="1"/>
  <c r="K1159" i="5"/>
  <c r="L1159" i="5" s="1"/>
  <c r="K1167" i="5"/>
  <c r="L1167" i="5" s="1"/>
  <c r="K1175" i="5"/>
  <c r="L1175" i="5" s="1"/>
  <c r="K1183" i="5"/>
  <c r="L1183" i="5" s="1"/>
  <c r="K1191" i="5"/>
  <c r="L1191" i="5" s="1"/>
  <c r="K2" i="5"/>
  <c r="L2" i="5" s="1"/>
  <c r="K228" i="5"/>
  <c r="L228" i="5" s="1"/>
  <c r="K249" i="5"/>
  <c r="L249" i="5" s="1"/>
  <c r="K265" i="5"/>
  <c r="L265" i="5" s="1"/>
  <c r="K281" i="5"/>
  <c r="L281" i="5" s="1"/>
  <c r="K297" i="5"/>
  <c r="L297" i="5" s="1"/>
  <c r="K313" i="5"/>
  <c r="L313" i="5" s="1"/>
  <c r="K329" i="5"/>
  <c r="L329" i="5" s="1"/>
  <c r="K345" i="5"/>
  <c r="L345" i="5" s="1"/>
  <c r="K361" i="5"/>
  <c r="L361" i="5" s="1"/>
  <c r="K377" i="5"/>
  <c r="L377" i="5" s="1"/>
  <c r="K393" i="5"/>
  <c r="L393" i="5" s="1"/>
  <c r="K409" i="5"/>
  <c r="L409" i="5" s="1"/>
  <c r="K425" i="5"/>
  <c r="L425" i="5" s="1"/>
  <c r="K441" i="5"/>
  <c r="L441" i="5" s="1"/>
  <c r="K457" i="5"/>
  <c r="L457" i="5" s="1"/>
  <c r="K473" i="5"/>
  <c r="L473" i="5" s="1"/>
  <c r="K489" i="5"/>
  <c r="L489" i="5" s="1"/>
  <c r="K505" i="5"/>
  <c r="L505" i="5" s="1"/>
  <c r="K521" i="5"/>
  <c r="L521" i="5" s="1"/>
  <c r="K537" i="5"/>
  <c r="L537" i="5" s="1"/>
  <c r="K553" i="5"/>
  <c r="L553" i="5" s="1"/>
  <c r="K569" i="5"/>
  <c r="L569" i="5" s="1"/>
  <c r="K585" i="5"/>
  <c r="L585" i="5" s="1"/>
  <c r="K601" i="5"/>
  <c r="L601" i="5" s="1"/>
  <c r="K615" i="5"/>
  <c r="L615" i="5" s="1"/>
  <c r="K625" i="5"/>
  <c r="L625" i="5" s="1"/>
  <c r="K635" i="5"/>
  <c r="L635" i="5" s="1"/>
  <c r="K647" i="5"/>
  <c r="L647" i="5" s="1"/>
  <c r="K657" i="5"/>
  <c r="L657" i="5" s="1"/>
  <c r="K667" i="5"/>
  <c r="L667" i="5" s="1"/>
  <c r="K679" i="5"/>
  <c r="L679" i="5" s="1"/>
  <c r="K689" i="5"/>
  <c r="L689" i="5" s="1"/>
  <c r="K699" i="5"/>
  <c r="L699" i="5" s="1"/>
  <c r="K711" i="5"/>
  <c r="L711" i="5" s="1"/>
  <c r="K721" i="5"/>
  <c r="L721" i="5" s="1"/>
  <c r="K731" i="5"/>
  <c r="L731" i="5" s="1"/>
  <c r="K743" i="5"/>
  <c r="L743" i="5" s="1"/>
  <c r="K753" i="5"/>
  <c r="L753" i="5" s="1"/>
  <c r="K763" i="5"/>
  <c r="L763" i="5" s="1"/>
  <c r="K775" i="5"/>
  <c r="L775" i="5" s="1"/>
  <c r="K785" i="5"/>
  <c r="L785" i="5" s="1"/>
  <c r="K795" i="5"/>
  <c r="L795" i="5" s="1"/>
  <c r="K807" i="5"/>
  <c r="L807" i="5" s="1"/>
  <c r="K817" i="5"/>
  <c r="L817" i="5" s="1"/>
  <c r="K827" i="5"/>
  <c r="L827" i="5" s="1"/>
  <c r="K839" i="5"/>
  <c r="L839" i="5" s="1"/>
  <c r="K849" i="5"/>
  <c r="L849" i="5" s="1"/>
  <c r="K859" i="5"/>
  <c r="L859" i="5" s="1"/>
  <c r="K871" i="5"/>
  <c r="L871" i="5" s="1"/>
  <c r="K880" i="5"/>
  <c r="L880" i="5" s="1"/>
  <c r="K888" i="5"/>
  <c r="L888" i="5" s="1"/>
  <c r="K896" i="5"/>
  <c r="L896" i="5" s="1"/>
  <c r="K904" i="5"/>
  <c r="L904" i="5" s="1"/>
  <c r="K912" i="5"/>
  <c r="L912" i="5" s="1"/>
  <c r="K920" i="5"/>
  <c r="L920" i="5" s="1"/>
  <c r="K928" i="5"/>
  <c r="L928" i="5" s="1"/>
  <c r="K936" i="5"/>
  <c r="L936" i="5" s="1"/>
  <c r="K944" i="5"/>
  <c r="L944" i="5" s="1"/>
  <c r="K952" i="5"/>
  <c r="L952" i="5" s="1"/>
  <c r="K960" i="5"/>
  <c r="L960" i="5" s="1"/>
  <c r="K968" i="5"/>
  <c r="L968" i="5" s="1"/>
  <c r="K976" i="5"/>
  <c r="L976" i="5" s="1"/>
  <c r="K984" i="5"/>
  <c r="L984" i="5" s="1"/>
  <c r="K992" i="5"/>
  <c r="L992" i="5" s="1"/>
  <c r="K1000" i="5"/>
  <c r="L1000" i="5" s="1"/>
  <c r="K1008" i="5"/>
  <c r="L1008" i="5" s="1"/>
  <c r="K1016" i="5"/>
  <c r="L1016" i="5" s="1"/>
  <c r="K1024" i="5"/>
  <c r="L1024" i="5" s="1"/>
  <c r="K1032" i="5"/>
  <c r="L1032" i="5" s="1"/>
  <c r="K1040" i="5"/>
  <c r="L1040" i="5" s="1"/>
  <c r="K1048" i="5"/>
  <c r="L1048" i="5" s="1"/>
  <c r="K1056" i="5"/>
  <c r="L1056" i="5" s="1"/>
  <c r="K1064" i="5"/>
  <c r="L1064" i="5" s="1"/>
  <c r="K1072" i="5"/>
  <c r="L1072" i="5" s="1"/>
  <c r="K1080" i="5"/>
  <c r="L1080" i="5" s="1"/>
  <c r="K1088" i="5"/>
  <c r="L1088" i="5" s="1"/>
  <c r="K1096" i="5"/>
  <c r="L1096" i="5" s="1"/>
  <c r="K1104" i="5"/>
  <c r="L1104" i="5" s="1"/>
  <c r="K1112" i="5"/>
  <c r="L1112" i="5" s="1"/>
  <c r="K1120" i="5"/>
  <c r="L1120" i="5" s="1"/>
  <c r="K1128" i="5"/>
  <c r="L1128" i="5" s="1"/>
  <c r="K1136" i="5"/>
  <c r="L1136" i="5" s="1"/>
  <c r="K1144" i="5"/>
  <c r="L1144" i="5" s="1"/>
  <c r="K1152" i="5"/>
  <c r="L1152" i="5" s="1"/>
  <c r="K1160" i="5"/>
  <c r="L1160" i="5" s="1"/>
  <c r="K232" i="5"/>
  <c r="L232" i="5" s="1"/>
  <c r="K251" i="5"/>
  <c r="L251" i="5" s="1"/>
  <c r="K267" i="5"/>
  <c r="L267" i="5" s="1"/>
  <c r="K283" i="5"/>
  <c r="L283" i="5" s="1"/>
  <c r="K299" i="5"/>
  <c r="L299" i="5" s="1"/>
  <c r="K315" i="5"/>
  <c r="L315" i="5" s="1"/>
  <c r="K331" i="5"/>
  <c r="L331" i="5" s="1"/>
  <c r="K347" i="5"/>
  <c r="L347" i="5" s="1"/>
  <c r="K363" i="5"/>
  <c r="L363" i="5" s="1"/>
  <c r="K379" i="5"/>
  <c r="L379" i="5" s="1"/>
  <c r="K395" i="5"/>
  <c r="L395" i="5" s="1"/>
  <c r="K411" i="5"/>
  <c r="L411" i="5" s="1"/>
  <c r="K427" i="5"/>
  <c r="L427" i="5" s="1"/>
  <c r="K443" i="5"/>
  <c r="L443" i="5" s="1"/>
  <c r="K459" i="5"/>
  <c r="L459" i="5" s="1"/>
  <c r="K475" i="5"/>
  <c r="L475" i="5" s="1"/>
  <c r="K491" i="5"/>
  <c r="L491" i="5" s="1"/>
  <c r="K507" i="5"/>
  <c r="L507" i="5" s="1"/>
  <c r="K523" i="5"/>
  <c r="L523" i="5" s="1"/>
  <c r="K539" i="5"/>
  <c r="L539" i="5" s="1"/>
  <c r="K555" i="5"/>
  <c r="L555" i="5" s="1"/>
  <c r="K571" i="5"/>
  <c r="L571" i="5" s="1"/>
  <c r="K587" i="5"/>
  <c r="L587" i="5" s="1"/>
  <c r="K603" i="5"/>
  <c r="L603" i="5" s="1"/>
  <c r="K616" i="5"/>
  <c r="L616" i="5" s="1"/>
  <c r="K626" i="5"/>
  <c r="L626" i="5" s="1"/>
  <c r="K636" i="5"/>
  <c r="L636" i="5" s="1"/>
  <c r="K648" i="5"/>
  <c r="L648" i="5" s="1"/>
  <c r="K658" i="5"/>
  <c r="L658" i="5" s="1"/>
  <c r="K668" i="5"/>
  <c r="L668" i="5" s="1"/>
  <c r="K680" i="5"/>
  <c r="L680" i="5" s="1"/>
  <c r="K690" i="5"/>
  <c r="L690" i="5" s="1"/>
  <c r="K700" i="5"/>
  <c r="L700" i="5" s="1"/>
  <c r="K712" i="5"/>
  <c r="L712" i="5" s="1"/>
  <c r="K722" i="5"/>
  <c r="L722" i="5" s="1"/>
  <c r="K732" i="5"/>
  <c r="L732" i="5" s="1"/>
  <c r="K744" i="5"/>
  <c r="L744" i="5" s="1"/>
  <c r="K754" i="5"/>
  <c r="L754" i="5" s="1"/>
  <c r="K764" i="5"/>
  <c r="L764" i="5" s="1"/>
  <c r="K776" i="5"/>
  <c r="L776" i="5" s="1"/>
  <c r="K786" i="5"/>
  <c r="L786" i="5" s="1"/>
  <c r="K796" i="5"/>
  <c r="L796" i="5" s="1"/>
  <c r="K808" i="5"/>
  <c r="L808" i="5" s="1"/>
  <c r="K818" i="5"/>
  <c r="L818" i="5" s="1"/>
  <c r="K828" i="5"/>
  <c r="L828" i="5" s="1"/>
  <c r="K840" i="5"/>
  <c r="L840" i="5" s="1"/>
  <c r="K850" i="5"/>
  <c r="L850" i="5" s="1"/>
  <c r="K860" i="5"/>
  <c r="L860" i="5" s="1"/>
  <c r="K872" i="5"/>
  <c r="L872" i="5" s="1"/>
  <c r="K881" i="5"/>
  <c r="L881" i="5" s="1"/>
  <c r="K889" i="5"/>
  <c r="L889" i="5" s="1"/>
  <c r="K897" i="5"/>
  <c r="L897" i="5" s="1"/>
  <c r="K905" i="5"/>
  <c r="L905" i="5" s="1"/>
  <c r="K913" i="5"/>
  <c r="L913" i="5" s="1"/>
  <c r="K921" i="5"/>
  <c r="L921" i="5" s="1"/>
  <c r="K929" i="5"/>
  <c r="L929" i="5" s="1"/>
  <c r="K937" i="5"/>
  <c r="L937" i="5" s="1"/>
  <c r="K945" i="5"/>
  <c r="L945" i="5" s="1"/>
  <c r="K953" i="5"/>
  <c r="L953" i="5" s="1"/>
  <c r="K961" i="5"/>
  <c r="L961" i="5" s="1"/>
  <c r="K969" i="5"/>
  <c r="L969" i="5" s="1"/>
  <c r="K977" i="5"/>
  <c r="L977" i="5" s="1"/>
  <c r="K985" i="5"/>
  <c r="L985" i="5" s="1"/>
  <c r="K993" i="5"/>
  <c r="L993" i="5" s="1"/>
  <c r="K1001" i="5"/>
  <c r="L1001" i="5" s="1"/>
  <c r="K1009" i="5"/>
  <c r="L1009" i="5" s="1"/>
  <c r="K1017" i="5"/>
  <c r="L1017" i="5" s="1"/>
  <c r="K1025" i="5"/>
  <c r="L1025" i="5" s="1"/>
  <c r="K1033" i="5"/>
  <c r="L1033" i="5" s="1"/>
  <c r="K1041" i="5"/>
  <c r="L1041" i="5" s="1"/>
  <c r="K1049" i="5"/>
  <c r="L1049" i="5" s="1"/>
  <c r="K1057" i="5"/>
  <c r="L1057" i="5" s="1"/>
  <c r="K1065" i="5"/>
  <c r="L1065" i="5" s="1"/>
  <c r="K1073" i="5"/>
  <c r="L1073" i="5" s="1"/>
  <c r="K1081" i="5"/>
  <c r="L1081" i="5" s="1"/>
  <c r="K1089" i="5"/>
  <c r="L1089" i="5" s="1"/>
  <c r="K1097" i="5"/>
  <c r="L1097" i="5" s="1"/>
  <c r="K1105" i="5"/>
  <c r="L1105" i="5" s="1"/>
  <c r="K1113" i="5"/>
  <c r="L1113" i="5" s="1"/>
  <c r="K1121" i="5"/>
  <c r="L1121" i="5" s="1"/>
  <c r="K1129" i="5"/>
  <c r="L1129" i="5" s="1"/>
  <c r="K1137" i="5"/>
  <c r="L1137" i="5" s="1"/>
  <c r="K1145" i="5"/>
  <c r="L1145" i="5" s="1"/>
  <c r="K1153" i="5"/>
  <c r="L1153" i="5" s="1"/>
  <c r="K1161" i="5"/>
  <c r="L1161" i="5" s="1"/>
  <c r="K233" i="5"/>
  <c r="L233" i="5" s="1"/>
  <c r="K252" i="5"/>
  <c r="L252" i="5" s="1"/>
  <c r="K268" i="5"/>
  <c r="L268" i="5" s="1"/>
  <c r="K284" i="5"/>
  <c r="L284" i="5" s="1"/>
  <c r="K300" i="5"/>
  <c r="L300" i="5" s="1"/>
  <c r="K316" i="5"/>
  <c r="L316" i="5" s="1"/>
  <c r="K332" i="5"/>
  <c r="L332" i="5" s="1"/>
  <c r="K348" i="5"/>
  <c r="L348" i="5" s="1"/>
  <c r="K364" i="5"/>
  <c r="L364" i="5" s="1"/>
  <c r="K380" i="5"/>
  <c r="L380" i="5" s="1"/>
  <c r="K396" i="5"/>
  <c r="L396" i="5" s="1"/>
  <c r="K412" i="5"/>
  <c r="L412" i="5" s="1"/>
  <c r="K428" i="5"/>
  <c r="L428" i="5" s="1"/>
  <c r="K444" i="5"/>
  <c r="L444" i="5" s="1"/>
  <c r="K460" i="5"/>
  <c r="L460" i="5" s="1"/>
  <c r="K476" i="5"/>
  <c r="L476" i="5" s="1"/>
  <c r="K492" i="5"/>
  <c r="L492" i="5" s="1"/>
  <c r="K508" i="5"/>
  <c r="L508" i="5" s="1"/>
  <c r="K524" i="5"/>
  <c r="L524" i="5" s="1"/>
  <c r="K540" i="5"/>
  <c r="L540" i="5" s="1"/>
  <c r="K556" i="5"/>
  <c r="L556" i="5" s="1"/>
  <c r="K572" i="5"/>
  <c r="L572" i="5" s="1"/>
  <c r="K588" i="5"/>
  <c r="L588" i="5" s="1"/>
  <c r="K604" i="5"/>
  <c r="L604" i="5" s="1"/>
  <c r="K617" i="5"/>
  <c r="L617" i="5" s="1"/>
  <c r="K627" i="5"/>
  <c r="L627" i="5" s="1"/>
  <c r="K639" i="5"/>
  <c r="L639" i="5" s="1"/>
  <c r="K649" i="5"/>
  <c r="L649" i="5" s="1"/>
  <c r="K659" i="5"/>
  <c r="L659" i="5" s="1"/>
  <c r="K671" i="5"/>
  <c r="L671" i="5" s="1"/>
  <c r="K681" i="5"/>
  <c r="L681" i="5" s="1"/>
  <c r="K691" i="5"/>
  <c r="L691" i="5" s="1"/>
  <c r="K703" i="5"/>
  <c r="L703" i="5" s="1"/>
  <c r="K713" i="5"/>
  <c r="L713" i="5" s="1"/>
  <c r="K723" i="5"/>
  <c r="L723" i="5" s="1"/>
  <c r="K735" i="5"/>
  <c r="L735" i="5" s="1"/>
  <c r="K745" i="5"/>
  <c r="L745" i="5" s="1"/>
  <c r="K755" i="5"/>
  <c r="L755" i="5" s="1"/>
  <c r="K767" i="5"/>
  <c r="L767" i="5" s="1"/>
  <c r="K777" i="5"/>
  <c r="L777" i="5" s="1"/>
  <c r="K787" i="5"/>
  <c r="L787" i="5" s="1"/>
  <c r="K799" i="5"/>
  <c r="L799" i="5" s="1"/>
  <c r="K809" i="5"/>
  <c r="L809" i="5" s="1"/>
  <c r="K819" i="5"/>
  <c r="L819" i="5" s="1"/>
  <c r="K831" i="5"/>
  <c r="L831" i="5" s="1"/>
  <c r="K841" i="5"/>
  <c r="L841" i="5" s="1"/>
  <c r="K851" i="5"/>
  <c r="L851" i="5" s="1"/>
  <c r="K863" i="5"/>
  <c r="L863" i="5" s="1"/>
  <c r="K873" i="5"/>
  <c r="L873" i="5" s="1"/>
  <c r="K882" i="5"/>
  <c r="L882" i="5" s="1"/>
  <c r="K890" i="5"/>
  <c r="L890" i="5" s="1"/>
  <c r="K898" i="5"/>
  <c r="L898" i="5" s="1"/>
  <c r="K906" i="5"/>
  <c r="L906" i="5" s="1"/>
  <c r="K914" i="5"/>
  <c r="L914" i="5" s="1"/>
  <c r="K922" i="5"/>
  <c r="L922" i="5" s="1"/>
  <c r="K930" i="5"/>
  <c r="L930" i="5" s="1"/>
  <c r="K938" i="5"/>
  <c r="L938" i="5" s="1"/>
  <c r="K946" i="5"/>
  <c r="L946" i="5" s="1"/>
  <c r="K954" i="5"/>
  <c r="L954" i="5" s="1"/>
  <c r="K962" i="5"/>
  <c r="L962" i="5" s="1"/>
  <c r="K970" i="5"/>
  <c r="L970" i="5" s="1"/>
  <c r="K978" i="5"/>
  <c r="L978" i="5" s="1"/>
  <c r="K986" i="5"/>
  <c r="L986" i="5" s="1"/>
  <c r="K994" i="5"/>
  <c r="L994" i="5" s="1"/>
  <c r="K1002" i="5"/>
  <c r="L1002" i="5" s="1"/>
  <c r="K1010" i="5"/>
  <c r="L1010" i="5" s="1"/>
  <c r="K1018" i="5"/>
  <c r="L1018" i="5" s="1"/>
  <c r="K1026" i="5"/>
  <c r="L1026" i="5" s="1"/>
  <c r="K1034" i="5"/>
  <c r="L1034" i="5" s="1"/>
  <c r="K1042" i="5"/>
  <c r="L1042" i="5" s="1"/>
  <c r="K1050" i="5"/>
  <c r="L1050" i="5" s="1"/>
  <c r="K1058" i="5"/>
  <c r="L1058" i="5" s="1"/>
  <c r="K1066" i="5"/>
  <c r="L1066" i="5" s="1"/>
  <c r="K1074" i="5"/>
  <c r="L1074" i="5" s="1"/>
  <c r="K1082" i="5"/>
  <c r="L1082" i="5" s="1"/>
  <c r="K1090" i="5"/>
  <c r="L1090" i="5" s="1"/>
  <c r="K1098" i="5"/>
  <c r="L1098" i="5" s="1"/>
  <c r="K1106" i="5"/>
  <c r="L1106" i="5" s="1"/>
  <c r="K1114" i="5"/>
  <c r="L1114" i="5" s="1"/>
  <c r="K1122" i="5"/>
  <c r="L1122" i="5" s="1"/>
  <c r="K1130" i="5"/>
  <c r="L1130" i="5" s="1"/>
  <c r="K1138" i="5"/>
  <c r="L1138" i="5" s="1"/>
  <c r="K1146" i="5"/>
  <c r="L1146" i="5" s="1"/>
  <c r="K1154" i="5"/>
  <c r="L1154" i="5" s="1"/>
  <c r="K1162" i="5"/>
  <c r="L1162" i="5" s="1"/>
  <c r="K1170" i="5"/>
  <c r="L1170" i="5" s="1"/>
  <c r="K1178" i="5"/>
  <c r="L1178" i="5" s="1"/>
  <c r="K1186" i="5"/>
  <c r="L1186" i="5" s="1"/>
  <c r="K1194" i="5"/>
  <c r="L1194" i="5" s="1"/>
  <c r="K236" i="5"/>
  <c r="L236" i="5" s="1"/>
  <c r="K256" i="5"/>
  <c r="L256" i="5" s="1"/>
  <c r="K272" i="5"/>
  <c r="L272" i="5" s="1"/>
  <c r="K288" i="5"/>
  <c r="L288" i="5" s="1"/>
  <c r="K304" i="5"/>
  <c r="L304" i="5" s="1"/>
  <c r="K320" i="5"/>
  <c r="L320" i="5" s="1"/>
  <c r="K336" i="5"/>
  <c r="L336" i="5" s="1"/>
  <c r="K352" i="5"/>
  <c r="L352" i="5" s="1"/>
  <c r="K368" i="5"/>
  <c r="L368" i="5" s="1"/>
  <c r="K384" i="5"/>
  <c r="L384" i="5" s="1"/>
  <c r="K400" i="5"/>
  <c r="L400" i="5" s="1"/>
  <c r="K416" i="5"/>
  <c r="L416" i="5" s="1"/>
  <c r="K432" i="5"/>
  <c r="L432" i="5" s="1"/>
  <c r="K448" i="5"/>
  <c r="L448" i="5" s="1"/>
  <c r="K464" i="5"/>
  <c r="L464" i="5" s="1"/>
  <c r="K480" i="5"/>
  <c r="L480" i="5" s="1"/>
  <c r="K496" i="5"/>
  <c r="L496" i="5" s="1"/>
  <c r="K512" i="5"/>
  <c r="L512" i="5" s="1"/>
  <c r="K528" i="5"/>
  <c r="L528" i="5" s="1"/>
  <c r="K544" i="5"/>
  <c r="L544" i="5" s="1"/>
  <c r="K560" i="5"/>
  <c r="L560" i="5" s="1"/>
  <c r="K576" i="5"/>
  <c r="L576" i="5" s="1"/>
  <c r="K592" i="5"/>
  <c r="L592" i="5" s="1"/>
  <c r="K608" i="5"/>
  <c r="L608" i="5" s="1"/>
  <c r="K618" i="5"/>
  <c r="L618" i="5" s="1"/>
  <c r="K628" i="5"/>
  <c r="L628" i="5" s="1"/>
  <c r="K640" i="5"/>
  <c r="L640" i="5" s="1"/>
  <c r="K650" i="5"/>
  <c r="L650" i="5" s="1"/>
  <c r="K660" i="5"/>
  <c r="L660" i="5" s="1"/>
  <c r="K672" i="5"/>
  <c r="L672" i="5" s="1"/>
  <c r="K682" i="5"/>
  <c r="L682" i="5" s="1"/>
  <c r="K692" i="5"/>
  <c r="L692" i="5" s="1"/>
  <c r="K704" i="5"/>
  <c r="L704" i="5" s="1"/>
  <c r="K714" i="5"/>
  <c r="L714" i="5" s="1"/>
  <c r="K724" i="5"/>
  <c r="L724" i="5" s="1"/>
  <c r="K736" i="5"/>
  <c r="L736" i="5" s="1"/>
  <c r="K746" i="5"/>
  <c r="L746" i="5" s="1"/>
  <c r="K756" i="5"/>
  <c r="L756" i="5" s="1"/>
  <c r="K768" i="5"/>
  <c r="L768" i="5" s="1"/>
  <c r="K778" i="5"/>
  <c r="L778" i="5" s="1"/>
  <c r="K788" i="5"/>
  <c r="L788" i="5" s="1"/>
  <c r="K800" i="5"/>
  <c r="L800" i="5" s="1"/>
  <c r="K810" i="5"/>
  <c r="L810" i="5" s="1"/>
  <c r="K820" i="5"/>
  <c r="L820" i="5" s="1"/>
  <c r="K832" i="5"/>
  <c r="L832" i="5" s="1"/>
  <c r="K842" i="5"/>
  <c r="L842" i="5" s="1"/>
  <c r="K852" i="5"/>
  <c r="L852" i="5" s="1"/>
  <c r="K864" i="5"/>
  <c r="L864" i="5" s="1"/>
  <c r="K874" i="5"/>
  <c r="L874" i="5" s="1"/>
  <c r="K883" i="5"/>
  <c r="L883" i="5" s="1"/>
  <c r="K891" i="5"/>
  <c r="L891" i="5" s="1"/>
  <c r="K899" i="5"/>
  <c r="L899" i="5" s="1"/>
  <c r="K907" i="5"/>
  <c r="L907" i="5" s="1"/>
  <c r="K915" i="5"/>
  <c r="L915" i="5" s="1"/>
  <c r="K923" i="5"/>
  <c r="L923" i="5" s="1"/>
  <c r="K931" i="5"/>
  <c r="L931" i="5" s="1"/>
  <c r="K939" i="5"/>
  <c r="L939" i="5" s="1"/>
  <c r="K947" i="5"/>
  <c r="L947" i="5" s="1"/>
  <c r="K955" i="5"/>
  <c r="L955" i="5" s="1"/>
  <c r="K963" i="5"/>
  <c r="L963" i="5" s="1"/>
  <c r="K971" i="5"/>
  <c r="L971" i="5" s="1"/>
  <c r="K979" i="5"/>
  <c r="L979" i="5" s="1"/>
  <c r="K987" i="5"/>
  <c r="L987" i="5" s="1"/>
  <c r="K995" i="5"/>
  <c r="L995" i="5" s="1"/>
  <c r="K1003" i="5"/>
  <c r="L1003" i="5" s="1"/>
  <c r="K1011" i="5"/>
  <c r="L1011" i="5" s="1"/>
  <c r="K1019" i="5"/>
  <c r="L1019" i="5" s="1"/>
  <c r="K1027" i="5"/>
  <c r="L1027" i="5" s="1"/>
  <c r="K1035" i="5"/>
  <c r="L1035" i="5" s="1"/>
  <c r="K1043" i="5"/>
  <c r="L1043" i="5" s="1"/>
  <c r="K1051" i="5"/>
  <c r="L1051" i="5" s="1"/>
  <c r="K1059" i="5"/>
  <c r="L1059" i="5" s="1"/>
  <c r="K1067" i="5"/>
  <c r="L1067" i="5" s="1"/>
  <c r="K1075" i="5"/>
  <c r="L1075" i="5" s="1"/>
  <c r="K1083" i="5"/>
  <c r="L1083" i="5" s="1"/>
  <c r="K1091" i="5"/>
  <c r="L1091" i="5" s="1"/>
  <c r="K1099" i="5"/>
  <c r="L1099" i="5" s="1"/>
  <c r="K1107" i="5"/>
  <c r="L1107" i="5" s="1"/>
  <c r="K1115" i="5"/>
  <c r="L1115" i="5" s="1"/>
  <c r="K1123" i="5"/>
  <c r="L1123" i="5" s="1"/>
  <c r="K1131" i="5"/>
  <c r="L1131" i="5" s="1"/>
  <c r="K1139" i="5"/>
  <c r="L1139" i="5" s="1"/>
  <c r="K1147" i="5"/>
  <c r="L1147" i="5" s="1"/>
  <c r="K1155" i="5"/>
  <c r="L1155" i="5" s="1"/>
  <c r="K1163" i="5"/>
  <c r="L1163" i="5" s="1"/>
  <c r="K1171" i="5"/>
  <c r="L1171" i="5" s="1"/>
  <c r="K1179" i="5"/>
  <c r="L1179" i="5" s="1"/>
  <c r="K1187" i="5"/>
  <c r="L1187" i="5" s="1"/>
  <c r="K1195" i="5"/>
  <c r="L1195" i="5" s="1"/>
  <c r="K240" i="5"/>
  <c r="L240" i="5" s="1"/>
  <c r="K257" i="5"/>
  <c r="L257" i="5" s="1"/>
  <c r="K273" i="5"/>
  <c r="L273" i="5" s="1"/>
  <c r="K289" i="5"/>
  <c r="L289" i="5" s="1"/>
  <c r="K305" i="5"/>
  <c r="L305" i="5" s="1"/>
  <c r="K321" i="5"/>
  <c r="L321" i="5" s="1"/>
  <c r="K337" i="5"/>
  <c r="L337" i="5" s="1"/>
  <c r="K353" i="5"/>
  <c r="L353" i="5" s="1"/>
  <c r="K369" i="5"/>
  <c r="L369" i="5" s="1"/>
  <c r="K385" i="5"/>
  <c r="L385" i="5" s="1"/>
  <c r="K401" i="5"/>
  <c r="L401" i="5" s="1"/>
  <c r="K417" i="5"/>
  <c r="L417" i="5" s="1"/>
  <c r="K433" i="5"/>
  <c r="L433" i="5" s="1"/>
  <c r="K449" i="5"/>
  <c r="L449" i="5" s="1"/>
  <c r="K465" i="5"/>
  <c r="L465" i="5" s="1"/>
  <c r="K481" i="5"/>
  <c r="L481" i="5" s="1"/>
  <c r="K497" i="5"/>
  <c r="L497" i="5" s="1"/>
  <c r="K513" i="5"/>
  <c r="L513" i="5" s="1"/>
  <c r="K529" i="5"/>
  <c r="L529" i="5" s="1"/>
  <c r="K545" i="5"/>
  <c r="L545" i="5" s="1"/>
  <c r="K561" i="5"/>
  <c r="L561" i="5" s="1"/>
  <c r="K577" i="5"/>
  <c r="L577" i="5" s="1"/>
  <c r="K593" i="5"/>
  <c r="L593" i="5" s="1"/>
  <c r="K609" i="5"/>
  <c r="L609" i="5" s="1"/>
  <c r="K619" i="5"/>
  <c r="L619" i="5" s="1"/>
  <c r="K631" i="5"/>
  <c r="L631" i="5" s="1"/>
  <c r="K641" i="5"/>
  <c r="L641" i="5" s="1"/>
  <c r="K651" i="5"/>
  <c r="L651" i="5" s="1"/>
  <c r="K663" i="5"/>
  <c r="L663" i="5" s="1"/>
  <c r="K673" i="5"/>
  <c r="L673" i="5" s="1"/>
  <c r="K683" i="5"/>
  <c r="L683" i="5" s="1"/>
  <c r="K695" i="5"/>
  <c r="L695" i="5" s="1"/>
  <c r="K705" i="5"/>
  <c r="L705" i="5" s="1"/>
  <c r="K715" i="5"/>
  <c r="L715" i="5" s="1"/>
  <c r="K727" i="5"/>
  <c r="L727" i="5" s="1"/>
  <c r="K737" i="5"/>
  <c r="L737" i="5" s="1"/>
  <c r="K747" i="5"/>
  <c r="L747" i="5" s="1"/>
  <c r="K759" i="5"/>
  <c r="L759" i="5" s="1"/>
  <c r="K769" i="5"/>
  <c r="L769" i="5" s="1"/>
  <c r="K779" i="5"/>
  <c r="L779" i="5" s="1"/>
  <c r="K791" i="5"/>
  <c r="L791" i="5" s="1"/>
  <c r="K801" i="5"/>
  <c r="L801" i="5" s="1"/>
  <c r="K811" i="5"/>
  <c r="L811" i="5" s="1"/>
  <c r="K823" i="5"/>
  <c r="L823" i="5" s="1"/>
  <c r="K833" i="5"/>
  <c r="L833" i="5" s="1"/>
  <c r="K843" i="5"/>
  <c r="L843" i="5" s="1"/>
  <c r="K855" i="5"/>
  <c r="L855" i="5" s="1"/>
  <c r="K865" i="5"/>
  <c r="L865" i="5" s="1"/>
  <c r="K875" i="5"/>
  <c r="L875" i="5" s="1"/>
  <c r="K884" i="5"/>
  <c r="L884" i="5" s="1"/>
  <c r="K892" i="5"/>
  <c r="L892" i="5" s="1"/>
  <c r="K900" i="5"/>
  <c r="L900" i="5" s="1"/>
  <c r="K908" i="5"/>
  <c r="L908" i="5" s="1"/>
  <c r="K916" i="5"/>
  <c r="L916" i="5" s="1"/>
  <c r="K924" i="5"/>
  <c r="L924" i="5" s="1"/>
  <c r="K932" i="5"/>
  <c r="L932" i="5" s="1"/>
  <c r="K940" i="5"/>
  <c r="L940" i="5" s="1"/>
  <c r="K948" i="5"/>
  <c r="L948" i="5" s="1"/>
  <c r="K956" i="5"/>
  <c r="L956" i="5" s="1"/>
  <c r="K964" i="5"/>
  <c r="L964" i="5" s="1"/>
  <c r="K972" i="5"/>
  <c r="L972" i="5" s="1"/>
  <c r="K980" i="5"/>
  <c r="L980" i="5" s="1"/>
  <c r="K988" i="5"/>
  <c r="L988" i="5" s="1"/>
  <c r="K996" i="5"/>
  <c r="L996" i="5" s="1"/>
  <c r="K1004" i="5"/>
  <c r="L1004" i="5" s="1"/>
  <c r="K1012" i="5"/>
  <c r="L1012" i="5" s="1"/>
  <c r="K1020" i="5"/>
  <c r="L1020" i="5" s="1"/>
  <c r="K1028" i="5"/>
  <c r="L1028" i="5" s="1"/>
  <c r="K1036" i="5"/>
  <c r="L1036" i="5" s="1"/>
  <c r="K1044" i="5"/>
  <c r="L1044" i="5" s="1"/>
  <c r="K1052" i="5"/>
  <c r="L1052" i="5" s="1"/>
  <c r="K1060" i="5"/>
  <c r="L1060" i="5" s="1"/>
  <c r="K1068" i="5"/>
  <c r="L1068" i="5" s="1"/>
  <c r="K1076" i="5"/>
  <c r="L1076" i="5" s="1"/>
  <c r="K1084" i="5"/>
  <c r="L1084" i="5" s="1"/>
  <c r="K1092" i="5"/>
  <c r="L1092" i="5" s="1"/>
  <c r="K1100" i="5"/>
  <c r="L1100" i="5" s="1"/>
  <c r="K1108" i="5"/>
  <c r="L1108" i="5" s="1"/>
  <c r="K1116" i="5"/>
  <c r="L1116" i="5" s="1"/>
  <c r="K1124" i="5"/>
  <c r="L1124" i="5" s="1"/>
  <c r="K1132" i="5"/>
  <c r="L1132" i="5" s="1"/>
  <c r="K1140" i="5"/>
  <c r="L1140" i="5" s="1"/>
  <c r="K1148" i="5"/>
  <c r="L1148" i="5" s="1"/>
  <c r="K1156" i="5"/>
  <c r="L1156" i="5" s="1"/>
  <c r="K1164" i="5"/>
  <c r="L1164" i="5" s="1"/>
  <c r="K1172" i="5"/>
  <c r="L1172" i="5" s="1"/>
  <c r="K1180" i="5"/>
  <c r="L1180" i="5" s="1"/>
  <c r="K1188" i="5"/>
  <c r="L1188" i="5" s="1"/>
  <c r="K1196" i="5"/>
  <c r="L1196" i="5" s="1"/>
  <c r="K241" i="5"/>
  <c r="L241" i="5" s="1"/>
  <c r="K259" i="5"/>
  <c r="L259" i="5" s="1"/>
  <c r="K275" i="5"/>
  <c r="L275" i="5" s="1"/>
  <c r="K291" i="5"/>
  <c r="L291" i="5" s="1"/>
  <c r="K307" i="5"/>
  <c r="L307" i="5" s="1"/>
  <c r="K323" i="5"/>
  <c r="L323" i="5" s="1"/>
  <c r="K339" i="5"/>
  <c r="L339" i="5" s="1"/>
  <c r="K355" i="5"/>
  <c r="L355" i="5" s="1"/>
  <c r="K371" i="5"/>
  <c r="L371" i="5" s="1"/>
  <c r="K387" i="5"/>
  <c r="L387" i="5" s="1"/>
  <c r="K403" i="5"/>
  <c r="L403" i="5" s="1"/>
  <c r="K419" i="5"/>
  <c r="L419" i="5" s="1"/>
  <c r="K435" i="5"/>
  <c r="L435" i="5" s="1"/>
  <c r="K451" i="5"/>
  <c r="L451" i="5" s="1"/>
  <c r="K467" i="5"/>
  <c r="L467" i="5" s="1"/>
  <c r="K483" i="5"/>
  <c r="L483" i="5" s="1"/>
  <c r="K499" i="5"/>
  <c r="L499" i="5" s="1"/>
  <c r="K515" i="5"/>
  <c r="L515" i="5" s="1"/>
  <c r="K531" i="5"/>
  <c r="L531" i="5" s="1"/>
  <c r="K547" i="5"/>
  <c r="L547" i="5" s="1"/>
  <c r="K563" i="5"/>
  <c r="L563" i="5" s="1"/>
  <c r="K579" i="5"/>
  <c r="L579" i="5" s="1"/>
  <c r="K595" i="5"/>
  <c r="L595" i="5" s="1"/>
  <c r="K610" i="5"/>
  <c r="L610" i="5" s="1"/>
  <c r="K620" i="5"/>
  <c r="L620" i="5" s="1"/>
  <c r="K632" i="5"/>
  <c r="L632" i="5" s="1"/>
  <c r="K642" i="5"/>
  <c r="L642" i="5" s="1"/>
  <c r="K652" i="5"/>
  <c r="L652" i="5" s="1"/>
  <c r="K664" i="5"/>
  <c r="L664" i="5" s="1"/>
  <c r="K674" i="5"/>
  <c r="L674" i="5" s="1"/>
  <c r="K684" i="5"/>
  <c r="L684" i="5" s="1"/>
  <c r="K696" i="5"/>
  <c r="L696" i="5" s="1"/>
  <c r="K706" i="5"/>
  <c r="L706" i="5" s="1"/>
  <c r="K716" i="5"/>
  <c r="L716" i="5" s="1"/>
  <c r="K728" i="5"/>
  <c r="L728" i="5" s="1"/>
  <c r="K738" i="5"/>
  <c r="L738" i="5" s="1"/>
  <c r="K748" i="5"/>
  <c r="L748" i="5" s="1"/>
  <c r="K760" i="5"/>
  <c r="L760" i="5" s="1"/>
  <c r="K770" i="5"/>
  <c r="L770" i="5" s="1"/>
  <c r="K780" i="5"/>
  <c r="L780" i="5" s="1"/>
  <c r="K792" i="5"/>
  <c r="L792" i="5" s="1"/>
  <c r="K802" i="5"/>
  <c r="L802" i="5" s="1"/>
  <c r="K812" i="5"/>
  <c r="L812" i="5" s="1"/>
  <c r="K824" i="5"/>
  <c r="L824" i="5" s="1"/>
  <c r="K834" i="5"/>
  <c r="L834" i="5" s="1"/>
  <c r="K844" i="5"/>
  <c r="L844" i="5" s="1"/>
  <c r="K856" i="5"/>
  <c r="L856" i="5" s="1"/>
  <c r="K866" i="5"/>
  <c r="L866" i="5" s="1"/>
  <c r="K876" i="5"/>
  <c r="L876" i="5" s="1"/>
  <c r="K885" i="5"/>
  <c r="L885" i="5" s="1"/>
  <c r="K893" i="5"/>
  <c r="L893" i="5" s="1"/>
  <c r="K901" i="5"/>
  <c r="L901" i="5" s="1"/>
  <c r="K909" i="5"/>
  <c r="L909" i="5" s="1"/>
  <c r="K917" i="5"/>
  <c r="L917" i="5" s="1"/>
  <c r="K925" i="5"/>
  <c r="L925" i="5" s="1"/>
  <c r="K933" i="5"/>
  <c r="L933" i="5" s="1"/>
  <c r="K941" i="5"/>
  <c r="L941" i="5" s="1"/>
  <c r="K949" i="5"/>
  <c r="L949" i="5" s="1"/>
  <c r="K957" i="5"/>
  <c r="L957" i="5" s="1"/>
  <c r="K965" i="5"/>
  <c r="L965" i="5" s="1"/>
  <c r="K973" i="5"/>
  <c r="L973" i="5" s="1"/>
  <c r="K981" i="5"/>
  <c r="L981" i="5" s="1"/>
  <c r="K989" i="5"/>
  <c r="L989" i="5" s="1"/>
  <c r="K997" i="5"/>
  <c r="L997" i="5" s="1"/>
  <c r="K1005" i="5"/>
  <c r="L1005" i="5" s="1"/>
  <c r="K1013" i="5"/>
  <c r="L1013" i="5" s="1"/>
  <c r="K1021" i="5"/>
  <c r="L1021" i="5" s="1"/>
  <c r="K1029" i="5"/>
  <c r="L1029" i="5" s="1"/>
  <c r="K1037" i="5"/>
  <c r="L1037" i="5" s="1"/>
  <c r="K1045" i="5"/>
  <c r="L1045" i="5" s="1"/>
  <c r="K1053" i="5"/>
  <c r="L1053" i="5" s="1"/>
  <c r="K1061" i="5"/>
  <c r="L1061" i="5" s="1"/>
  <c r="K1069" i="5"/>
  <c r="L1069" i="5" s="1"/>
  <c r="K1077" i="5"/>
  <c r="L1077" i="5" s="1"/>
  <c r="K1085" i="5"/>
  <c r="L1085" i="5" s="1"/>
  <c r="K1093" i="5"/>
  <c r="L1093" i="5" s="1"/>
  <c r="K1101" i="5"/>
  <c r="L1101" i="5" s="1"/>
  <c r="K1109" i="5"/>
  <c r="L1109" i="5" s="1"/>
  <c r="K1117" i="5"/>
  <c r="L1117" i="5" s="1"/>
  <c r="K1125" i="5"/>
  <c r="L1125" i="5" s="1"/>
  <c r="K1133" i="5"/>
  <c r="L1133" i="5" s="1"/>
  <c r="K1141" i="5"/>
  <c r="L1141" i="5" s="1"/>
  <c r="K1149" i="5"/>
  <c r="L1149" i="5" s="1"/>
  <c r="K1157" i="5"/>
  <c r="L1157" i="5" s="1"/>
  <c r="K1165" i="5"/>
  <c r="L1165" i="5" s="1"/>
  <c r="K1173" i="5"/>
  <c r="L1173" i="5" s="1"/>
  <c r="K1181" i="5"/>
  <c r="L1181" i="5" s="1"/>
  <c r="K1189" i="5"/>
  <c r="L1189" i="5" s="1"/>
  <c r="K1197" i="5"/>
  <c r="L1197" i="5" s="1"/>
  <c r="K244" i="5"/>
  <c r="L244" i="5" s="1"/>
  <c r="K260" i="5"/>
  <c r="L260" i="5" s="1"/>
  <c r="K276" i="5"/>
  <c r="L276" i="5" s="1"/>
  <c r="K292" i="5"/>
  <c r="L292" i="5" s="1"/>
  <c r="K308" i="5"/>
  <c r="L308" i="5" s="1"/>
  <c r="K324" i="5"/>
  <c r="L324" i="5" s="1"/>
  <c r="K340" i="5"/>
  <c r="L340" i="5" s="1"/>
  <c r="K356" i="5"/>
  <c r="L356" i="5" s="1"/>
  <c r="K372" i="5"/>
  <c r="L372" i="5" s="1"/>
  <c r="K388" i="5"/>
  <c r="L388" i="5" s="1"/>
  <c r="K404" i="5"/>
  <c r="L404" i="5" s="1"/>
  <c r="K420" i="5"/>
  <c r="L420" i="5" s="1"/>
  <c r="K436" i="5"/>
  <c r="L436" i="5" s="1"/>
  <c r="K452" i="5"/>
  <c r="L452" i="5" s="1"/>
  <c r="K468" i="5"/>
  <c r="L468" i="5" s="1"/>
  <c r="K484" i="5"/>
  <c r="L484" i="5" s="1"/>
  <c r="K500" i="5"/>
  <c r="L500" i="5" s="1"/>
  <c r="K516" i="5"/>
  <c r="L516" i="5" s="1"/>
  <c r="K532" i="5"/>
  <c r="L532" i="5" s="1"/>
  <c r="K548" i="5"/>
  <c r="L548" i="5" s="1"/>
  <c r="K564" i="5"/>
  <c r="L564" i="5" s="1"/>
  <c r="K580" i="5"/>
  <c r="L580" i="5" s="1"/>
  <c r="K596" i="5"/>
  <c r="L596" i="5" s="1"/>
  <c r="K611" i="5"/>
  <c r="L611" i="5" s="1"/>
  <c r="K623" i="5"/>
  <c r="L623" i="5" s="1"/>
  <c r="K633" i="5"/>
  <c r="L633" i="5" s="1"/>
  <c r="K643" i="5"/>
  <c r="L643" i="5" s="1"/>
  <c r="K655" i="5"/>
  <c r="L655" i="5" s="1"/>
  <c r="K665" i="5"/>
  <c r="L665" i="5" s="1"/>
  <c r="K675" i="5"/>
  <c r="L675" i="5" s="1"/>
  <c r="K687" i="5"/>
  <c r="L687" i="5" s="1"/>
  <c r="K697" i="5"/>
  <c r="L697" i="5" s="1"/>
  <c r="K707" i="5"/>
  <c r="L707" i="5" s="1"/>
  <c r="K719" i="5"/>
  <c r="L719" i="5" s="1"/>
  <c r="K729" i="5"/>
  <c r="L729" i="5" s="1"/>
  <c r="K739" i="5"/>
  <c r="L739" i="5" s="1"/>
  <c r="K751" i="5"/>
  <c r="L751" i="5" s="1"/>
  <c r="K761" i="5"/>
  <c r="L761" i="5" s="1"/>
  <c r="K771" i="5"/>
  <c r="L771" i="5" s="1"/>
  <c r="K783" i="5"/>
  <c r="L783" i="5" s="1"/>
  <c r="K793" i="5"/>
  <c r="L793" i="5" s="1"/>
  <c r="K803" i="5"/>
  <c r="L803" i="5" s="1"/>
  <c r="K815" i="5"/>
  <c r="L815" i="5" s="1"/>
  <c r="K825" i="5"/>
  <c r="L825" i="5" s="1"/>
  <c r="K835" i="5"/>
  <c r="L835" i="5" s="1"/>
  <c r="K847" i="5"/>
  <c r="L847" i="5" s="1"/>
  <c r="K857" i="5"/>
  <c r="L857" i="5" s="1"/>
  <c r="K867" i="5"/>
  <c r="L867" i="5" s="1"/>
  <c r="K878" i="5"/>
  <c r="L878" i="5" s="1"/>
  <c r="K886" i="5"/>
  <c r="L886" i="5" s="1"/>
  <c r="K894" i="5"/>
  <c r="L894" i="5" s="1"/>
  <c r="K902" i="5"/>
  <c r="L902" i="5" s="1"/>
  <c r="K910" i="5"/>
  <c r="L910" i="5" s="1"/>
  <c r="K918" i="5"/>
  <c r="L918" i="5" s="1"/>
  <c r="K926" i="5"/>
  <c r="L926" i="5" s="1"/>
  <c r="K934" i="5"/>
  <c r="L934" i="5" s="1"/>
  <c r="K942" i="5"/>
  <c r="L942" i="5" s="1"/>
  <c r="K950" i="5"/>
  <c r="L950" i="5" s="1"/>
  <c r="K958" i="5"/>
  <c r="L958" i="5" s="1"/>
  <c r="K966" i="5"/>
  <c r="L966" i="5" s="1"/>
  <c r="K974" i="5"/>
  <c r="L974" i="5" s="1"/>
  <c r="K982" i="5"/>
  <c r="L982" i="5" s="1"/>
  <c r="K990" i="5"/>
  <c r="L990" i="5" s="1"/>
  <c r="K998" i="5"/>
  <c r="L998" i="5" s="1"/>
  <c r="K1006" i="5"/>
  <c r="L1006" i="5" s="1"/>
  <c r="K1014" i="5"/>
  <c r="L1014" i="5" s="1"/>
  <c r="K1022" i="5"/>
  <c r="L1022" i="5" s="1"/>
  <c r="K1030" i="5"/>
  <c r="L1030" i="5" s="1"/>
  <c r="K1038" i="5"/>
  <c r="L1038" i="5" s="1"/>
  <c r="K1046" i="5"/>
  <c r="L1046" i="5" s="1"/>
  <c r="K1054" i="5"/>
  <c r="L1054" i="5" s="1"/>
  <c r="K1062" i="5"/>
  <c r="L1062" i="5" s="1"/>
  <c r="K1070" i="5"/>
  <c r="L1070" i="5" s="1"/>
  <c r="K1078" i="5"/>
  <c r="L1078" i="5" s="1"/>
  <c r="K1086" i="5"/>
  <c r="L1086" i="5" s="1"/>
  <c r="K1094" i="5"/>
  <c r="L1094" i="5" s="1"/>
  <c r="K1102" i="5"/>
  <c r="L1102" i="5" s="1"/>
  <c r="K1110" i="5"/>
  <c r="L1110" i="5" s="1"/>
  <c r="K1118" i="5"/>
  <c r="L1118" i="5" s="1"/>
  <c r="K1126" i="5"/>
  <c r="L1126" i="5" s="1"/>
  <c r="K1134" i="5"/>
  <c r="L1134" i="5" s="1"/>
  <c r="K1142" i="5"/>
  <c r="L1142" i="5" s="1"/>
  <c r="K1150" i="5"/>
  <c r="L1150" i="5" s="1"/>
  <c r="K1158" i="5"/>
  <c r="L1158" i="5" s="1"/>
  <c r="K1166" i="5"/>
  <c r="L1166" i="5" s="1"/>
  <c r="K1174" i="5"/>
  <c r="L1174" i="5" s="1"/>
  <c r="K1182" i="5"/>
  <c r="L1182" i="5" s="1"/>
  <c r="K1190" i="5"/>
  <c r="L1190" i="5" s="1"/>
  <c r="K1198" i="5"/>
  <c r="L1198" i="5" s="1"/>
  <c r="K1168" i="5"/>
  <c r="L1168" i="5" s="1"/>
  <c r="K1169" i="5"/>
  <c r="L1169" i="5" s="1"/>
  <c r="K1176" i="5"/>
  <c r="L1176" i="5" s="1"/>
  <c r="K1184" i="5"/>
  <c r="L1184" i="5" s="1"/>
  <c r="K1177" i="5"/>
  <c r="L1177" i="5" s="1"/>
  <c r="K1185" i="5"/>
  <c r="L1185" i="5" s="1"/>
  <c r="K1193" i="5"/>
  <c r="L1193" i="5" s="1"/>
  <c r="K1192" i="5"/>
  <c r="L1192" i="5" s="1"/>
  <c r="G58" i="5"/>
  <c r="G42" i="5"/>
  <c r="B13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92999E-30BE-42B7-94FA-DEFD0A28A6C4}" keepAlive="1" name="Consulta - Datos históricos Plata (1)" description="Conexión a la consulta 'Datos históricos Plata (1)' en el libro." type="5" refreshedVersion="0" background="1">
    <dbPr connection="Provider=Microsoft.Mashup.OleDb.1;Data Source=$Workbook$;Location=&quot;Datos históricos Plata (1)&quot;;Extended Properties=&quot;&quot;" command="SELECT * FROM [Datos históricos Plata (1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<sst xmlns="http://schemas.openxmlformats.org/spreadsheetml/2006/main" count="6326" uniqueCount="3770">
  <si>
    <t>Vol.</t>
  </si>
  <si>
    <t>% var.</t>
  </si>
  <si>
    <t>02.01.2020</t>
  </si>
  <si>
    <t>270,55K</t>
  </si>
  <si>
    <t>03.01.2020</t>
  </si>
  <si>
    <t>436,74K</t>
  </si>
  <si>
    <t>06.01.2020</t>
  </si>
  <si>
    <t>558,97K</t>
  </si>
  <si>
    <t>07.01.2020</t>
  </si>
  <si>
    <t>435,87K</t>
  </si>
  <si>
    <t>08.01.2020</t>
  </si>
  <si>
    <t>813,41K</t>
  </si>
  <si>
    <t>09.01.2020</t>
  </si>
  <si>
    <t>372,88K</t>
  </si>
  <si>
    <t>10.01.2020</t>
  </si>
  <si>
    <t>344,34K</t>
  </si>
  <si>
    <t>13.01.2020</t>
  </si>
  <si>
    <t>311,73K</t>
  </si>
  <si>
    <t>14.01.2020</t>
  </si>
  <si>
    <t>340,91K</t>
  </si>
  <si>
    <t>15.01.2020</t>
  </si>
  <si>
    <t>310,07K</t>
  </si>
  <si>
    <t>16.01.2020</t>
  </si>
  <si>
    <t>260,05K</t>
  </si>
  <si>
    <t>17.01.2020</t>
  </si>
  <si>
    <t>264,93K</t>
  </si>
  <si>
    <t>20.01.2020</t>
  </si>
  <si>
    <t>462,62K</t>
  </si>
  <si>
    <t>21.01.2020</t>
  </si>
  <si>
    <t>22.01.2020</t>
  </si>
  <si>
    <t>286,08K</t>
  </si>
  <si>
    <t>23.01.2020</t>
  </si>
  <si>
    <t>361,03K</t>
  </si>
  <si>
    <t>24.01.2020</t>
  </si>
  <si>
    <t>427,14K</t>
  </si>
  <si>
    <t>27.01.2020</t>
  </si>
  <si>
    <t>398,06K</t>
  </si>
  <si>
    <t>28.01.2020</t>
  </si>
  <si>
    <t>378,01K</t>
  </si>
  <si>
    <t>29.01.2020</t>
  </si>
  <si>
    <t>251,27K</t>
  </si>
  <si>
    <t>30.01.2020</t>
  </si>
  <si>
    <t>382,60K</t>
  </si>
  <si>
    <t>31.01.2020</t>
  </si>
  <si>
    <t>343,37K</t>
  </si>
  <si>
    <t>03.02.2020</t>
  </si>
  <si>
    <t>320,60K</t>
  </si>
  <si>
    <t>04.02.2020</t>
  </si>
  <si>
    <t>349,00K</t>
  </si>
  <si>
    <t>05.02.2020</t>
  </si>
  <si>
    <t>306,05K</t>
  </si>
  <si>
    <t>06.02.2020</t>
  </si>
  <si>
    <t>229,00K</t>
  </si>
  <si>
    <t>07.02.2020</t>
  </si>
  <si>
    <t>286,42K</t>
  </si>
  <si>
    <t>10.02.2020</t>
  </si>
  <si>
    <t>191,75K</t>
  </si>
  <si>
    <t>11.02.2020</t>
  </si>
  <si>
    <t>231,83K</t>
  </si>
  <si>
    <t>12.02.2020</t>
  </si>
  <si>
    <t>189,55K</t>
  </si>
  <si>
    <t>13.02.2020</t>
  </si>
  <si>
    <t>276,25K</t>
  </si>
  <si>
    <t>14.02.2020</t>
  </si>
  <si>
    <t>227,11K</t>
  </si>
  <si>
    <t>17.02.2020</t>
  </si>
  <si>
    <t>414,24K</t>
  </si>
  <si>
    <t>18.02.2020</t>
  </si>
  <si>
    <t>19.02.2020</t>
  </si>
  <si>
    <t>307,89K</t>
  </si>
  <si>
    <t>20.02.2020</t>
  </si>
  <si>
    <t>403,04K</t>
  </si>
  <si>
    <t>21.02.2020</t>
  </si>
  <si>
    <t>489,19K</t>
  </si>
  <si>
    <t>24.02.2020</t>
  </si>
  <si>
    <t>680,82K</t>
  </si>
  <si>
    <t>25.02.2020</t>
  </si>
  <si>
    <t>672,76K</t>
  </si>
  <si>
    <t>26.02.2020</t>
  </si>
  <si>
    <t>531,90K</t>
  </si>
  <si>
    <t>27.02.2020</t>
  </si>
  <si>
    <t>573,29K</t>
  </si>
  <si>
    <t>28.02.2020</t>
  </si>
  <si>
    <t>745,84K</t>
  </si>
  <si>
    <t>02.03.2020</t>
  </si>
  <si>
    <t>443,53K</t>
  </si>
  <si>
    <t>03.03.2020</t>
  </si>
  <si>
    <t>466,53K</t>
  </si>
  <si>
    <t>04.03.2020</t>
  </si>
  <si>
    <t>313,34K</t>
  </si>
  <si>
    <t>05.03.2020</t>
  </si>
  <si>
    <t>363,00K</t>
  </si>
  <si>
    <t>06.03.2020</t>
  </si>
  <si>
    <t>659,63K</t>
  </si>
  <si>
    <t>09.03.2020</t>
  </si>
  <si>
    <t>504,16K</t>
  </si>
  <si>
    <t>10.03.2020</t>
  </si>
  <si>
    <t>385,48K</t>
  </si>
  <si>
    <t>11.03.2020</t>
  </si>
  <si>
    <t>404,35K</t>
  </si>
  <si>
    <t>12.03.2020</t>
  </si>
  <si>
    <t>605,72K</t>
  </si>
  <si>
    <t>13.03.2020</t>
  </si>
  <si>
    <t>551,05K</t>
  </si>
  <si>
    <t>16.03.2020</t>
  </si>
  <si>
    <t>565,98K</t>
  </si>
  <si>
    <t>17.03.2020</t>
  </si>
  <si>
    <t>434,51K</t>
  </si>
  <si>
    <t>18.03.2020</t>
  </si>
  <si>
    <t>435,19K</t>
  </si>
  <si>
    <t>19.03.2020</t>
  </si>
  <si>
    <t>325,29K</t>
  </si>
  <si>
    <t>20.03.2020</t>
  </si>
  <si>
    <t>269,97K</t>
  </si>
  <si>
    <t>23.03.2020</t>
  </si>
  <si>
    <t>362,07K</t>
  </si>
  <si>
    <t>24.03.2020</t>
  </si>
  <si>
    <t>418,78K</t>
  </si>
  <si>
    <t>25.03.2020</t>
  </si>
  <si>
    <t>254,19K</t>
  </si>
  <si>
    <t>26.03.2020</t>
  </si>
  <si>
    <t>215,97K</t>
  </si>
  <si>
    <t>27.03.2020</t>
  </si>
  <si>
    <t>159,26K</t>
  </si>
  <si>
    <t>30.03.2020</t>
  </si>
  <si>
    <t>157,37K</t>
  </si>
  <si>
    <t>31.03.2020</t>
  </si>
  <si>
    <t>176,55K</t>
  </si>
  <si>
    <t>01.04.2020</t>
  </si>
  <si>
    <t>164,48K</t>
  </si>
  <si>
    <t>02.04.2020</t>
  </si>
  <si>
    <t>167,71K</t>
  </si>
  <si>
    <t>03.04.2020</t>
  </si>
  <si>
    <t>139,61K</t>
  </si>
  <si>
    <t>06.04.2020</t>
  </si>
  <si>
    <t>192,75K</t>
  </si>
  <si>
    <t>07.04.2020</t>
  </si>
  <si>
    <t>204,50K</t>
  </si>
  <si>
    <t>08.04.2020</t>
  </si>
  <si>
    <t>125,33K</t>
  </si>
  <si>
    <t>09.04.2020</t>
  </si>
  <si>
    <t>218,80K</t>
  </si>
  <si>
    <t>13.04.2020</t>
  </si>
  <si>
    <t>166,89K</t>
  </si>
  <si>
    <t>14.04.2020</t>
  </si>
  <si>
    <t>241,19K</t>
  </si>
  <si>
    <t>15.04.2020</t>
  </si>
  <si>
    <t>186,70K</t>
  </si>
  <si>
    <t>16.04.2020</t>
  </si>
  <si>
    <t>204,23K</t>
  </si>
  <si>
    <t>17.04.2020</t>
  </si>
  <si>
    <t>227,07K</t>
  </si>
  <si>
    <t>20.04.2020</t>
  </si>
  <si>
    <t>186,91K</t>
  </si>
  <si>
    <t>21.04.2020</t>
  </si>
  <si>
    <t>248,63K</t>
  </si>
  <si>
    <t>22.04.2020</t>
  </si>
  <si>
    <t>193,73K</t>
  </si>
  <si>
    <t>23.04.2020</t>
  </si>
  <si>
    <t>201,88K</t>
  </si>
  <si>
    <t>24.04.2020</t>
  </si>
  <si>
    <t>180,24K</t>
  </si>
  <si>
    <t>27.04.2020</t>
  </si>
  <si>
    <t>146,64K</t>
  </si>
  <si>
    <t>28.04.2020</t>
  </si>
  <si>
    <t>171,34K</t>
  </si>
  <si>
    <t>29.04.2020</t>
  </si>
  <si>
    <t>159,60K</t>
  </si>
  <si>
    <t>30.04.2020</t>
  </si>
  <si>
    <t>234,53K</t>
  </si>
  <si>
    <t>01.05.2020</t>
  </si>
  <si>
    <t>168,02K</t>
  </si>
  <si>
    <t>04.05.2020</t>
  </si>
  <si>
    <t>148,73K</t>
  </si>
  <si>
    <t>05.05.2020</t>
  </si>
  <si>
    <t>184,73K</t>
  </si>
  <si>
    <t>06.05.2020</t>
  </si>
  <si>
    <t>203,37K</t>
  </si>
  <si>
    <t>07.05.2020</t>
  </si>
  <si>
    <t>250,70K</t>
  </si>
  <si>
    <t>08.05.2020</t>
  </si>
  <si>
    <t>232,81K</t>
  </si>
  <si>
    <t>11.05.2020</t>
  </si>
  <si>
    <t>202,17K</t>
  </si>
  <si>
    <t>12.05.2020</t>
  </si>
  <si>
    <t>198,07K</t>
  </si>
  <si>
    <t>13.05.2020</t>
  </si>
  <si>
    <t>211,61K</t>
  </si>
  <si>
    <t>14.05.2020</t>
  </si>
  <si>
    <t>212,91K</t>
  </si>
  <si>
    <t>15.05.2020</t>
  </si>
  <si>
    <t>200,18K</t>
  </si>
  <si>
    <t>18.05.2020</t>
  </si>
  <si>
    <t>271,47K</t>
  </si>
  <si>
    <t>19.05.2020</t>
  </si>
  <si>
    <t>185,26K</t>
  </si>
  <si>
    <t>20.05.2020</t>
  </si>
  <si>
    <t>184,46K</t>
  </si>
  <si>
    <t>21.05.2020</t>
  </si>
  <si>
    <t>238,74K</t>
  </si>
  <si>
    <t>22.05.2020</t>
  </si>
  <si>
    <t>196,82K</t>
  </si>
  <si>
    <t>25.05.2020</t>
  </si>
  <si>
    <t>313,17K</t>
  </si>
  <si>
    <t>26.05.2020</t>
  </si>
  <si>
    <t>27.05.2020</t>
  </si>
  <si>
    <t>158,95K</t>
  </si>
  <si>
    <t>28.05.2020</t>
  </si>
  <si>
    <t>164,82K</t>
  </si>
  <si>
    <t>29.05.2020</t>
  </si>
  <si>
    <t>150,11K</t>
  </si>
  <si>
    <t>01.06.2020</t>
  </si>
  <si>
    <t>146,13K</t>
  </si>
  <si>
    <t>02.06.2020</t>
  </si>
  <si>
    <t>175,35K</t>
  </si>
  <si>
    <t>03.06.2020</t>
  </si>
  <si>
    <t>256,52K</t>
  </si>
  <si>
    <t>04.06.2020</t>
  </si>
  <si>
    <t>198,72K</t>
  </si>
  <si>
    <t>05.06.2020</t>
  </si>
  <si>
    <t>273,68K</t>
  </si>
  <si>
    <t>08.06.2020</t>
  </si>
  <si>
    <t>154,77K</t>
  </si>
  <si>
    <t>09.06.2020</t>
  </si>
  <si>
    <t>182,91K</t>
  </si>
  <si>
    <t>10.06.2020</t>
  </si>
  <si>
    <t>198,76K</t>
  </si>
  <si>
    <t>11.06.2020</t>
  </si>
  <si>
    <t>205,35K</t>
  </si>
  <si>
    <t>12.06.2020</t>
  </si>
  <si>
    <t>151,40K</t>
  </si>
  <si>
    <t>15.06.2020</t>
  </si>
  <si>
    <t>200,23K</t>
  </si>
  <si>
    <t>16.06.2020</t>
  </si>
  <si>
    <t>182,42K</t>
  </si>
  <si>
    <t>17.06.2020</t>
  </si>
  <si>
    <t>140,07K</t>
  </si>
  <si>
    <t>18.06.2020</t>
  </si>
  <si>
    <t>155,91K</t>
  </si>
  <si>
    <t>19.06.2020</t>
  </si>
  <si>
    <t>181,15K</t>
  </si>
  <si>
    <t>22.06.2020</t>
  </si>
  <si>
    <t>228,68K</t>
  </si>
  <si>
    <t>23.06.2020</t>
  </si>
  <si>
    <t>194,68K</t>
  </si>
  <si>
    <t>24.06.2020</t>
  </si>
  <si>
    <t>239,53K</t>
  </si>
  <si>
    <t>25.06.2020</t>
  </si>
  <si>
    <t>152,20K</t>
  </si>
  <si>
    <t>26.06.2020</t>
  </si>
  <si>
    <t>201,23K</t>
  </si>
  <si>
    <t>29.06.2020</t>
  </si>
  <si>
    <t>130,51K</t>
  </si>
  <si>
    <t>30.06.2020</t>
  </si>
  <si>
    <t>199,42K</t>
  </si>
  <si>
    <t>01.07.2020</t>
  </si>
  <si>
    <t>263,25K</t>
  </si>
  <si>
    <t>02.07.2020</t>
  </si>
  <si>
    <t>186,31K</t>
  </si>
  <si>
    <t>03.07.2020</t>
  </si>
  <si>
    <t>184,65K</t>
  </si>
  <si>
    <t>06.07.2020</t>
  </si>
  <si>
    <t>07.07.2020</t>
  </si>
  <si>
    <t>221,73K</t>
  </si>
  <si>
    <t>08.07.2020</t>
  </si>
  <si>
    <t>247,50K</t>
  </si>
  <si>
    <t>09.07.2020</t>
  </si>
  <si>
    <t>283,37K</t>
  </si>
  <si>
    <t>10.07.2020</t>
  </si>
  <si>
    <t>223,83K</t>
  </si>
  <si>
    <t>13.07.2020</t>
  </si>
  <si>
    <t>230,40K</t>
  </si>
  <si>
    <t>14.07.2020</t>
  </si>
  <si>
    <t>253,21K</t>
  </si>
  <si>
    <t>15.07.2020</t>
  </si>
  <si>
    <t>183,06K</t>
  </si>
  <si>
    <t>16.07.2020</t>
  </si>
  <si>
    <t>196,57K</t>
  </si>
  <si>
    <t>17.07.2020</t>
  </si>
  <si>
    <t>167,01K</t>
  </si>
  <si>
    <t>20.07.2020</t>
  </si>
  <si>
    <t>177,74K</t>
  </si>
  <si>
    <t>21.07.2020</t>
  </si>
  <si>
    <t>271,09K</t>
  </si>
  <si>
    <t>22.07.2020</t>
  </si>
  <si>
    <t>382,23K</t>
  </si>
  <si>
    <t>23.07.2020</t>
  </si>
  <si>
    <t>418,75K</t>
  </si>
  <si>
    <t>24.07.2020</t>
  </si>
  <si>
    <t>300,17K</t>
  </si>
  <si>
    <t>27.07.2020</t>
  </si>
  <si>
    <t>428,23K</t>
  </si>
  <si>
    <t>28.07.2020</t>
  </si>
  <si>
    <t>434,45K</t>
  </si>
  <si>
    <t>29.07.2020</t>
  </si>
  <si>
    <t>209,84K</t>
  </si>
  <si>
    <t>30.07.2020</t>
  </si>
  <si>
    <t>271,38K</t>
  </si>
  <si>
    <t>31.07.2020</t>
  </si>
  <si>
    <t>279,32K</t>
  </si>
  <si>
    <t>03.08.2020</t>
  </si>
  <si>
    <t>178,75K</t>
  </si>
  <si>
    <t>04.08.2020</t>
  </si>
  <si>
    <t>274,42K</t>
  </si>
  <si>
    <t>05.08.2020</t>
  </si>
  <si>
    <t>366,38K</t>
  </si>
  <si>
    <t>06.08.2020</t>
  </si>
  <si>
    <t>312,76K</t>
  </si>
  <si>
    <t>07.08.2020</t>
  </si>
  <si>
    <t>398,13K</t>
  </si>
  <si>
    <t>10.08.2020</t>
  </si>
  <si>
    <t>251,31K</t>
  </si>
  <si>
    <t>11.08.2020</t>
  </si>
  <si>
    <t>565,00K</t>
  </si>
  <si>
    <t>12.08.2020</t>
  </si>
  <si>
    <t>459,84K</t>
  </si>
  <si>
    <t>13.08.2020</t>
  </si>
  <si>
    <t>349,89K</t>
  </si>
  <si>
    <t>14.08.2020</t>
  </si>
  <si>
    <t>241,80K</t>
  </si>
  <si>
    <t>17.08.2020</t>
  </si>
  <si>
    <t>289,44K</t>
  </si>
  <si>
    <t>18.08.2020</t>
  </si>
  <si>
    <t>361,48K</t>
  </si>
  <si>
    <t>19.08.2020</t>
  </si>
  <si>
    <t>443,26K</t>
  </si>
  <si>
    <t>20.08.2020</t>
  </si>
  <si>
    <t>383,34K</t>
  </si>
  <si>
    <t>21.08.2020</t>
  </si>
  <si>
    <t>355,07K</t>
  </si>
  <si>
    <t>24.08.2020</t>
  </si>
  <si>
    <t>286,26K</t>
  </si>
  <si>
    <t>25.08.2020</t>
  </si>
  <si>
    <t>274,11K</t>
  </si>
  <si>
    <t>26.08.2020</t>
  </si>
  <si>
    <t>342,21K</t>
  </si>
  <si>
    <t>27.08.2020</t>
  </si>
  <si>
    <t>467,17K</t>
  </si>
  <si>
    <t>28.08.2020</t>
  </si>
  <si>
    <t>334,10K</t>
  </si>
  <si>
    <t>31.08.2020</t>
  </si>
  <si>
    <t>245,11K</t>
  </si>
  <si>
    <t>01.09.2020</t>
  </si>
  <si>
    <t>304,89K</t>
  </si>
  <si>
    <t>02.09.2020</t>
  </si>
  <si>
    <t>332,59K</t>
  </si>
  <si>
    <t>03.09.2020</t>
  </si>
  <si>
    <t>303,03K</t>
  </si>
  <si>
    <t>04.09.2020</t>
  </si>
  <si>
    <t>304,74K</t>
  </si>
  <si>
    <t>07.09.2020</t>
  </si>
  <si>
    <t>416,01K</t>
  </si>
  <si>
    <t>08.09.2020</t>
  </si>
  <si>
    <t>09.09.2020</t>
  </si>
  <si>
    <t>227,18K</t>
  </si>
  <si>
    <t>10.09.2020</t>
  </si>
  <si>
    <t>271,48K</t>
  </si>
  <si>
    <t>11.09.2020</t>
  </si>
  <si>
    <t>205,23K</t>
  </si>
  <si>
    <t>14.09.2020</t>
  </si>
  <si>
    <t>200,09K</t>
  </si>
  <si>
    <t>15.09.2020</t>
  </si>
  <si>
    <t>239,54K</t>
  </si>
  <si>
    <t>16.09.2020</t>
  </si>
  <si>
    <t>298,39K</t>
  </si>
  <si>
    <t>17.09.2020</t>
  </si>
  <si>
    <t>273,14K</t>
  </si>
  <si>
    <t>18.09.2020</t>
  </si>
  <si>
    <t>174,77K</t>
  </si>
  <si>
    <t>21.09.2020</t>
  </si>
  <si>
    <t>386,67K</t>
  </si>
  <si>
    <t>22.09.2020</t>
  </si>
  <si>
    <t>282,71K</t>
  </si>
  <si>
    <t>23.09.2020</t>
  </si>
  <si>
    <t>411,56K</t>
  </si>
  <si>
    <t>24.09.2020</t>
  </si>
  <si>
    <t>345,04K</t>
  </si>
  <si>
    <t>25.09.2020</t>
  </si>
  <si>
    <t>230,86K</t>
  </si>
  <si>
    <t>28.09.2020</t>
  </si>
  <si>
    <t>235,92K</t>
  </si>
  <si>
    <t>29.09.2020</t>
  </si>
  <si>
    <t>217,80K</t>
  </si>
  <si>
    <t>30.09.2020</t>
  </si>
  <si>
    <t>259,87K</t>
  </si>
  <si>
    <t>01.10.2020</t>
  </si>
  <si>
    <t>262,09K</t>
  </si>
  <si>
    <t>02.10.2020</t>
  </si>
  <si>
    <t>212,73K</t>
  </si>
  <si>
    <t>05.10.2020</t>
  </si>
  <si>
    <t>177,59K</t>
  </si>
  <si>
    <t>06.10.2020</t>
  </si>
  <si>
    <t>219,44K</t>
  </si>
  <si>
    <t>07.10.2020</t>
  </si>
  <si>
    <t>188,59K</t>
  </si>
  <si>
    <t>08.10.2020</t>
  </si>
  <si>
    <t>185,45K</t>
  </si>
  <si>
    <t>09.10.2020</t>
  </si>
  <si>
    <t>229,85K</t>
  </si>
  <si>
    <t>12.10.2020</t>
  </si>
  <si>
    <t>157,21K</t>
  </si>
  <si>
    <t>13.10.2020</t>
  </si>
  <si>
    <t>267,54K</t>
  </si>
  <si>
    <t>14.10.2020</t>
  </si>
  <si>
    <t>188,30K</t>
  </si>
  <si>
    <t>15.10.2020</t>
  </si>
  <si>
    <t>213,57K</t>
  </si>
  <si>
    <t>16.10.2020</t>
  </si>
  <si>
    <t>146,91K</t>
  </si>
  <si>
    <t>19.10.2020</t>
  </si>
  <si>
    <t>159,85K</t>
  </si>
  <si>
    <t>20.10.2020</t>
  </si>
  <si>
    <t>163,91K</t>
  </si>
  <si>
    <t>21.10.2020</t>
  </si>
  <si>
    <t>201,27K</t>
  </si>
  <si>
    <t>22.10.2020</t>
  </si>
  <si>
    <t>215,58K</t>
  </si>
  <si>
    <t>23.10.2020</t>
  </si>
  <si>
    <t>172,96K</t>
  </si>
  <si>
    <t>26.10.2020</t>
  </si>
  <si>
    <t>166,31K</t>
  </si>
  <si>
    <t>27.10.2020</t>
  </si>
  <si>
    <t>153,30K</t>
  </si>
  <si>
    <t>28.10.2020</t>
  </si>
  <si>
    <t>297,09K</t>
  </si>
  <si>
    <t>29.10.2020</t>
  </si>
  <si>
    <t>225,16K</t>
  </si>
  <si>
    <t>30.10.2020</t>
  </si>
  <si>
    <t>213,17K</t>
  </si>
  <si>
    <t>02.11.2020</t>
  </si>
  <si>
    <t>164,94K</t>
  </si>
  <si>
    <t>03.11.2020</t>
  </si>
  <si>
    <t>171,37K</t>
  </si>
  <si>
    <t>04.11.2020</t>
  </si>
  <si>
    <t>293,95K</t>
  </si>
  <si>
    <t>05.11.2020</t>
  </si>
  <si>
    <t>297,51K</t>
  </si>
  <si>
    <t>06.11.2020</t>
  </si>
  <si>
    <t>246,78K</t>
  </si>
  <si>
    <t>09.11.2020</t>
  </si>
  <si>
    <t>496,09K</t>
  </si>
  <si>
    <t>10.11.2020</t>
  </si>
  <si>
    <t>264,87K</t>
  </si>
  <si>
    <t>11.11.2020</t>
  </si>
  <si>
    <t>215,17K</t>
  </si>
  <si>
    <t>12.11.2020</t>
  </si>
  <si>
    <t>209,93K</t>
  </si>
  <si>
    <t>13.11.2020</t>
  </si>
  <si>
    <t>162,54K</t>
  </si>
  <si>
    <t>16.11.2020</t>
  </si>
  <si>
    <t>222,94K</t>
  </si>
  <si>
    <t>17.11.2020</t>
  </si>
  <si>
    <t>160,88K</t>
  </si>
  <si>
    <t>18.11.2020</t>
  </si>
  <si>
    <t>209,00K</t>
  </si>
  <si>
    <t>19.11.2020</t>
  </si>
  <si>
    <t>222,35K</t>
  </si>
  <si>
    <t>20.11.2020</t>
  </si>
  <si>
    <t>186,17K</t>
  </si>
  <si>
    <t>23.11.2020</t>
  </si>
  <si>
    <t>319,66K</t>
  </si>
  <si>
    <t>24.11.2020</t>
  </si>
  <si>
    <t>367,88K</t>
  </si>
  <si>
    <t>25.11.2020</t>
  </si>
  <si>
    <t>205,75K</t>
  </si>
  <si>
    <t>26.11.2020</t>
  </si>
  <si>
    <t>282,35K</t>
  </si>
  <si>
    <t>27.11.2020</t>
  </si>
  <si>
    <t>30.11.2020</t>
  </si>
  <si>
    <t>242,73K</t>
  </si>
  <si>
    <t>01.12.2020</t>
  </si>
  <si>
    <t>203,65K</t>
  </si>
  <si>
    <t>02.12.2020</t>
  </si>
  <si>
    <t>185,32K</t>
  </si>
  <si>
    <t>03.12.2020</t>
  </si>
  <si>
    <t>180,36K</t>
  </si>
  <si>
    <t>04.12.2020</t>
  </si>
  <si>
    <t>171,26K</t>
  </si>
  <si>
    <t>07.12.2020</t>
  </si>
  <si>
    <t>209,04K</t>
  </si>
  <si>
    <t>08.12.2020</t>
  </si>
  <si>
    <t>151,79K</t>
  </si>
  <si>
    <t>09.12.2020</t>
  </si>
  <si>
    <t>219,59K</t>
  </si>
  <si>
    <t>10.12.2020</t>
  </si>
  <si>
    <t>164,80K</t>
  </si>
  <si>
    <t>11.12.2020</t>
  </si>
  <si>
    <t>153,80K</t>
  </si>
  <si>
    <t>14.12.2020</t>
  </si>
  <si>
    <t>168,49K</t>
  </si>
  <si>
    <t>15.12.2020</t>
  </si>
  <si>
    <t>173,61K</t>
  </si>
  <si>
    <t>16.12.2020</t>
  </si>
  <si>
    <t>199,68K</t>
  </si>
  <si>
    <t>17.12.2020</t>
  </si>
  <si>
    <t>219,87K</t>
  </si>
  <si>
    <t>18.12.2020</t>
  </si>
  <si>
    <t>153,23K</t>
  </si>
  <si>
    <t>21.12.2020</t>
  </si>
  <si>
    <t>232,05K</t>
  </si>
  <si>
    <t>22.12.2020</t>
  </si>
  <si>
    <t>176,02K</t>
  </si>
  <si>
    <t>23.12.2020</t>
  </si>
  <si>
    <t>24.12.2020</t>
  </si>
  <si>
    <t>89,41K</t>
  </si>
  <si>
    <t>28.12.2020</t>
  </si>
  <si>
    <t>196,76K</t>
  </si>
  <si>
    <t>29.12.2020</t>
  </si>
  <si>
    <t>149,27K</t>
  </si>
  <si>
    <t>30.12.2020</t>
  </si>
  <si>
    <t>133,66K</t>
  </si>
  <si>
    <t>31.12.2020</t>
  </si>
  <si>
    <t>130,63K</t>
  </si>
  <si>
    <t>04.01.2021</t>
  </si>
  <si>
    <t>273,37K</t>
  </si>
  <si>
    <t>05.01.2021</t>
  </si>
  <si>
    <t>201,95K</t>
  </si>
  <si>
    <t>06.01.2021</t>
  </si>
  <si>
    <t>366,61K</t>
  </si>
  <si>
    <t>07.01.2021</t>
  </si>
  <si>
    <t>199,98K</t>
  </si>
  <si>
    <t>08.01.2021</t>
  </si>
  <si>
    <t>443,51K</t>
  </si>
  <si>
    <t>11.01.2021</t>
  </si>
  <si>
    <t>268,36K</t>
  </si>
  <si>
    <t>12.01.2021</t>
  </si>
  <si>
    <t>240,66K</t>
  </si>
  <si>
    <t>13.01.2021</t>
  </si>
  <si>
    <t>225,99K</t>
  </si>
  <si>
    <t>14.01.2021</t>
  </si>
  <si>
    <t>257,66K</t>
  </si>
  <si>
    <t>15.01.2021</t>
  </si>
  <si>
    <t>231,11K</t>
  </si>
  <si>
    <t>18.01.2021</t>
  </si>
  <si>
    <t>331,59K</t>
  </si>
  <si>
    <t>19.01.2021</t>
  </si>
  <si>
    <t>20.01.2021</t>
  </si>
  <si>
    <t>274,40K</t>
  </si>
  <si>
    <t>21.01.2021</t>
  </si>
  <si>
    <t>196,94K</t>
  </si>
  <si>
    <t>22.01.2021</t>
  </si>
  <si>
    <t>249,72K</t>
  </si>
  <si>
    <t>25.01.2021</t>
  </si>
  <si>
    <t>211,98K</t>
  </si>
  <si>
    <t>26.01.2021</t>
  </si>
  <si>
    <t>170,26K</t>
  </si>
  <si>
    <t>27.01.2021</t>
  </si>
  <si>
    <t>195,54K</t>
  </si>
  <si>
    <t>28.01.2021</t>
  </si>
  <si>
    <t>277,59K</t>
  </si>
  <si>
    <t>29.01.2021</t>
  </si>
  <si>
    <t>276,17K</t>
  </si>
  <si>
    <t>01.02.2021</t>
  </si>
  <si>
    <t>242,05K</t>
  </si>
  <si>
    <t>02.02.2021</t>
  </si>
  <si>
    <t>236,00K</t>
  </si>
  <si>
    <t>03.02.2021</t>
  </si>
  <si>
    <t>137,23K</t>
  </si>
  <si>
    <t>04.02.2021</t>
  </si>
  <si>
    <t>279,62K</t>
  </si>
  <si>
    <t>05.02.2021</t>
  </si>
  <si>
    <t>205,76K</t>
  </si>
  <si>
    <t>08.02.2021</t>
  </si>
  <si>
    <t>177,56K</t>
  </si>
  <si>
    <t>09.02.2021</t>
  </si>
  <si>
    <t>154,39K</t>
  </si>
  <si>
    <t>10.02.2021</t>
  </si>
  <si>
    <t>176,44K</t>
  </si>
  <si>
    <t>11.02.2021</t>
  </si>
  <si>
    <t>147,02K</t>
  </si>
  <si>
    <t>12.02.2021</t>
  </si>
  <si>
    <t>171,90K</t>
  </si>
  <si>
    <t>15.02.2021</t>
  </si>
  <si>
    <t>355,92K</t>
  </si>
  <si>
    <t>16.02.2021</t>
  </si>
  <si>
    <t>17.02.2021</t>
  </si>
  <si>
    <t>257,34K</t>
  </si>
  <si>
    <t>18.02.2021</t>
  </si>
  <si>
    <t>224,77K</t>
  </si>
  <si>
    <t>19.02.2021</t>
  </si>
  <si>
    <t>251,78K</t>
  </si>
  <si>
    <t>22.02.2021</t>
  </si>
  <si>
    <t>221,20K</t>
  </si>
  <si>
    <t>23.02.2021</t>
  </si>
  <si>
    <t>191,15K</t>
  </si>
  <si>
    <t>24.02.2021</t>
  </si>
  <si>
    <t>224,06K</t>
  </si>
  <si>
    <t>25.02.2021</t>
  </si>
  <si>
    <t>316,25K</t>
  </si>
  <si>
    <t>26.02.2021</t>
  </si>
  <si>
    <t>362,55K</t>
  </si>
  <si>
    <t>01.03.2021</t>
  </si>
  <si>
    <t>241,92K</t>
  </si>
  <si>
    <t>02.03.2021</t>
  </si>
  <si>
    <t>235,96K</t>
  </si>
  <si>
    <t>03.03.2021</t>
  </si>
  <si>
    <t>255,65K</t>
  </si>
  <si>
    <t>04.03.2021</t>
  </si>
  <si>
    <t>277,45K</t>
  </si>
  <si>
    <t>05.03.2021</t>
  </si>
  <si>
    <t>269,33K</t>
  </si>
  <si>
    <t>08.03.2021</t>
  </si>
  <si>
    <t>273,91K</t>
  </si>
  <si>
    <t>09.03.2021</t>
  </si>
  <si>
    <t>248,95K</t>
  </si>
  <si>
    <t>10.03.2021</t>
  </si>
  <si>
    <t>226,89K</t>
  </si>
  <si>
    <t>11.03.2021</t>
  </si>
  <si>
    <t>215,34K</t>
  </si>
  <si>
    <t>12.03.2021</t>
  </si>
  <si>
    <t>232,21K</t>
  </si>
  <si>
    <t>15.03.2021</t>
  </si>
  <si>
    <t>163,05K</t>
  </si>
  <si>
    <t>16.03.2021</t>
  </si>
  <si>
    <t>173,89K</t>
  </si>
  <si>
    <t>17.03.2021</t>
  </si>
  <si>
    <t>220,55K</t>
  </si>
  <si>
    <t>18.03.2021</t>
  </si>
  <si>
    <t>251,76K</t>
  </si>
  <si>
    <t>19.03.2021</t>
  </si>
  <si>
    <t>213,28K</t>
  </si>
  <si>
    <t>22.03.2021</t>
  </si>
  <si>
    <t>196,31K</t>
  </si>
  <si>
    <t>23.03.2021</t>
  </si>
  <si>
    <t>226,20K</t>
  </si>
  <si>
    <t>24.03.2021</t>
  </si>
  <si>
    <t>186,52K</t>
  </si>
  <si>
    <t>25.03.2021</t>
  </si>
  <si>
    <t>226,21K</t>
  </si>
  <si>
    <t>26.03.2021</t>
  </si>
  <si>
    <t>172,94K</t>
  </si>
  <si>
    <t>29.03.2021</t>
  </si>
  <si>
    <t>182,75K</t>
  </si>
  <si>
    <t>30.03.2021</t>
  </si>
  <si>
    <t>225,87K</t>
  </si>
  <si>
    <t>31.03.2021</t>
  </si>
  <si>
    <t>210,77K</t>
  </si>
  <si>
    <t>01.04.2021</t>
  </si>
  <si>
    <t>170,43K</t>
  </si>
  <si>
    <t>05.04.2021</t>
  </si>
  <si>
    <t>101,75K</t>
  </si>
  <si>
    <t>06.04.2021</t>
  </si>
  <si>
    <t>152,60K</t>
  </si>
  <si>
    <t>07.04.2021</t>
  </si>
  <si>
    <t>122,80K</t>
  </si>
  <si>
    <t>08.04.2021</t>
  </si>
  <si>
    <t>144,57K</t>
  </si>
  <si>
    <t>09.04.2021</t>
  </si>
  <si>
    <t>171,40K</t>
  </si>
  <si>
    <t>12.04.2021</t>
  </si>
  <si>
    <t>125,36K</t>
  </si>
  <si>
    <t>13.04.2021</t>
  </si>
  <si>
    <t>175,59K</t>
  </si>
  <si>
    <t>14.04.2021</t>
  </si>
  <si>
    <t>145,26K</t>
  </si>
  <si>
    <t>15.04.2021</t>
  </si>
  <si>
    <t>198,14K</t>
  </si>
  <si>
    <t>16.04.2021</t>
  </si>
  <si>
    <t>173,50K</t>
  </si>
  <si>
    <t>19.04.2021</t>
  </si>
  <si>
    <t>180,73K</t>
  </si>
  <si>
    <t>20.04.2021</t>
  </si>
  <si>
    <t>169,04K</t>
  </si>
  <si>
    <t>21.04.2021</t>
  </si>
  <si>
    <t>173,97K</t>
  </si>
  <si>
    <t>22.04.2021</t>
  </si>
  <si>
    <t>163,75K</t>
  </si>
  <si>
    <t>23.04.2021</t>
  </si>
  <si>
    <t>175,85K</t>
  </si>
  <si>
    <t>26.04.2021</t>
  </si>
  <si>
    <t>143,36K</t>
  </si>
  <si>
    <t>27.04.2021</t>
  </si>
  <si>
    <t>147,95K</t>
  </si>
  <si>
    <t>28.04.2021</t>
  </si>
  <si>
    <t>198,58K</t>
  </si>
  <si>
    <t>29.04.2021</t>
  </si>
  <si>
    <t>231,52K</t>
  </si>
  <si>
    <t>30.04.2021</t>
  </si>
  <si>
    <t>167,29K</t>
  </si>
  <si>
    <t>03.05.2021</t>
  </si>
  <si>
    <t>204,54K</t>
  </si>
  <si>
    <t>04.05.2021</t>
  </si>
  <si>
    <t>246,59K</t>
  </si>
  <si>
    <t>05.05.2021</t>
  </si>
  <si>
    <t>178,81K</t>
  </si>
  <si>
    <t>06.05.2021</t>
  </si>
  <si>
    <t>287,63K</t>
  </si>
  <si>
    <t>07.05.2021</t>
  </si>
  <si>
    <t>367,70K</t>
  </si>
  <si>
    <t>10.05.2021</t>
  </si>
  <si>
    <t>269,71K</t>
  </si>
  <si>
    <t>11.05.2021</t>
  </si>
  <si>
    <t>311,10K</t>
  </si>
  <si>
    <t>12.05.2021</t>
  </si>
  <si>
    <t>339,21K</t>
  </si>
  <si>
    <t>13.05.2021</t>
  </si>
  <si>
    <t>249,93K</t>
  </si>
  <si>
    <t>14.05.2021</t>
  </si>
  <si>
    <t>224,38K</t>
  </si>
  <si>
    <t>17.05.2021</t>
  </si>
  <si>
    <t>267,71K</t>
  </si>
  <si>
    <t>18.05.2021</t>
  </si>
  <si>
    <t>229,02K</t>
  </si>
  <si>
    <t>19.05.2021</t>
  </si>
  <si>
    <t>398,21K</t>
  </si>
  <si>
    <t>20.05.2021</t>
  </si>
  <si>
    <t>223,57K</t>
  </si>
  <si>
    <t>21.05.2021</t>
  </si>
  <si>
    <t>234,29K</t>
  </si>
  <si>
    <t>24.05.2021</t>
  </si>
  <si>
    <t>183,31K</t>
  </si>
  <si>
    <t>25.05.2021</t>
  </si>
  <si>
    <t>316,67K</t>
  </si>
  <si>
    <t>26.05.2021</t>
  </si>
  <si>
    <t>178,18K</t>
  </si>
  <si>
    <t>27.05.2021</t>
  </si>
  <si>
    <t>211,79K</t>
  </si>
  <si>
    <t>28.05.2021</t>
  </si>
  <si>
    <t>31.05.2021</t>
  </si>
  <si>
    <t>290,65K</t>
  </si>
  <si>
    <t>01.06.2021</t>
  </si>
  <si>
    <t>02.06.2021</t>
  </si>
  <si>
    <t>166,04K</t>
  </si>
  <si>
    <t>03.06.2021</t>
  </si>
  <si>
    <t>278,58K</t>
  </si>
  <si>
    <t>04.06.2021</t>
  </si>
  <si>
    <t>228,83K</t>
  </si>
  <si>
    <t>07.06.2021</t>
  </si>
  <si>
    <t>146,02K</t>
  </si>
  <si>
    <t>08.06.2021</t>
  </si>
  <si>
    <t>173,60K</t>
  </si>
  <si>
    <t>09.06.2021</t>
  </si>
  <si>
    <t>147,33K</t>
  </si>
  <si>
    <t>10.06.2021</t>
  </si>
  <si>
    <t>250,55K</t>
  </si>
  <si>
    <t>11.06.2021</t>
  </si>
  <si>
    <t>220,46K</t>
  </si>
  <si>
    <t>14.06.2021</t>
  </si>
  <si>
    <t>242,30K</t>
  </si>
  <si>
    <t>15.06.2021</t>
  </si>
  <si>
    <t>155,34K</t>
  </si>
  <si>
    <t>16.06.2021</t>
  </si>
  <si>
    <t>234,10K</t>
  </si>
  <si>
    <t>17.06.2021</t>
  </si>
  <si>
    <t>385,89K</t>
  </si>
  <si>
    <t>18.06.2021</t>
  </si>
  <si>
    <t>264,61K</t>
  </si>
  <si>
    <t>21.06.2021</t>
  </si>
  <si>
    <t>187,67K</t>
  </si>
  <si>
    <t>22.06.2021</t>
  </si>
  <si>
    <t>172,75K</t>
  </si>
  <si>
    <t>23.06.2021</t>
  </si>
  <si>
    <t>179,27K</t>
  </si>
  <si>
    <t>24.06.2021</t>
  </si>
  <si>
    <t>152,23K</t>
  </si>
  <si>
    <t>25.06.2021</t>
  </si>
  <si>
    <t>161,20K</t>
  </si>
  <si>
    <t>28.06.2021</t>
  </si>
  <si>
    <t>160,79K</t>
  </si>
  <si>
    <t>29.06.2021</t>
  </si>
  <si>
    <t>239,91K</t>
  </si>
  <si>
    <t>30.06.2021</t>
  </si>
  <si>
    <t>177,89K</t>
  </si>
  <si>
    <t>01.07.2021</t>
  </si>
  <si>
    <t>171,44K</t>
  </si>
  <si>
    <t>02.07.2021</t>
  </si>
  <si>
    <t>205,86K</t>
  </si>
  <si>
    <t>05.07.2021</t>
  </si>
  <si>
    <t>276,60K</t>
  </si>
  <si>
    <t>06.07.2021</t>
  </si>
  <si>
    <t>07.07.2021</t>
  </si>
  <si>
    <t>171,08K</t>
  </si>
  <si>
    <t>08.07.2021</t>
  </si>
  <si>
    <t>249,34K</t>
  </si>
  <si>
    <t>09.07.2021</t>
  </si>
  <si>
    <t>185,58K</t>
  </si>
  <si>
    <t>12.07.2021</t>
  </si>
  <si>
    <t>201,42K</t>
  </si>
  <si>
    <t>13.07.2021</t>
  </si>
  <si>
    <t>242,18K</t>
  </si>
  <si>
    <t>14.07.2021</t>
  </si>
  <si>
    <t>229,88K</t>
  </si>
  <si>
    <t>15.07.2021</t>
  </si>
  <si>
    <t>175,61K</t>
  </si>
  <si>
    <t>16.07.2021</t>
  </si>
  <si>
    <t>184,66K</t>
  </si>
  <si>
    <t>19.07.2021</t>
  </si>
  <si>
    <t>249,68K</t>
  </si>
  <si>
    <t>20.07.2021</t>
  </si>
  <si>
    <t>221,14K</t>
  </si>
  <si>
    <t>21.07.2021</t>
  </si>
  <si>
    <t>218,64K</t>
  </si>
  <si>
    <t>22.07.2021</t>
  </si>
  <si>
    <t>193,32K</t>
  </si>
  <si>
    <t>23.07.2021</t>
  </si>
  <si>
    <t>236,76K</t>
  </si>
  <si>
    <t>26.07.2021</t>
  </si>
  <si>
    <t>204,55K</t>
  </si>
  <si>
    <t>27.07.2021</t>
  </si>
  <si>
    <t>177,04K</t>
  </si>
  <si>
    <t>28.07.2021</t>
  </si>
  <si>
    <t>209,78K</t>
  </si>
  <si>
    <t>29.07.2021</t>
  </si>
  <si>
    <t>212,07K</t>
  </si>
  <si>
    <t>30.07.2021</t>
  </si>
  <si>
    <t>157,14K</t>
  </si>
  <si>
    <t>02.08.2021</t>
  </si>
  <si>
    <t>159,76K</t>
  </si>
  <si>
    <t>03.08.2021</t>
  </si>
  <si>
    <t>103,45K</t>
  </si>
  <si>
    <t>04.08.2021</t>
  </si>
  <si>
    <t>244,68K</t>
  </si>
  <si>
    <t>05.08.2021</t>
  </si>
  <si>
    <t>169,84K</t>
  </si>
  <si>
    <t>06.08.2021</t>
  </si>
  <si>
    <t>323,15K</t>
  </si>
  <si>
    <t>09.08.2021</t>
  </si>
  <si>
    <t>289,54K</t>
  </si>
  <si>
    <t>10.08.2021</t>
  </si>
  <si>
    <t>182,56K</t>
  </si>
  <si>
    <t>11.08.2021</t>
  </si>
  <si>
    <t>185,44K</t>
  </si>
  <si>
    <t>12.08.2021</t>
  </si>
  <si>
    <t>137,12K</t>
  </si>
  <si>
    <t>13.08.2021</t>
  </si>
  <si>
    <t>144,81K</t>
  </si>
  <si>
    <t>16.08.2021</t>
  </si>
  <si>
    <t>137,70K</t>
  </si>
  <si>
    <t>17.08.2021</t>
  </si>
  <si>
    <t>144,82K</t>
  </si>
  <si>
    <t>18.08.2021</t>
  </si>
  <si>
    <t>132,73K</t>
  </si>
  <si>
    <t>19.08.2021</t>
  </si>
  <si>
    <t>151,25K</t>
  </si>
  <si>
    <t>20.08.2021</t>
  </si>
  <si>
    <t>107,97K</t>
  </si>
  <si>
    <t>23.08.2021</t>
  </si>
  <si>
    <t>156,32K</t>
  </si>
  <si>
    <t>24.08.2021</t>
  </si>
  <si>
    <t>114,79K</t>
  </si>
  <si>
    <t>25.08.2021</t>
  </si>
  <si>
    <t>163,46K</t>
  </si>
  <si>
    <t>26.08.2021</t>
  </si>
  <si>
    <t>134,53K</t>
  </si>
  <si>
    <t>27.08.2021</t>
  </si>
  <si>
    <t>203,64K</t>
  </si>
  <si>
    <t>30.08.2021</t>
  </si>
  <si>
    <t>104,88K</t>
  </si>
  <si>
    <t>31.08.2021</t>
  </si>
  <si>
    <t>170,39K</t>
  </si>
  <si>
    <t>01.09.2021</t>
  </si>
  <si>
    <t>140,12K</t>
  </si>
  <si>
    <t>02.09.2021</t>
  </si>
  <si>
    <t>113,03K</t>
  </si>
  <si>
    <t>03.09.2021</t>
  </si>
  <si>
    <t>184,98K</t>
  </si>
  <si>
    <t>06.09.2021</t>
  </si>
  <si>
    <t>252,48K</t>
  </si>
  <si>
    <t>07.09.2021</t>
  </si>
  <si>
    <t>08.09.2021</t>
  </si>
  <si>
    <t>161,26K</t>
  </si>
  <si>
    <t>09.09.2021</t>
  </si>
  <si>
    <t>154,13K</t>
  </si>
  <si>
    <t>10.09.2021</t>
  </si>
  <si>
    <t>136,25K</t>
  </si>
  <si>
    <t>13.09.2021</t>
  </si>
  <si>
    <t>114,31K</t>
  </si>
  <si>
    <t>14.09.2021</t>
  </si>
  <si>
    <t>197,95K</t>
  </si>
  <si>
    <t>15.09.2021</t>
  </si>
  <si>
    <t>139,30K</t>
  </si>
  <si>
    <t>16.09.2021</t>
  </si>
  <si>
    <t>255,27K</t>
  </si>
  <si>
    <t>17.09.2021</t>
  </si>
  <si>
    <t>183,25K</t>
  </si>
  <si>
    <t>20.09.2021</t>
  </si>
  <si>
    <t>152,45K</t>
  </si>
  <si>
    <t>21.09.2021</t>
  </si>
  <si>
    <t>141,62K</t>
  </si>
  <si>
    <t>22.09.2021</t>
  </si>
  <si>
    <t>172,35K</t>
  </si>
  <si>
    <t>23.09.2021</t>
  </si>
  <si>
    <t>225,46K</t>
  </si>
  <si>
    <t>24.09.2021</t>
  </si>
  <si>
    <t>151,55K</t>
  </si>
  <si>
    <t>27.09.2021</t>
  </si>
  <si>
    <t>137,57K</t>
  </si>
  <si>
    <t>28.09.2021</t>
  </si>
  <si>
    <t>215,84K</t>
  </si>
  <si>
    <t>29.09.2021</t>
  </si>
  <si>
    <t>177,39K</t>
  </si>
  <si>
    <t>30.09.2021</t>
  </si>
  <si>
    <t>246,37K</t>
  </si>
  <si>
    <t>01.10.2021</t>
  </si>
  <si>
    <t>151,20K</t>
  </si>
  <si>
    <t>04.10.2021</t>
  </si>
  <si>
    <t>166,18K</t>
  </si>
  <si>
    <t>05.10.2021</t>
  </si>
  <si>
    <t>151,42K</t>
  </si>
  <si>
    <t>06.10.2021</t>
  </si>
  <si>
    <t>159,22K</t>
  </si>
  <si>
    <t>07.10.2021</t>
  </si>
  <si>
    <t>146,41K</t>
  </si>
  <si>
    <t>08.10.2021</t>
  </si>
  <si>
    <t>240,37K</t>
  </si>
  <si>
    <t>11.10.2021</t>
  </si>
  <si>
    <t>114,77K</t>
  </si>
  <si>
    <t>12.10.2021</t>
  </si>
  <si>
    <t>168,11K</t>
  </si>
  <si>
    <t>13.10.2021</t>
  </si>
  <si>
    <t>299,04K</t>
  </si>
  <si>
    <t>14.10.2021</t>
  </si>
  <si>
    <t>164,65K</t>
  </si>
  <si>
    <t>15.10.2021</t>
  </si>
  <si>
    <t>202,63K</t>
  </si>
  <si>
    <t>18.10.2021</t>
  </si>
  <si>
    <t>152,74K</t>
  </si>
  <si>
    <t>19.10.2021</t>
  </si>
  <si>
    <t>166,97K</t>
  </si>
  <si>
    <t>20.10.2021</t>
  </si>
  <si>
    <t>174,08K</t>
  </si>
  <si>
    <t>21.10.2021</t>
  </si>
  <si>
    <t>138,73K</t>
  </si>
  <si>
    <t>22.10.2021</t>
  </si>
  <si>
    <t>312,81K</t>
  </si>
  <si>
    <t>25.10.2021</t>
  </si>
  <si>
    <t>153,59K</t>
  </si>
  <si>
    <t>26.10.2021</t>
  </si>
  <si>
    <t>197,93K</t>
  </si>
  <si>
    <t>27.10.2021</t>
  </si>
  <si>
    <t>182,80K</t>
  </si>
  <si>
    <t>28.10.2021</t>
  </si>
  <si>
    <t>220,88K</t>
  </si>
  <si>
    <t>29.10.2021</t>
  </si>
  <si>
    <t>254,51K</t>
  </si>
  <si>
    <t>01.11.2021</t>
  </si>
  <si>
    <t>143,33K</t>
  </si>
  <si>
    <t>02.11.2021</t>
  </si>
  <si>
    <t>145,79K</t>
  </si>
  <si>
    <t>03.11.2021</t>
  </si>
  <si>
    <t>257,43K</t>
  </si>
  <si>
    <t>04.11.2021</t>
  </si>
  <si>
    <t>222,61K</t>
  </si>
  <si>
    <t>05.11.2021</t>
  </si>
  <si>
    <t>299,62K</t>
  </si>
  <si>
    <t>08.11.2021</t>
  </si>
  <si>
    <t>200,41K</t>
  </si>
  <si>
    <t>09.11.2021</t>
  </si>
  <si>
    <t>224,41K</t>
  </si>
  <si>
    <t>10.11.2021</t>
  </si>
  <si>
    <t>352,79K</t>
  </si>
  <si>
    <t>11.11.2021</t>
  </si>
  <si>
    <t>205,31K</t>
  </si>
  <si>
    <t>12.11.2021</t>
  </si>
  <si>
    <t>201,36K</t>
  </si>
  <si>
    <t>15.11.2021</t>
  </si>
  <si>
    <t>221,21K</t>
  </si>
  <si>
    <t>16.11.2021</t>
  </si>
  <si>
    <t>220,43K</t>
  </si>
  <si>
    <t>17.11.2021</t>
  </si>
  <si>
    <t>172,42K</t>
  </si>
  <si>
    <t>18.11.2021</t>
  </si>
  <si>
    <t>186,06K</t>
  </si>
  <si>
    <t>19.11.2021</t>
  </si>
  <si>
    <t>234,08K</t>
  </si>
  <si>
    <t>22.11.2021</t>
  </si>
  <si>
    <t>352,86K</t>
  </si>
  <si>
    <t>23.11.2021</t>
  </si>
  <si>
    <t>311,35K</t>
  </si>
  <si>
    <t>24.11.2021</t>
  </si>
  <si>
    <t>203,24K</t>
  </si>
  <si>
    <t>25.11.2021</t>
  </si>
  <si>
    <t>186,80K</t>
  </si>
  <si>
    <t>26.11.2021</t>
  </si>
  <si>
    <t>29.11.2021</t>
  </si>
  <si>
    <t>151,37K</t>
  </si>
  <si>
    <t>30.11.2021</t>
  </si>
  <si>
    <t>242,86K</t>
  </si>
  <si>
    <t>01.12.2021</t>
  </si>
  <si>
    <t>180,34K</t>
  </si>
  <si>
    <t>02.12.2021</t>
  </si>
  <si>
    <t>172,72K</t>
  </si>
  <si>
    <t>03.12.2021</t>
  </si>
  <si>
    <t>175,18K</t>
  </si>
  <si>
    <t>06.12.2021</t>
  </si>
  <si>
    <t>104,48K</t>
  </si>
  <si>
    <t>07.12.2021</t>
  </si>
  <si>
    <t>129,89K</t>
  </si>
  <si>
    <t>08.12.2021</t>
  </si>
  <si>
    <t>109,69K</t>
  </si>
  <si>
    <t>09.12.2021</t>
  </si>
  <si>
    <t>123,97K</t>
  </si>
  <si>
    <t>10.12.2021</t>
  </si>
  <si>
    <t>142,00K</t>
  </si>
  <si>
    <t>13.12.2021</t>
  </si>
  <si>
    <t>106,06K</t>
  </si>
  <si>
    <t>14.12.2021</t>
  </si>
  <si>
    <t>153,25K</t>
  </si>
  <si>
    <t>15.12.2021</t>
  </si>
  <si>
    <t>161,10K</t>
  </si>
  <si>
    <t>16.12.2021</t>
  </si>
  <si>
    <t>167,78K</t>
  </si>
  <si>
    <t>17.12.2021</t>
  </si>
  <si>
    <t>156,61K</t>
  </si>
  <si>
    <t>20.12.2021</t>
  </si>
  <si>
    <t>105,39K</t>
  </si>
  <si>
    <t>21.12.2021</t>
  </si>
  <si>
    <t>134,15K</t>
  </si>
  <si>
    <t>22.12.2021</t>
  </si>
  <si>
    <t>110,41K</t>
  </si>
  <si>
    <t>23.12.2021</t>
  </si>
  <si>
    <t>104,84K</t>
  </si>
  <si>
    <t>27.12.2021</t>
  </si>
  <si>
    <t>84,23K</t>
  </si>
  <si>
    <t>28.12.2021</t>
  </si>
  <si>
    <t>100,54K</t>
  </si>
  <si>
    <t>29.12.2021</t>
  </si>
  <si>
    <t>138,69K</t>
  </si>
  <si>
    <t>30.12.2021</t>
  </si>
  <si>
    <t>113,43K</t>
  </si>
  <si>
    <t>31.12.2021</t>
  </si>
  <si>
    <t>106,60K</t>
  </si>
  <si>
    <t>03.01.2022</t>
  </si>
  <si>
    <t>168,31K</t>
  </si>
  <si>
    <t>04.01.2022</t>
  </si>
  <si>
    <t>05.01.2022</t>
  </si>
  <si>
    <t>173,34K</t>
  </si>
  <si>
    <t>06.01.2022</t>
  </si>
  <si>
    <t>238,64K</t>
  </si>
  <si>
    <t>07.01.2022</t>
  </si>
  <si>
    <t>238,93K</t>
  </si>
  <si>
    <t>10.01.2022</t>
  </si>
  <si>
    <t>173,04K</t>
  </si>
  <si>
    <t>11.01.2022</t>
  </si>
  <si>
    <t>184,15K</t>
  </si>
  <si>
    <t>12.01.2022</t>
  </si>
  <si>
    <t>192,98K</t>
  </si>
  <si>
    <t>13.01.2022</t>
  </si>
  <si>
    <t>215,52K</t>
  </si>
  <si>
    <t>14.01.2022</t>
  </si>
  <si>
    <t>174,94K</t>
  </si>
  <si>
    <t>17.01.2022</t>
  </si>
  <si>
    <t>362,94K</t>
  </si>
  <si>
    <t>18.01.2022</t>
  </si>
  <si>
    <t>19.01.2022</t>
  </si>
  <si>
    <t>318,49K</t>
  </si>
  <si>
    <t>20.01.2022</t>
  </si>
  <si>
    <t>233,86K</t>
  </si>
  <si>
    <t>21.01.2022</t>
  </si>
  <si>
    <t>225,25K</t>
  </si>
  <si>
    <t>24.01.2022</t>
  </si>
  <si>
    <t>244,33K</t>
  </si>
  <si>
    <t>25.01.2022</t>
  </si>
  <si>
    <t>197,80K</t>
  </si>
  <si>
    <t>26.01.2022</t>
  </si>
  <si>
    <t>270,03K</t>
  </si>
  <si>
    <t>27.01.2022</t>
  </si>
  <si>
    <t>206,38K</t>
  </si>
  <si>
    <t>28.01.2022</t>
  </si>
  <si>
    <t>217,15K</t>
  </si>
  <si>
    <t>31.01.2022</t>
  </si>
  <si>
    <t>139,42K</t>
  </si>
  <si>
    <t>01.02.2022</t>
  </si>
  <si>
    <t>128,88K</t>
  </si>
  <si>
    <t>02.02.2022</t>
  </si>
  <si>
    <t>123,02K</t>
  </si>
  <si>
    <t>03.02.2022</t>
  </si>
  <si>
    <t>173,72K</t>
  </si>
  <si>
    <t>04.02.2022</t>
  </si>
  <si>
    <t>177,71K</t>
  </si>
  <si>
    <t>07.02.2022</t>
  </si>
  <si>
    <t>139,81K</t>
  </si>
  <si>
    <t>08.02.2022</t>
  </si>
  <si>
    <t>142,41K</t>
  </si>
  <si>
    <t>09.02.2022</t>
  </si>
  <si>
    <t>136,72K</t>
  </si>
  <si>
    <t>10.02.2022</t>
  </si>
  <si>
    <t>227,46K</t>
  </si>
  <si>
    <t>11.02.2022</t>
  </si>
  <si>
    <t>239,09K</t>
  </si>
  <si>
    <t>14.02.2022</t>
  </si>
  <si>
    <t>231,02K</t>
  </si>
  <si>
    <t>15.02.2022</t>
  </si>
  <si>
    <t>214,88K</t>
  </si>
  <si>
    <t>16.02.2022</t>
  </si>
  <si>
    <t>141,49K</t>
  </si>
  <si>
    <t>17.02.2022</t>
  </si>
  <si>
    <t>268,55K</t>
  </si>
  <si>
    <t>18.02.2022</t>
  </si>
  <si>
    <t>161,75K</t>
  </si>
  <si>
    <t>21.02.2022</t>
  </si>
  <si>
    <t>334,59K</t>
  </si>
  <si>
    <t>22.02.2022</t>
  </si>
  <si>
    <t>23.02.2022</t>
  </si>
  <si>
    <t>154,84K</t>
  </si>
  <si>
    <t>24.02.2022</t>
  </si>
  <si>
    <t>423,05K</t>
  </si>
  <si>
    <t>25.02.2022</t>
  </si>
  <si>
    <t>229,78K</t>
  </si>
  <si>
    <t>28.02.2022</t>
  </si>
  <si>
    <t>249,27K</t>
  </si>
  <si>
    <t>01.03.2022</t>
  </si>
  <si>
    <t>224,00K</t>
  </si>
  <si>
    <t>02.03.2022</t>
  </si>
  <si>
    <t>227,98K</t>
  </si>
  <si>
    <t>03.03.2022</t>
  </si>
  <si>
    <t>180,21K</t>
  </si>
  <si>
    <t>04.03.2022</t>
  </si>
  <si>
    <t>241,53K</t>
  </si>
  <si>
    <t>07.03.2022</t>
  </si>
  <si>
    <t>372,19K</t>
  </si>
  <si>
    <t>08.03.2022</t>
  </si>
  <si>
    <t>447,65K</t>
  </si>
  <si>
    <t>09.03.2022</t>
  </si>
  <si>
    <t>360,35K</t>
  </si>
  <si>
    <t>10.03.2022</t>
  </si>
  <si>
    <t>303,27K</t>
  </si>
  <si>
    <t>11.03.2022</t>
  </si>
  <si>
    <t>14.03.2022</t>
  </si>
  <si>
    <t>162,20K</t>
  </si>
  <si>
    <t>15.03.2022</t>
  </si>
  <si>
    <t>220,37K</t>
  </si>
  <si>
    <t>16.03.2022</t>
  </si>
  <si>
    <t>195,46K</t>
  </si>
  <si>
    <t>17.03.2022</t>
  </si>
  <si>
    <t>149,83K</t>
  </si>
  <si>
    <t>18.03.2022</t>
  </si>
  <si>
    <t>150,88K</t>
  </si>
  <si>
    <t>21.03.2022</t>
  </si>
  <si>
    <t>22.03.2022</t>
  </si>
  <si>
    <t>153,28K</t>
  </si>
  <si>
    <t>23.03.2022</t>
  </si>
  <si>
    <t>153,31K</t>
  </si>
  <si>
    <t>24.03.2022</t>
  </si>
  <si>
    <t>181,20K</t>
  </si>
  <si>
    <t>25.03.2022</t>
  </si>
  <si>
    <t>147,90K</t>
  </si>
  <si>
    <t>28.03.2022</t>
  </si>
  <si>
    <t>181,37K</t>
  </si>
  <si>
    <t>29.03.2022</t>
  </si>
  <si>
    <t>214,61K</t>
  </si>
  <si>
    <t>30.03.2022</t>
  </si>
  <si>
    <t>136,04K</t>
  </si>
  <si>
    <t>31.03.2022</t>
  </si>
  <si>
    <t>155,30K</t>
  </si>
  <si>
    <t>04.04.2022</t>
  </si>
  <si>
    <t>147,26K</t>
  </si>
  <si>
    <t>05.04.2022</t>
  </si>
  <si>
    <t>153,97K</t>
  </si>
  <si>
    <t>06.04.2022</t>
  </si>
  <si>
    <t>122,81K</t>
  </si>
  <si>
    <t>07.04.2022</t>
  </si>
  <si>
    <t>142,50K</t>
  </si>
  <si>
    <t>11.04.2022</t>
  </si>
  <si>
    <t>172,39K</t>
  </si>
  <si>
    <t>12.04.2022</t>
  </si>
  <si>
    <t>132,03K</t>
  </si>
  <si>
    <t>13.04.2022</t>
  </si>
  <si>
    <t>18.04.2022</t>
  </si>
  <si>
    <t>181,44K</t>
  </si>
  <si>
    <t>19.04.2022</t>
  </si>
  <si>
    <t>139,51K</t>
  </si>
  <si>
    <t>20.04.2022</t>
  </si>
  <si>
    <t>154,92K</t>
  </si>
  <si>
    <t>21.04.2022</t>
  </si>
  <si>
    <t>176,68K</t>
  </si>
  <si>
    <t>25.04.2022</t>
  </si>
  <si>
    <t>166,20K</t>
  </si>
  <si>
    <t>26.04.2022</t>
  </si>
  <si>
    <t>178,20K</t>
  </si>
  <si>
    <t>27.04.2022</t>
  </si>
  <si>
    <t>170,91K</t>
  </si>
  <si>
    <t>28.04.2022</t>
  </si>
  <si>
    <t>177,14K</t>
  </si>
  <si>
    <t>02.05.2022</t>
  </si>
  <si>
    <t>167,43K</t>
  </si>
  <si>
    <t>03.05.2022</t>
  </si>
  <si>
    <t>161,48K</t>
  </si>
  <si>
    <t>04.05.2022</t>
  </si>
  <si>
    <t>218,39K</t>
  </si>
  <si>
    <t>05.05.2022</t>
  </si>
  <si>
    <t>194,28K</t>
  </si>
  <si>
    <t>09.05.2022</t>
  </si>
  <si>
    <t>260,81K</t>
  </si>
  <si>
    <t>10.05.2022</t>
  </si>
  <si>
    <t>243,56K</t>
  </si>
  <si>
    <t>11.05.2022</t>
  </si>
  <si>
    <t>255,61K</t>
  </si>
  <si>
    <t>12.05.2022</t>
  </si>
  <si>
    <t>179,48K</t>
  </si>
  <si>
    <t>16.05.2022</t>
  </si>
  <si>
    <t>137,29K</t>
  </si>
  <si>
    <t>17.05.2022</t>
  </si>
  <si>
    <t>150,35K</t>
  </si>
  <si>
    <t>18.05.2022</t>
  </si>
  <si>
    <t>175,24K</t>
  </si>
  <si>
    <t>19.05.2022</t>
  </si>
  <si>
    <t>143,05K</t>
  </si>
  <si>
    <t>23.05.2022</t>
  </si>
  <si>
    <t>174,76K</t>
  </si>
  <si>
    <t>24.05.2022</t>
  </si>
  <si>
    <t>182,82K</t>
  </si>
  <si>
    <t>25.05.2022</t>
  </si>
  <si>
    <t>123,36K</t>
  </si>
  <si>
    <t>26.05.2022</t>
  </si>
  <si>
    <t>123,76K</t>
  </si>
  <si>
    <t>31.05.2022</t>
  </si>
  <si>
    <t>158,04K</t>
  </si>
  <si>
    <t>01.06.2022</t>
  </si>
  <si>
    <t>127,47K</t>
  </si>
  <si>
    <t>02.06.2022</t>
  </si>
  <si>
    <t>115,34K</t>
  </si>
  <si>
    <t>06.06.2022</t>
  </si>
  <si>
    <t>119,21K</t>
  </si>
  <si>
    <t>07.06.2022</t>
  </si>
  <si>
    <t>114,14K</t>
  </si>
  <si>
    <t>08.06.2022</t>
  </si>
  <si>
    <t>131,29K</t>
  </si>
  <si>
    <t>09.06.2022</t>
  </si>
  <si>
    <t>267,20K</t>
  </si>
  <si>
    <t>13.06.2022</t>
  </si>
  <si>
    <t>165,15K</t>
  </si>
  <si>
    <t>14.06.2022</t>
  </si>
  <si>
    <t>203,42K</t>
  </si>
  <si>
    <t>15.06.2022</t>
  </si>
  <si>
    <t>180,89K</t>
  </si>
  <si>
    <t>16.06.2022</t>
  </si>
  <si>
    <t>141,72K</t>
  </si>
  <si>
    <t>21.06.2022</t>
  </si>
  <si>
    <t>149,55K</t>
  </si>
  <si>
    <t>22.06.2022</t>
  </si>
  <si>
    <t>167,07K</t>
  </si>
  <si>
    <t>23.06.2022</t>
  </si>
  <si>
    <t>139,72K</t>
  </si>
  <si>
    <t>27.06.2022</t>
  </si>
  <si>
    <t>111,40K</t>
  </si>
  <si>
    <t>28.06.2022</t>
  </si>
  <si>
    <t>155,54K</t>
  </si>
  <si>
    <t>29.06.2022</t>
  </si>
  <si>
    <t>208,90K</t>
  </si>
  <si>
    <t>30.06.2022</t>
  </si>
  <si>
    <t>249,49K</t>
  </si>
  <si>
    <t>05.07.2022</t>
  </si>
  <si>
    <t>258,82K</t>
  </si>
  <si>
    <t>06.07.2022</t>
  </si>
  <si>
    <t>151,26K</t>
  </si>
  <si>
    <t>07.07.2022</t>
  </si>
  <si>
    <t>189,18K</t>
  </si>
  <si>
    <t>11.07.2022</t>
  </si>
  <si>
    <t>255,17K</t>
  </si>
  <si>
    <t>12.07.2022</t>
  </si>
  <si>
    <t>300,55K</t>
  </si>
  <si>
    <t>13.07.2022</t>
  </si>
  <si>
    <t>266,35K</t>
  </si>
  <si>
    <t>14.07.2022</t>
  </si>
  <si>
    <t>176,80K</t>
  </si>
  <si>
    <t>18.07.2022</t>
  </si>
  <si>
    <t>131,77K</t>
  </si>
  <si>
    <t>19.07.2022</t>
  </si>
  <si>
    <t>174,47K</t>
  </si>
  <si>
    <t>20.07.2022</t>
  </si>
  <si>
    <t>248,88K</t>
  </si>
  <si>
    <t>21.07.2022</t>
  </si>
  <si>
    <t>200,62K</t>
  </si>
  <si>
    <t>25.07.2022</t>
  </si>
  <si>
    <t>147,37K</t>
  </si>
  <si>
    <t>26.07.2022</t>
  </si>
  <si>
    <t>144,87K</t>
  </si>
  <si>
    <t>27.07.2022</t>
  </si>
  <si>
    <t>192,86K</t>
  </si>
  <si>
    <t>28.07.2022</t>
  </si>
  <si>
    <t>140,67K</t>
  </si>
  <si>
    <t>01.08.2022</t>
  </si>
  <si>
    <t>174,17K</t>
  </si>
  <si>
    <t>02.08.2022</t>
  </si>
  <si>
    <t>151,73K</t>
  </si>
  <si>
    <t>03.08.2022</t>
  </si>
  <si>
    <t>153,29K</t>
  </si>
  <si>
    <t>04.08.2022</t>
  </si>
  <si>
    <t>168,90K</t>
  </si>
  <si>
    <t>08.08.2022</t>
  </si>
  <si>
    <t>120,51K</t>
  </si>
  <si>
    <t>09.08.2022</t>
  </si>
  <si>
    <t>154,59K</t>
  </si>
  <si>
    <t>10.08.2022</t>
  </si>
  <si>
    <t>121,26K</t>
  </si>
  <si>
    <t>11.08.2022</t>
  </si>
  <si>
    <t>118,65K</t>
  </si>
  <si>
    <t>15.08.2022</t>
  </si>
  <si>
    <t>94,40K</t>
  </si>
  <si>
    <t>16.08.2022</t>
  </si>
  <si>
    <t>137,83K</t>
  </si>
  <si>
    <t>17.08.2022</t>
  </si>
  <si>
    <t>124,32K</t>
  </si>
  <si>
    <t>18.08.2022</t>
  </si>
  <si>
    <t>138,70K</t>
  </si>
  <si>
    <t>22.08.2022</t>
  </si>
  <si>
    <t>23.08.2022</t>
  </si>
  <si>
    <t>112,65K</t>
  </si>
  <si>
    <t>24.08.2022</t>
  </si>
  <si>
    <t>117,57K</t>
  </si>
  <si>
    <t>25.08.2022</t>
  </si>
  <si>
    <t>176,90K</t>
  </si>
  <si>
    <t>29.08.2022</t>
  </si>
  <si>
    <t>130,66K</t>
  </si>
  <si>
    <t>30.08.2022</t>
  </si>
  <si>
    <t>176,73K</t>
  </si>
  <si>
    <t>31.08.2022</t>
  </si>
  <si>
    <t>198,62K</t>
  </si>
  <si>
    <t>01.09.2022</t>
  </si>
  <si>
    <t>174,68K</t>
  </si>
  <si>
    <t>06.09.2022</t>
  </si>
  <si>
    <t>173,62K</t>
  </si>
  <si>
    <t>07.09.2022</t>
  </si>
  <si>
    <t>184,18K</t>
  </si>
  <si>
    <t>08.09.2022</t>
  </si>
  <si>
    <t>154,71K</t>
  </si>
  <si>
    <t>12.09.2022</t>
  </si>
  <si>
    <t>232,70K</t>
  </si>
  <si>
    <t>13.09.2022</t>
  </si>
  <si>
    <t>163,29K</t>
  </si>
  <si>
    <t>14.09.2022</t>
  </si>
  <si>
    <t>268,09K</t>
  </si>
  <si>
    <t>15.09.2022</t>
  </si>
  <si>
    <t>217,23K</t>
  </si>
  <si>
    <t>19.09.2022</t>
  </si>
  <si>
    <t>143,93K</t>
  </si>
  <si>
    <t>20.09.2022</t>
  </si>
  <si>
    <t>227,94K</t>
  </si>
  <si>
    <t>21.09.2022</t>
  </si>
  <si>
    <t>241,28K</t>
  </si>
  <si>
    <t>22.09.2022</t>
  </si>
  <si>
    <t>243,05K</t>
  </si>
  <si>
    <t>26.09.2022</t>
  </si>
  <si>
    <t>197,06K</t>
  </si>
  <si>
    <t>27.09.2022</t>
  </si>
  <si>
    <t>279,82K</t>
  </si>
  <si>
    <t>28.09.2022</t>
  </si>
  <si>
    <t>201,96K</t>
  </si>
  <si>
    <t>29.09.2022</t>
  </si>
  <si>
    <t>179,99K</t>
  </si>
  <si>
    <t>03.10.2022</t>
  </si>
  <si>
    <t>205,08K</t>
  </si>
  <si>
    <t>04.10.2022</t>
  </si>
  <si>
    <t>173,22K</t>
  </si>
  <si>
    <t>05.10.2022</t>
  </si>
  <si>
    <t>139,44K</t>
  </si>
  <si>
    <t>06.10.2022</t>
  </si>
  <si>
    <t>157,45K</t>
  </si>
  <si>
    <t>10.10.2022</t>
  </si>
  <si>
    <t>171,81K</t>
  </si>
  <si>
    <t>11.10.2022</t>
  </si>
  <si>
    <t>12.10.2022</t>
  </si>
  <si>
    <t>237,01K</t>
  </si>
  <si>
    <t>13.10.2022</t>
  </si>
  <si>
    <t>183,17K</t>
  </si>
  <si>
    <t>17.10.2022</t>
  </si>
  <si>
    <t>163,17K</t>
  </si>
  <si>
    <t>18.10.2022</t>
  </si>
  <si>
    <t>179,25K</t>
  </si>
  <si>
    <t>19.10.2022</t>
  </si>
  <si>
    <t>163,73K</t>
  </si>
  <si>
    <t>20.10.2022</t>
  </si>
  <si>
    <t>271,10K</t>
  </si>
  <si>
    <t>24.10.2022</t>
  </si>
  <si>
    <t>25.10.2022</t>
  </si>
  <si>
    <t>186,93K</t>
  </si>
  <si>
    <t>26.10.2022</t>
  </si>
  <si>
    <t>189,29K</t>
  </si>
  <si>
    <t>27.10.2022</t>
  </si>
  <si>
    <t>196,36K</t>
  </si>
  <si>
    <t>31.10.2022</t>
  </si>
  <si>
    <t>197,98K</t>
  </si>
  <si>
    <t>01.11.2022</t>
  </si>
  <si>
    <t>220,93K</t>
  </si>
  <si>
    <t>02.11.2022</t>
  </si>
  <si>
    <t>254,70K</t>
  </si>
  <si>
    <t>03.11.2022</t>
  </si>
  <si>
    <t>293,52K</t>
  </si>
  <si>
    <t>07.11.2022</t>
  </si>
  <si>
    <t>297,62K</t>
  </si>
  <si>
    <t>08.11.2022</t>
  </si>
  <si>
    <t>239,65K</t>
  </si>
  <si>
    <t>09.11.2022</t>
  </si>
  <si>
    <t>305,72K</t>
  </si>
  <si>
    <t>10.11.2022</t>
  </si>
  <si>
    <t>227,04K</t>
  </si>
  <si>
    <t>14.11.2022</t>
  </si>
  <si>
    <t>283,02K</t>
  </si>
  <si>
    <t>15.11.2022</t>
  </si>
  <si>
    <t>200,76K</t>
  </si>
  <si>
    <t>16.11.2022</t>
  </si>
  <si>
    <t>169,10K</t>
  </si>
  <si>
    <t>17.11.2022</t>
  </si>
  <si>
    <t>137,33K</t>
  </si>
  <si>
    <t>21.11.2022</t>
  </si>
  <si>
    <t>153,09K</t>
  </si>
  <si>
    <t>22.11.2022</t>
  </si>
  <si>
    <t>167,77K</t>
  </si>
  <si>
    <t>23.11.2022</t>
  </si>
  <si>
    <t>134,30K</t>
  </si>
  <si>
    <t>28.11.2022</t>
  </si>
  <si>
    <t>127,32K</t>
  </si>
  <si>
    <t>29.11.2022</t>
  </si>
  <si>
    <t>192,24K</t>
  </si>
  <si>
    <t>30.11.2022</t>
  </si>
  <si>
    <t>226,15K</t>
  </si>
  <si>
    <t>01.12.2022</t>
  </si>
  <si>
    <t>183,72K</t>
  </si>
  <si>
    <t>05.12.2022</t>
  </si>
  <si>
    <t>127,86K</t>
  </si>
  <si>
    <t>06.12.2022</t>
  </si>
  <si>
    <t>155,57K</t>
  </si>
  <si>
    <t>07.12.2022</t>
  </si>
  <si>
    <t>116,27K</t>
  </si>
  <si>
    <t>08.12.2022</t>
  </si>
  <si>
    <t>150,94K</t>
  </si>
  <si>
    <t>12.12.2022</t>
  </si>
  <si>
    <t>230,91K</t>
  </si>
  <si>
    <t>13.12.2022</t>
  </si>
  <si>
    <t>143,80K</t>
  </si>
  <si>
    <t>14.12.2022</t>
  </si>
  <si>
    <t>15.12.2022</t>
  </si>
  <si>
    <t>128,75K</t>
  </si>
  <si>
    <t>19.12.2022</t>
  </si>
  <si>
    <t>197,50K</t>
  </si>
  <si>
    <t>20.12.2022</t>
  </si>
  <si>
    <t>110,18K</t>
  </si>
  <si>
    <t>21.12.2022</t>
  </si>
  <si>
    <t>175,77K</t>
  </si>
  <si>
    <t>22.12.2022</t>
  </si>
  <si>
    <t>105,46K</t>
  </si>
  <si>
    <t>27.12.2022</t>
  </si>
  <si>
    <t>118,08K</t>
  </si>
  <si>
    <t>28.12.2022</t>
  </si>
  <si>
    <t>105,99K</t>
  </si>
  <si>
    <t>29.12.2022</t>
  </si>
  <si>
    <t>107,50K</t>
  </si>
  <si>
    <t>03.01.2023</t>
  </si>
  <si>
    <t>198,35K</t>
  </si>
  <si>
    <t>04.01.2023</t>
  </si>
  <si>
    <t>188,60K</t>
  </si>
  <si>
    <t>05.01.2023</t>
  </si>
  <si>
    <t>215,37K</t>
  </si>
  <si>
    <t>09.01.2023</t>
  </si>
  <si>
    <t>170,51K</t>
  </si>
  <si>
    <t>10.01.2023</t>
  </si>
  <si>
    <t>222,25K</t>
  </si>
  <si>
    <t>11.01.2023</t>
  </si>
  <si>
    <t>265,17K</t>
  </si>
  <si>
    <t>12.01.2023</t>
  </si>
  <si>
    <t>247,88K</t>
  </si>
  <si>
    <t>17.01.2023</t>
  </si>
  <si>
    <t>218,97K</t>
  </si>
  <si>
    <t>18.01.2023</t>
  </si>
  <si>
    <t>214,25K</t>
  </si>
  <si>
    <t>19.01.2023</t>
  </si>
  <si>
    <t>165,27K</t>
  </si>
  <si>
    <t>23.01.2023</t>
  </si>
  <si>
    <t>201,71K</t>
  </si>
  <si>
    <t>24.01.2023</t>
  </si>
  <si>
    <t>190,30K</t>
  </si>
  <si>
    <t>25.01.2023</t>
  </si>
  <si>
    <t>223,26K</t>
  </si>
  <si>
    <t>26.01.2023</t>
  </si>
  <si>
    <t>150,90K</t>
  </si>
  <si>
    <t>30.01.2023</t>
  </si>
  <si>
    <t>194,08K</t>
  </si>
  <si>
    <t>31.01.2023</t>
  </si>
  <si>
    <t>210,61K</t>
  </si>
  <si>
    <t>01.02.2023</t>
  </si>
  <si>
    <t>259,84K</t>
  </si>
  <si>
    <t>02.02.2023</t>
  </si>
  <si>
    <t>310,61K</t>
  </si>
  <si>
    <t>06.02.2023</t>
  </si>
  <si>
    <t>179,67K</t>
  </si>
  <si>
    <t>07.02.2023</t>
  </si>
  <si>
    <t>131,90K</t>
  </si>
  <si>
    <t>08.02.2023</t>
  </si>
  <si>
    <t>183,55K</t>
  </si>
  <si>
    <t>09.02.2023</t>
  </si>
  <si>
    <t>155,27K</t>
  </si>
  <si>
    <t>13.02.2023</t>
  </si>
  <si>
    <t>217,01K</t>
  </si>
  <si>
    <t>14.02.2023</t>
  </si>
  <si>
    <t>169,53K</t>
  </si>
  <si>
    <t>15.02.2023</t>
  </si>
  <si>
    <t>168,51K</t>
  </si>
  <si>
    <t>16.02.2023</t>
  </si>
  <si>
    <t>165,08K</t>
  </si>
  <si>
    <t>21.02.2023</t>
  </si>
  <si>
    <t>141,50K</t>
  </si>
  <si>
    <t>22.02.2023</t>
  </si>
  <si>
    <t>179,97K</t>
  </si>
  <si>
    <t>23.02.2023</t>
  </si>
  <si>
    <t>169,47K</t>
  </si>
  <si>
    <t>27.02.2023</t>
  </si>
  <si>
    <t>184,51K</t>
  </si>
  <si>
    <t>28.02.2023</t>
  </si>
  <si>
    <t>182,58K</t>
  </si>
  <si>
    <t>01.03.2023</t>
  </si>
  <si>
    <t>139,76K</t>
  </si>
  <si>
    <t>02.03.2023</t>
  </si>
  <si>
    <t>158,96K</t>
  </si>
  <si>
    <t>06.03.2023</t>
  </si>
  <si>
    <t>248,23K</t>
  </si>
  <si>
    <t>07.03.2023</t>
  </si>
  <si>
    <t>208,29K</t>
  </si>
  <si>
    <t>08.03.2023</t>
  </si>
  <si>
    <t>228,47K</t>
  </si>
  <si>
    <t>09.03.2023</t>
  </si>
  <si>
    <t>345,81K</t>
  </si>
  <si>
    <t>13.03.2023</t>
  </si>
  <si>
    <t>261,28K</t>
  </si>
  <si>
    <t>14.03.2023</t>
  </si>
  <si>
    <t>385,45K</t>
  </si>
  <si>
    <t>15.03.2023</t>
  </si>
  <si>
    <t>248,08K</t>
  </si>
  <si>
    <t>16.03.2023</t>
  </si>
  <si>
    <t>351,09K</t>
  </si>
  <si>
    <t>20.03.2023</t>
  </si>
  <si>
    <t>248,93K</t>
  </si>
  <si>
    <t>21.03.2023</t>
  </si>
  <si>
    <t>245,03K</t>
  </si>
  <si>
    <t>22.03.2023</t>
  </si>
  <si>
    <t>262,25K</t>
  </si>
  <si>
    <t>23.03.2023</t>
  </si>
  <si>
    <t>285,44K</t>
  </si>
  <si>
    <t>27.03.2023</t>
  </si>
  <si>
    <t>183,58K</t>
  </si>
  <si>
    <t>28.03.2023</t>
  </si>
  <si>
    <t>88,56K</t>
  </si>
  <si>
    <t>29.03.2023</t>
  </si>
  <si>
    <t>171,70K</t>
  </si>
  <si>
    <t>30.03.2023</t>
  </si>
  <si>
    <t>162,21K</t>
  </si>
  <si>
    <t>03.04.2023</t>
  </si>
  <si>
    <t>233,30K</t>
  </si>
  <si>
    <t>04.04.2023</t>
  </si>
  <si>
    <t>197,37K</t>
  </si>
  <si>
    <t>05.04.2023</t>
  </si>
  <si>
    <t>149,13K</t>
  </si>
  <si>
    <t>10.04.2023</t>
  </si>
  <si>
    <t>126,38K</t>
  </si>
  <si>
    <t>11.04.2023</t>
  </si>
  <si>
    <t>228,49K</t>
  </si>
  <si>
    <t>12.04.2023</t>
  </si>
  <si>
    <t>198,46K</t>
  </si>
  <si>
    <t>13.04.2023</t>
  </si>
  <si>
    <t>262,83K</t>
  </si>
  <si>
    <t>17.04.2023</t>
  </si>
  <si>
    <t>164,98K</t>
  </si>
  <si>
    <t>18.04.2023</t>
  </si>
  <si>
    <t>218,81K</t>
  </si>
  <si>
    <t>19.04.2023</t>
  </si>
  <si>
    <t>162,84K</t>
  </si>
  <si>
    <t>20.04.2023</t>
  </si>
  <si>
    <t>210,50K</t>
  </si>
  <si>
    <t>24.04.2023</t>
  </si>
  <si>
    <t>222,55K</t>
  </si>
  <si>
    <t>25.04.2023</t>
  </si>
  <si>
    <t>241,40K</t>
  </si>
  <si>
    <t>26.04.2023</t>
  </si>
  <si>
    <t>203,90K</t>
  </si>
  <si>
    <t>27.04.2023</t>
  </si>
  <si>
    <t>172,45K</t>
  </si>
  <si>
    <t>01.05.2023</t>
  </si>
  <si>
    <t>245,64K</t>
  </si>
  <si>
    <t>02.05.2023</t>
  </si>
  <si>
    <t>229,67K</t>
  </si>
  <si>
    <t>03.05.2023</t>
  </si>
  <si>
    <t>311,00K</t>
  </si>
  <si>
    <t>04.05.2023</t>
  </si>
  <si>
    <t>283,30K</t>
  </si>
  <si>
    <t>08.05.2023</t>
  </si>
  <si>
    <t>199,70K</t>
  </si>
  <si>
    <t>09.05.2023</t>
  </si>
  <si>
    <t>10.05.2023</t>
  </si>
  <si>
    <t>296,98K</t>
  </si>
  <si>
    <t>11.05.2023</t>
  </si>
  <si>
    <t>220,50K</t>
  </si>
  <si>
    <t>15.05.2023</t>
  </si>
  <si>
    <t>229,94K</t>
  </si>
  <si>
    <t>16.05.2023</t>
  </si>
  <si>
    <t>206,55K</t>
  </si>
  <si>
    <t>17.05.2023</t>
  </si>
  <si>
    <t>227,73K</t>
  </si>
  <si>
    <t>18.05.2023</t>
  </si>
  <si>
    <t>234,60K</t>
  </si>
  <si>
    <t>22.05.2023</t>
  </si>
  <si>
    <t>214,36K</t>
  </si>
  <si>
    <t>23.05.2023</t>
  </si>
  <si>
    <t>229,89K</t>
  </si>
  <si>
    <t>24.05.2023</t>
  </si>
  <si>
    <t>253,88K</t>
  </si>
  <si>
    <t>25.05.2023</t>
  </si>
  <si>
    <t>30.05.2023</t>
  </si>
  <si>
    <t>207,75K</t>
  </si>
  <si>
    <t>31.05.2023</t>
  </si>
  <si>
    <t>176,91K</t>
  </si>
  <si>
    <t>01.06.2023</t>
  </si>
  <si>
    <t>209,69K</t>
  </si>
  <si>
    <t>05.06.2023</t>
  </si>
  <si>
    <t>136,00K</t>
  </si>
  <si>
    <t>06.06.2023</t>
  </si>
  <si>
    <t>189,53K</t>
  </si>
  <si>
    <t>07.06.2023</t>
  </si>
  <si>
    <t>191,84K</t>
  </si>
  <si>
    <t>08.06.2023</t>
  </si>
  <si>
    <t>130,41K</t>
  </si>
  <si>
    <t>12.06.2023</t>
  </si>
  <si>
    <t>198,40K</t>
  </si>
  <si>
    <t>13.06.2023</t>
  </si>
  <si>
    <t>199,71K</t>
  </si>
  <si>
    <t>14.06.2023</t>
  </si>
  <si>
    <t>15.06.2023</t>
  </si>
  <si>
    <t>160,51K</t>
  </si>
  <si>
    <t>20.06.2023</t>
  </si>
  <si>
    <t>182,02K</t>
  </si>
  <si>
    <t>21.06.2023</t>
  </si>
  <si>
    <t>171,78K</t>
  </si>
  <si>
    <t>22.06.2023</t>
  </si>
  <si>
    <t>186,86K</t>
  </si>
  <si>
    <t>26.06.2023</t>
  </si>
  <si>
    <t>180,44K</t>
  </si>
  <si>
    <t>27.06.2023</t>
  </si>
  <si>
    <t>162,49K</t>
  </si>
  <si>
    <t>28.06.2023</t>
  </si>
  <si>
    <t>205,25K</t>
  </si>
  <si>
    <t>29.06.2023</t>
  </si>
  <si>
    <t>180,69K</t>
  </si>
  <si>
    <t>03.07.2023</t>
  </si>
  <si>
    <t>245,93K</t>
  </si>
  <si>
    <t>05.07.2023</t>
  </si>
  <si>
    <t>231,51K</t>
  </si>
  <si>
    <t>06.07.2023</t>
  </si>
  <si>
    <t>214,27K</t>
  </si>
  <si>
    <t>10.07.2023</t>
  </si>
  <si>
    <t>189,37K</t>
  </si>
  <si>
    <t>11.07.2023</t>
  </si>
  <si>
    <t>270,87K</t>
  </si>
  <si>
    <t>12.07.2023</t>
  </si>
  <si>
    <t>241,22K</t>
  </si>
  <si>
    <t>13.07.2023</t>
  </si>
  <si>
    <t>209,31K</t>
  </si>
  <si>
    <t>17.07.2023</t>
  </si>
  <si>
    <t>264,09K</t>
  </si>
  <si>
    <t>18.07.2023</t>
  </si>
  <si>
    <t>159,41K</t>
  </si>
  <si>
    <t>19.07.2023</t>
  </si>
  <si>
    <t>189,93K</t>
  </si>
  <si>
    <t>20.07.2023</t>
  </si>
  <si>
    <t>156,54K</t>
  </si>
  <si>
    <t>24.07.2023</t>
  </si>
  <si>
    <t>188,85K</t>
  </si>
  <si>
    <t>25.07.2023</t>
  </si>
  <si>
    <t>208,11K</t>
  </si>
  <si>
    <t>26.07.2023</t>
  </si>
  <si>
    <t>194,25K</t>
  </si>
  <si>
    <t>27.07.2023</t>
  </si>
  <si>
    <t>31.07.2023</t>
  </si>
  <si>
    <t>167,76K</t>
  </si>
  <si>
    <t>01.08.2023</t>
  </si>
  <si>
    <t>169,66K</t>
  </si>
  <si>
    <t>02.08.2023</t>
  </si>
  <si>
    <t>141,35K</t>
  </si>
  <si>
    <t>03.08.2023</t>
  </si>
  <si>
    <t>156,42K</t>
  </si>
  <si>
    <t>07.08.2023</t>
  </si>
  <si>
    <t>142,34K</t>
  </si>
  <si>
    <t>08.08.2023</t>
  </si>
  <si>
    <t>139,26K</t>
  </si>
  <si>
    <t>09.08.2023</t>
  </si>
  <si>
    <t>168,26K</t>
  </si>
  <si>
    <t>10.08.2023</t>
  </si>
  <si>
    <t>122,32K</t>
  </si>
  <si>
    <t>14.08.2023</t>
  </si>
  <si>
    <t>167,15K</t>
  </si>
  <si>
    <t>15.08.2023</t>
  </si>
  <si>
    <t>128,61K</t>
  </si>
  <si>
    <t>16.08.2023</t>
  </si>
  <si>
    <t>152,33K</t>
  </si>
  <si>
    <t>17.08.2023</t>
  </si>
  <si>
    <t>114,74K</t>
  </si>
  <si>
    <t>21.08.2023</t>
  </si>
  <si>
    <t>131,09K</t>
  </si>
  <si>
    <t>22.08.2023</t>
  </si>
  <si>
    <t>170,04K</t>
  </si>
  <si>
    <t>23.08.2023</t>
  </si>
  <si>
    <t>137,39K</t>
  </si>
  <si>
    <t>24.08.2023</t>
  </si>
  <si>
    <t>166,99K</t>
  </si>
  <si>
    <t>28.08.2023</t>
  </si>
  <si>
    <t>174,22K</t>
  </si>
  <si>
    <t>29.08.2023</t>
  </si>
  <si>
    <t>142,38K</t>
  </si>
  <si>
    <t>30.08.2023</t>
  </si>
  <si>
    <t>133,71K</t>
  </si>
  <si>
    <t>31.08.2023</t>
  </si>
  <si>
    <t>160,73K</t>
  </si>
  <si>
    <t>05.09.2023</t>
  </si>
  <si>
    <t>148,78K</t>
  </si>
  <si>
    <t>06.09.2023</t>
  </si>
  <si>
    <t>117,17K</t>
  </si>
  <si>
    <t>07.09.2023</t>
  </si>
  <si>
    <t>11.09.2023</t>
  </si>
  <si>
    <t>161,99K</t>
  </si>
  <si>
    <t>12.09.2023</t>
  </si>
  <si>
    <t>161,00K</t>
  </si>
  <si>
    <t>13.09.2023</t>
  </si>
  <si>
    <t>201,74K</t>
  </si>
  <si>
    <t>14.09.2023</t>
  </si>
  <si>
    <t>199,77K</t>
  </si>
  <si>
    <t>18.09.2023</t>
  </si>
  <si>
    <t>131,10K</t>
  </si>
  <si>
    <t>19.09.2023</t>
  </si>
  <si>
    <t>220,98K</t>
  </si>
  <si>
    <t>20.09.2023</t>
  </si>
  <si>
    <t>225,91K</t>
  </si>
  <si>
    <t>21.09.2023</t>
  </si>
  <si>
    <t>139,93K</t>
  </si>
  <si>
    <t>25.09.2023</t>
  </si>
  <si>
    <t>212,26K</t>
  </si>
  <si>
    <t>26.09.2023</t>
  </si>
  <si>
    <t>238,53K</t>
  </si>
  <si>
    <t>27.09.2023</t>
  </si>
  <si>
    <t>231,42K</t>
  </si>
  <si>
    <t>28.09.2023</t>
  </si>
  <si>
    <t>245,13K</t>
  </si>
  <si>
    <t>02.10.2023</t>
  </si>
  <si>
    <t>216,78K</t>
  </si>
  <si>
    <t>03.10.2023</t>
  </si>
  <si>
    <t>195,05K</t>
  </si>
  <si>
    <t>04.10.2023</t>
  </si>
  <si>
    <t>172,46K</t>
  </si>
  <si>
    <t>05.10.2023</t>
  </si>
  <si>
    <t>09.10.2023</t>
  </si>
  <si>
    <t>157,34K</t>
  </si>
  <si>
    <t>10.10.2023</t>
  </si>
  <si>
    <t>169,96K</t>
  </si>
  <si>
    <t>11.10.2023</t>
  </si>
  <si>
    <t>163,48K</t>
  </si>
  <si>
    <t>12.10.2023</t>
  </si>
  <si>
    <t>312,99K</t>
  </si>
  <si>
    <t>16.10.2023</t>
  </si>
  <si>
    <t>165,06K</t>
  </si>
  <si>
    <t>17.10.2023</t>
  </si>
  <si>
    <t>270,05K</t>
  </si>
  <si>
    <t>18.10.2023</t>
  </si>
  <si>
    <t>264,82K</t>
  </si>
  <si>
    <t>19.10.2023</t>
  </si>
  <si>
    <t>289,11K</t>
  </si>
  <si>
    <t>23.10.2023</t>
  </si>
  <si>
    <t>200,94K</t>
  </si>
  <si>
    <t>24.10.2023</t>
  </si>
  <si>
    <t>25.10.2023</t>
  </si>
  <si>
    <t>214,05K</t>
  </si>
  <si>
    <t>26.10.2023</t>
  </si>
  <si>
    <t>213,76K</t>
  </si>
  <si>
    <t>30.10.2023</t>
  </si>
  <si>
    <t>214,78K</t>
  </si>
  <si>
    <t>31.10.2023</t>
  </si>
  <si>
    <t>197,63K</t>
  </si>
  <si>
    <t>01.11.2023</t>
  </si>
  <si>
    <t>158,65K</t>
  </si>
  <si>
    <t>02.11.2023</t>
  </si>
  <si>
    <t>222,19K</t>
  </si>
  <si>
    <t>06.11.2023</t>
  </si>
  <si>
    <t>218,95K</t>
  </si>
  <si>
    <t>07.11.2023</t>
  </si>
  <si>
    <t>189,36K</t>
  </si>
  <si>
    <t>08.11.2023</t>
  </si>
  <si>
    <t>214,08K</t>
  </si>
  <si>
    <t>09.11.2023</t>
  </si>
  <si>
    <t>229,64K</t>
  </si>
  <si>
    <t>13.11.2023</t>
  </si>
  <si>
    <t>180,74K</t>
  </si>
  <si>
    <t>14.11.2023</t>
  </si>
  <si>
    <t>142,92K</t>
  </si>
  <si>
    <t>15.11.2023</t>
  </si>
  <si>
    <t>186,81K</t>
  </si>
  <si>
    <t>16.11.2023</t>
  </si>
  <si>
    <t>133,12K</t>
  </si>
  <si>
    <t>20.11.2023</t>
  </si>
  <si>
    <t>230,02K</t>
  </si>
  <si>
    <t>21.11.2023</t>
  </si>
  <si>
    <t>199,37K</t>
  </si>
  <si>
    <t>22.11.2023</t>
  </si>
  <si>
    <t>27.11.2023</t>
  </si>
  <si>
    <t>174,67K</t>
  </si>
  <si>
    <t>28.11.2023</t>
  </si>
  <si>
    <t>197,79K</t>
  </si>
  <si>
    <t>29.11.2023</t>
  </si>
  <si>
    <t>151,92K</t>
  </si>
  <si>
    <t>30.11.2023</t>
  </si>
  <si>
    <t>241,62K</t>
  </si>
  <si>
    <t>04.12.2023</t>
  </si>
  <si>
    <t>209,55K</t>
  </si>
  <si>
    <t>05.12.2023</t>
  </si>
  <si>
    <t>154,22K</t>
  </si>
  <si>
    <t>06.12.2023</t>
  </si>
  <si>
    <t>173,98K</t>
  </si>
  <si>
    <t>07.12.2023</t>
  </si>
  <si>
    <t>237,29K</t>
  </si>
  <si>
    <t>11.12.2023</t>
  </si>
  <si>
    <t>148,53K</t>
  </si>
  <si>
    <t>12.12.2023</t>
  </si>
  <si>
    <t>192,68K</t>
  </si>
  <si>
    <t>13.12.2023</t>
  </si>
  <si>
    <t>231,10K</t>
  </si>
  <si>
    <t>14.12.2023</t>
  </si>
  <si>
    <t>172,15K</t>
  </si>
  <si>
    <t>18.12.2023</t>
  </si>
  <si>
    <t>134,78K</t>
  </si>
  <si>
    <t>19.12.2023</t>
  </si>
  <si>
    <t>122,57K</t>
  </si>
  <si>
    <t>20.12.2023</t>
  </si>
  <si>
    <t>119,95K</t>
  </si>
  <si>
    <t>21.12.2023</t>
  </si>
  <si>
    <t>170,15K</t>
  </si>
  <si>
    <t>26.12.2023</t>
  </si>
  <si>
    <t>128,18K</t>
  </si>
  <si>
    <t>27.12.2023</t>
  </si>
  <si>
    <t>129,54K</t>
  </si>
  <si>
    <t>28.12.2023</t>
  </si>
  <si>
    <t>105,72K</t>
  </si>
  <si>
    <t>02.01.2024</t>
  </si>
  <si>
    <t>221,68K</t>
  </si>
  <si>
    <t>03.01.2024</t>
  </si>
  <si>
    <t>130,26K</t>
  </si>
  <si>
    <t>04.01.2024</t>
  </si>
  <si>
    <t>214,68K</t>
  </si>
  <si>
    <t>08.01.2024</t>
  </si>
  <si>
    <t>218,75K</t>
  </si>
  <si>
    <t>09.01.2024</t>
  </si>
  <si>
    <t>205,01K</t>
  </si>
  <si>
    <t>10.01.2024</t>
  </si>
  <si>
    <t>301,34K</t>
  </si>
  <si>
    <t>11.01.2024</t>
  </si>
  <si>
    <t>272,35K</t>
  </si>
  <si>
    <t>16.01.2024</t>
  </si>
  <si>
    <t>254,29K</t>
  </si>
  <si>
    <t>17.01.2024</t>
  </si>
  <si>
    <t>171,93K</t>
  </si>
  <si>
    <t>18.01.2024</t>
  </si>
  <si>
    <t>172,81K</t>
  </si>
  <si>
    <t>22.01.2024</t>
  </si>
  <si>
    <t>156,70K</t>
  </si>
  <si>
    <t>23.01.2024</t>
  </si>
  <si>
    <t>234,46K</t>
  </si>
  <si>
    <t>24.01.2024</t>
  </si>
  <si>
    <t>196,67K</t>
  </si>
  <si>
    <t>25.01.2024</t>
  </si>
  <si>
    <t>119,59K</t>
  </si>
  <si>
    <t>29.01.2024</t>
  </si>
  <si>
    <t>214,59K</t>
  </si>
  <si>
    <t>30.01.2024</t>
  </si>
  <si>
    <t>238,37K</t>
  </si>
  <si>
    <t>31.01.2024</t>
  </si>
  <si>
    <t>260,92K</t>
  </si>
  <si>
    <t>01.02.2024</t>
  </si>
  <si>
    <t>219,80K</t>
  </si>
  <si>
    <t>05.02.2024</t>
  </si>
  <si>
    <t>06.02.2024</t>
  </si>
  <si>
    <t>125,63K</t>
  </si>
  <si>
    <t>07.02.2024</t>
  </si>
  <si>
    <t>137,08K</t>
  </si>
  <si>
    <t>08.02.2024</t>
  </si>
  <si>
    <t>116,03K</t>
  </si>
  <si>
    <t>12.02.2024</t>
  </si>
  <si>
    <t>217,57K</t>
  </si>
  <si>
    <t>13.02.2024</t>
  </si>
  <si>
    <t>193,61K</t>
  </si>
  <si>
    <t>14.02.2024</t>
  </si>
  <si>
    <t>204,25K</t>
  </si>
  <si>
    <t>15.02.2024</t>
  </si>
  <si>
    <t>162,36K</t>
  </si>
  <si>
    <t>20.02.2024</t>
  </si>
  <si>
    <t>120,60K</t>
  </si>
  <si>
    <t>21.02.2024</t>
  </si>
  <si>
    <t>22.02.2024</t>
  </si>
  <si>
    <t>212,03K</t>
  </si>
  <si>
    <t>26.02.2024</t>
  </si>
  <si>
    <t>27.02.2024</t>
  </si>
  <si>
    <t>28.02.2024</t>
  </si>
  <si>
    <t>29.02.2024</t>
  </si>
  <si>
    <t>330,59K</t>
  </si>
  <si>
    <t>04.03.2024</t>
  </si>
  <si>
    <t>283,15K</t>
  </si>
  <si>
    <t>05.03.2024</t>
  </si>
  <si>
    <t>319,76K</t>
  </si>
  <si>
    <t>06.03.2024</t>
  </si>
  <si>
    <t>267,80K</t>
  </si>
  <si>
    <t>07.03.2024</t>
  </si>
  <si>
    <t>389,68K</t>
  </si>
  <si>
    <t>11.03.2024</t>
  </si>
  <si>
    <t>12.03.2024</t>
  </si>
  <si>
    <t>232,27K</t>
  </si>
  <si>
    <t>13.03.2024</t>
  </si>
  <si>
    <t>207,23K</t>
  </si>
  <si>
    <t>14.03.2024</t>
  </si>
  <si>
    <t>187,85K</t>
  </si>
  <si>
    <t>18.03.2024</t>
  </si>
  <si>
    <t>178,16K</t>
  </si>
  <si>
    <t>19.03.2024</t>
  </si>
  <si>
    <t>233,57K</t>
  </si>
  <si>
    <t>20.03.2024</t>
  </si>
  <si>
    <t>391,75K</t>
  </si>
  <si>
    <t>21.03.2024</t>
  </si>
  <si>
    <t>205,81K</t>
  </si>
  <si>
    <t>25.03.2024</t>
  </si>
  <si>
    <t>202,37K</t>
  </si>
  <si>
    <t>26.03.2024</t>
  </si>
  <si>
    <t>191,46K</t>
  </si>
  <si>
    <t>27.03.2024</t>
  </si>
  <si>
    <t>250,25K</t>
  </si>
  <si>
    <t>01.04.2024</t>
  </si>
  <si>
    <t>277,23K</t>
  </si>
  <si>
    <t>02.04.2024</t>
  </si>
  <si>
    <t>254,57K</t>
  </si>
  <si>
    <t>03.04.2024</t>
  </si>
  <si>
    <t>236,23K</t>
  </si>
  <si>
    <t>04.04.2024</t>
  </si>
  <si>
    <t>293,21K</t>
  </si>
  <si>
    <t>08.04.2024</t>
  </si>
  <si>
    <t>279,61K</t>
  </si>
  <si>
    <t>09.04.2024</t>
  </si>
  <si>
    <t>353,85K</t>
  </si>
  <si>
    <t>10.04.2024</t>
  </si>
  <si>
    <t>260,42K</t>
  </si>
  <si>
    <t>11.04.2024</t>
  </si>
  <si>
    <t>479,89K</t>
  </si>
  <si>
    <t>15.04.2024</t>
  </si>
  <si>
    <t>297,59K</t>
  </si>
  <si>
    <t>16.04.2024</t>
  </si>
  <si>
    <t>284,35K</t>
  </si>
  <si>
    <t>17.04.2024</t>
  </si>
  <si>
    <t>200,55K</t>
  </si>
  <si>
    <t>18.04.2024</t>
  </si>
  <si>
    <t>275,41K</t>
  </si>
  <si>
    <t>22.04.2024</t>
  </si>
  <si>
    <t>270,23K</t>
  </si>
  <si>
    <t>23.04.2024</t>
  </si>
  <si>
    <t>187,70K</t>
  </si>
  <si>
    <t>24.04.2024</t>
  </si>
  <si>
    <t>224,47K</t>
  </si>
  <si>
    <t>25.04.2024</t>
  </si>
  <si>
    <t>171,01K</t>
  </si>
  <si>
    <t>29.04.2024</t>
  </si>
  <si>
    <t>229,06K</t>
  </si>
  <si>
    <t>30.04.2024</t>
  </si>
  <si>
    <t>227,38K</t>
  </si>
  <si>
    <t>01.05.2024</t>
  </si>
  <si>
    <t>193,66K</t>
  </si>
  <si>
    <t>02.05.2024</t>
  </si>
  <si>
    <t>231,40K</t>
  </si>
  <si>
    <t>06.05.2024</t>
  </si>
  <si>
    <t>204,62K</t>
  </si>
  <si>
    <t>07.05.2024</t>
  </si>
  <si>
    <t>214,69K</t>
  </si>
  <si>
    <t>08.05.2024</t>
  </si>
  <si>
    <t>249,09K</t>
  </si>
  <si>
    <t>09.05.2024</t>
  </si>
  <si>
    <t>275,24K</t>
  </si>
  <si>
    <t>13.05.2024</t>
  </si>
  <si>
    <t>192,08K</t>
  </si>
  <si>
    <t>14.05.2024</t>
  </si>
  <si>
    <t>249,84K</t>
  </si>
  <si>
    <t>15.05.2024</t>
  </si>
  <si>
    <t>191,03K</t>
  </si>
  <si>
    <t>16.05.2024</t>
  </si>
  <si>
    <t>218,55K</t>
  </si>
  <si>
    <t>20.05.2024</t>
  </si>
  <si>
    <t>229,42K</t>
  </si>
  <si>
    <t>21.05.2024</t>
  </si>
  <si>
    <t>253,85K</t>
  </si>
  <si>
    <t>22.05.2024</t>
  </si>
  <si>
    <t>273,66K</t>
  </si>
  <si>
    <t>23.05.2024</t>
  </si>
  <si>
    <t>178,34K</t>
  </si>
  <si>
    <t>28.05.2024</t>
  </si>
  <si>
    <t>119,32K</t>
  </si>
  <si>
    <t>29.05.2024</t>
  </si>
  <si>
    <t>188,89K</t>
  </si>
  <si>
    <t>30.05.2024</t>
  </si>
  <si>
    <t>183,41K</t>
  </si>
  <si>
    <t>03.06.2024</t>
  </si>
  <si>
    <t>171,55K</t>
  </si>
  <si>
    <t>04.06.2024</t>
  </si>
  <si>
    <t>171,86K</t>
  </si>
  <si>
    <t>05.06.2024</t>
  </si>
  <si>
    <t>172,20K</t>
  </si>
  <si>
    <t>06.06.2024</t>
  </si>
  <si>
    <t>314,55K</t>
  </si>
  <si>
    <t>10.06.2024</t>
  </si>
  <si>
    <t>145,50K</t>
  </si>
  <si>
    <t>11.06.2024</t>
  </si>
  <si>
    <t>241,67K</t>
  </si>
  <si>
    <t>12.06.2024</t>
  </si>
  <si>
    <t>182,66K</t>
  </si>
  <si>
    <t>13.06.2024</t>
  </si>
  <si>
    <t>163,37K</t>
  </si>
  <si>
    <t>17.06.2024</t>
  </si>
  <si>
    <t>154,25K</t>
  </si>
  <si>
    <t>18.06.2024</t>
  </si>
  <si>
    <t>252,69K</t>
  </si>
  <si>
    <t>20.06.2024</t>
  </si>
  <si>
    <t>194,82K</t>
  </si>
  <si>
    <t>24.06.2024</t>
  </si>
  <si>
    <t>144,27K</t>
  </si>
  <si>
    <t>25.06.2024</t>
  </si>
  <si>
    <t>191,63K</t>
  </si>
  <si>
    <t>26.06.2024</t>
  </si>
  <si>
    <t>140,23K</t>
  </si>
  <si>
    <t>27.06.2024</t>
  </si>
  <si>
    <t>135,38K</t>
  </si>
  <si>
    <t>01.07.2024</t>
  </si>
  <si>
    <t>153,71K</t>
  </si>
  <si>
    <t>02.07.2024</t>
  </si>
  <si>
    <t>193,64K</t>
  </si>
  <si>
    <t>03.07.2024</t>
  </si>
  <si>
    <t>293,25K</t>
  </si>
  <si>
    <t>08.07.2024</t>
  </si>
  <si>
    <t>252,49K</t>
  </si>
  <si>
    <t>09.07.2024</t>
  </si>
  <si>
    <t>163,90K</t>
  </si>
  <si>
    <t>10.07.2024</t>
  </si>
  <si>
    <t>303,52K</t>
  </si>
  <si>
    <t>11.07.2024</t>
  </si>
  <si>
    <t>15.07.2024</t>
  </si>
  <si>
    <t>246,09K</t>
  </si>
  <si>
    <t>16.07.2024</t>
  </si>
  <si>
    <t>259,54K</t>
  </si>
  <si>
    <t>17.07.2024</t>
  </si>
  <si>
    <t>192,77K</t>
  </si>
  <si>
    <t>18.07.2024</t>
  </si>
  <si>
    <t>254,41K</t>
  </si>
  <si>
    <t>22.07.2024</t>
  </si>
  <si>
    <t>171,19K</t>
  </si>
  <si>
    <t>23.07.2024</t>
  </si>
  <si>
    <t>245,88K</t>
  </si>
  <si>
    <t>24.07.2024</t>
  </si>
  <si>
    <t>294,90K</t>
  </si>
  <si>
    <t>25.07.2024</t>
  </si>
  <si>
    <t>154,52K</t>
  </si>
  <si>
    <t>29.07.2024</t>
  </si>
  <si>
    <t>172,97K</t>
  </si>
  <si>
    <t>30.07.2024</t>
  </si>
  <si>
    <t>176,27K</t>
  </si>
  <si>
    <t>31.07.2024</t>
  </si>
  <si>
    <t>219,83K</t>
  </si>
  <si>
    <t>01.08.2024</t>
  </si>
  <si>
    <t>309,94K</t>
  </si>
  <si>
    <t>05.08.2024</t>
  </si>
  <si>
    <t>186,11K</t>
  </si>
  <si>
    <t>06.08.2024</t>
  </si>
  <si>
    <t>166,08K</t>
  </si>
  <si>
    <t>07.08.2024</t>
  </si>
  <si>
    <t>178,51K</t>
  </si>
  <si>
    <t>08.08.2024</t>
  </si>
  <si>
    <t>152,17K</t>
  </si>
  <si>
    <t>12.08.2024</t>
  </si>
  <si>
    <t>155,08K</t>
  </si>
  <si>
    <t>13.08.2024</t>
  </si>
  <si>
    <t>187,38K</t>
  </si>
  <si>
    <t>14.08.2024</t>
  </si>
  <si>
    <t>169,32K</t>
  </si>
  <si>
    <t>15.08.2024</t>
  </si>
  <si>
    <t>223,93K</t>
  </si>
  <si>
    <t>19.08.2024</t>
  </si>
  <si>
    <t>191,20K</t>
  </si>
  <si>
    <t>20.08.2024</t>
  </si>
  <si>
    <t>148,89K</t>
  </si>
  <si>
    <t>21.08.2024</t>
  </si>
  <si>
    <t>177,37K</t>
  </si>
  <si>
    <t>22.08.2024</t>
  </si>
  <si>
    <t>164,61K</t>
  </si>
  <si>
    <t>26.08.2024</t>
  </si>
  <si>
    <t>146,22K</t>
  </si>
  <si>
    <t>27.08.2024</t>
  </si>
  <si>
    <t>165,12K</t>
  </si>
  <si>
    <t>28.08.2024</t>
  </si>
  <si>
    <t>159,97K</t>
  </si>
  <si>
    <t>29.08.2024</t>
  </si>
  <si>
    <t>175,64K</t>
  </si>
  <si>
    <t>03.09.2024</t>
  </si>
  <si>
    <t>167,96K</t>
  </si>
  <si>
    <t>04.09.2024</t>
  </si>
  <si>
    <t>152,71K</t>
  </si>
  <si>
    <t>05.09.2024</t>
  </si>
  <si>
    <t>228,12K</t>
  </si>
  <si>
    <t>09.09.2024</t>
  </si>
  <si>
    <t>156,11K</t>
  </si>
  <si>
    <t>10.09.2024</t>
  </si>
  <si>
    <t>194,09K</t>
  </si>
  <si>
    <t>11.09.2024</t>
  </si>
  <si>
    <t>233,68K</t>
  </si>
  <si>
    <t>12.09.2024</t>
  </si>
  <si>
    <t>16.09.2024</t>
  </si>
  <si>
    <t>159,53K</t>
  </si>
  <si>
    <t>17.09.2024</t>
  </si>
  <si>
    <t>233,13K</t>
  </si>
  <si>
    <t>18.09.2024</t>
  </si>
  <si>
    <t>204,48K</t>
  </si>
  <si>
    <t>19.09.2024</t>
  </si>
  <si>
    <t>207,21K</t>
  </si>
  <si>
    <t>23.09.2024</t>
  </si>
  <si>
    <t>216,55K</t>
  </si>
  <si>
    <t>24.09.2024</t>
  </si>
  <si>
    <t>189,94K</t>
  </si>
  <si>
    <t>25.09.2024</t>
  </si>
  <si>
    <t>217,64K</t>
  </si>
  <si>
    <t>26.09.2024</t>
  </si>
  <si>
    <t>196,73K</t>
  </si>
  <si>
    <t>30.09.2024</t>
  </si>
  <si>
    <t>202,76K</t>
  </si>
  <si>
    <t>01.10.2024</t>
  </si>
  <si>
    <t>128,68K</t>
  </si>
  <si>
    <t>02.10.2024</t>
  </si>
  <si>
    <t>138,55K</t>
  </si>
  <si>
    <t>03.10.2024</t>
  </si>
  <si>
    <t>192,66K</t>
  </si>
  <si>
    <t>07.10.2024</t>
  </si>
  <si>
    <t>233,85K</t>
  </si>
  <si>
    <t>08.10.2024</t>
  </si>
  <si>
    <t>143,00K</t>
  </si>
  <si>
    <t>09.10.2024</t>
  </si>
  <si>
    <t>195,58K</t>
  </si>
  <si>
    <t>10.10.2024</t>
  </si>
  <si>
    <t>168,60K</t>
  </si>
  <si>
    <t>14.10.2024</t>
  </si>
  <si>
    <t>160,56K</t>
  </si>
  <si>
    <t>15.10.2024</t>
  </si>
  <si>
    <t>156,88K</t>
  </si>
  <si>
    <t>16.10.2024</t>
  </si>
  <si>
    <t>181,82K</t>
  </si>
  <si>
    <t>17.10.2024</t>
  </si>
  <si>
    <t>178,96K</t>
  </si>
  <si>
    <t>21.10.2024</t>
  </si>
  <si>
    <t>173,70K</t>
  </si>
  <si>
    <t>22.10.2024</t>
  </si>
  <si>
    <t>214,52K</t>
  </si>
  <si>
    <t>23.10.2024</t>
  </si>
  <si>
    <t>175,87K</t>
  </si>
  <si>
    <t>24.10.2024</t>
  </si>
  <si>
    <t>153,49K</t>
  </si>
  <si>
    <t>28.10.2024</t>
  </si>
  <si>
    <t>207,42K</t>
  </si>
  <si>
    <t>29.10.2024</t>
  </si>
  <si>
    <t>191,55K</t>
  </si>
  <si>
    <t>30.10.2024</t>
  </si>
  <si>
    <t>242,57K</t>
  </si>
  <si>
    <t>31.10.2024</t>
  </si>
  <si>
    <t>180,66K</t>
  </si>
  <si>
    <t>04.11.2024</t>
  </si>
  <si>
    <t>151,43K</t>
  </si>
  <si>
    <t>05.11.2024</t>
  </si>
  <si>
    <t>361,31K</t>
  </si>
  <si>
    <t>06.11.2024</t>
  </si>
  <si>
    <t>292,92K</t>
  </si>
  <si>
    <t>07.11.2024</t>
  </si>
  <si>
    <t>233,11K</t>
  </si>
  <si>
    <t>11.11.2024</t>
  </si>
  <si>
    <t>282,77K</t>
  </si>
  <si>
    <t>12.11.2024</t>
  </si>
  <si>
    <t>262,75K</t>
  </si>
  <si>
    <t>13.11.2024</t>
  </si>
  <si>
    <t>266,16K</t>
  </si>
  <si>
    <t>14.11.2024</t>
  </si>
  <si>
    <t>179,89K</t>
  </si>
  <si>
    <t>18.11.2024</t>
  </si>
  <si>
    <t>202,24K</t>
  </si>
  <si>
    <t>19.11.2024</t>
  </si>
  <si>
    <t>182,01K</t>
  </si>
  <si>
    <t>20.11.2024</t>
  </si>
  <si>
    <t>186,30K</t>
  </si>
  <si>
    <t>21.11.2024</t>
  </si>
  <si>
    <t>25.11.2024</t>
  </si>
  <si>
    <t>177,86K</t>
  </si>
  <si>
    <t>26.11.2024</t>
  </si>
  <si>
    <t>169,46K</t>
  </si>
  <si>
    <t>27.11.2024</t>
  </si>
  <si>
    <t>180,76K</t>
  </si>
  <si>
    <t>02.12.2024</t>
  </si>
  <si>
    <t>140,97K</t>
  </si>
  <si>
    <t>03.12.2024</t>
  </si>
  <si>
    <t>171,79K</t>
  </si>
  <si>
    <t>04.12.2024</t>
  </si>
  <si>
    <t>156,12K</t>
  </si>
  <si>
    <t>05.12.2024</t>
  </si>
  <si>
    <t>167,17K</t>
  </si>
  <si>
    <t>09.12.2024</t>
  </si>
  <si>
    <t>181,51K</t>
  </si>
  <si>
    <t>10.12.2024</t>
  </si>
  <si>
    <t>264,99K</t>
  </si>
  <si>
    <t>11.12.2024</t>
  </si>
  <si>
    <t>219,47K</t>
  </si>
  <si>
    <t>12.12.2024</t>
  </si>
  <si>
    <t>178,69K</t>
  </si>
  <si>
    <t>16.12.2024</t>
  </si>
  <si>
    <t>147,05K</t>
  </si>
  <si>
    <t>17.12.2024</t>
  </si>
  <si>
    <t>156,33K</t>
  </si>
  <si>
    <t>18.12.2024</t>
  </si>
  <si>
    <t>191,59K</t>
  </si>
  <si>
    <t>19.12.2024</t>
  </si>
  <si>
    <t>153,57K</t>
  </si>
  <si>
    <t>23.12.2024</t>
  </si>
  <si>
    <t>53,37K</t>
  </si>
  <si>
    <t>26.12.2024</t>
  </si>
  <si>
    <t>93,90K</t>
  </si>
  <si>
    <t>30.12.2024</t>
  </si>
  <si>
    <t>86,29K</t>
  </si>
  <si>
    <t>02.01.2025</t>
  </si>
  <si>
    <t>121,17K</t>
  </si>
  <si>
    <t>06.01.2025</t>
  </si>
  <si>
    <t>161,62K</t>
  </si>
  <si>
    <t>07.01.2025</t>
  </si>
  <si>
    <t>08.01.2025</t>
  </si>
  <si>
    <t>156,65K</t>
  </si>
  <si>
    <t>09.01.2025</t>
  </si>
  <si>
    <t>298,41K</t>
  </si>
  <si>
    <t>13.01.2025</t>
  </si>
  <si>
    <t>179,41K</t>
  </si>
  <si>
    <t>14.01.2025</t>
  </si>
  <si>
    <t>193,72K</t>
  </si>
  <si>
    <t>15.01.2025</t>
  </si>
  <si>
    <t>186,54K</t>
  </si>
  <si>
    <t>16.01.2025</t>
  </si>
  <si>
    <t>156,87K</t>
  </si>
  <si>
    <t>21.01.2025</t>
  </si>
  <si>
    <t>158,14K</t>
  </si>
  <si>
    <t>22.01.2025</t>
  </si>
  <si>
    <t>194,74K</t>
  </si>
  <si>
    <t>23.01.2025</t>
  </si>
  <si>
    <t>199,56K</t>
  </si>
  <si>
    <t>27.01.2025</t>
  </si>
  <si>
    <t>171,36K</t>
  </si>
  <si>
    <t>28.01.2025</t>
  </si>
  <si>
    <t>125,69K</t>
  </si>
  <si>
    <t>29.01.2025</t>
  </si>
  <si>
    <t>188,34K</t>
  </si>
  <si>
    <t>30.01.2025</t>
  </si>
  <si>
    <t>165,68K</t>
  </si>
  <si>
    <t>03.02.2025</t>
  </si>
  <si>
    <t>145,86K</t>
  </si>
  <si>
    <t>04.02.2025</t>
  </si>
  <si>
    <t>167,38K</t>
  </si>
  <si>
    <t>05.02.2025</t>
  </si>
  <si>
    <t>167,70K</t>
  </si>
  <si>
    <t>06.02.2025</t>
  </si>
  <si>
    <t>192,55K</t>
  </si>
  <si>
    <t>10.02.2025</t>
  </si>
  <si>
    <t>218,48K</t>
  </si>
  <si>
    <t>11.02.2025</t>
  </si>
  <si>
    <t>204,63K</t>
  </si>
  <si>
    <t>12.02.2025</t>
  </si>
  <si>
    <t>169,50K</t>
  </si>
  <si>
    <t>13.02.2025</t>
  </si>
  <si>
    <t>228,08K</t>
  </si>
  <si>
    <t>18.02.2025</t>
  </si>
  <si>
    <t>159,34K</t>
  </si>
  <si>
    <t>19.02.2025</t>
  </si>
  <si>
    <t>20.02.2025</t>
  </si>
  <si>
    <t>163,69K</t>
  </si>
  <si>
    <t>24.02.2025</t>
  </si>
  <si>
    <t>234,85K</t>
  </si>
  <si>
    <t>25.02.2025</t>
  </si>
  <si>
    <t>26.02.2025</t>
  </si>
  <si>
    <t>207,65K</t>
  </si>
  <si>
    <t>27.02.2025</t>
  </si>
  <si>
    <t>210,56K</t>
  </si>
  <si>
    <t>03.03.2025</t>
  </si>
  <si>
    <t>188,52K</t>
  </si>
  <si>
    <t>04.03.2025</t>
  </si>
  <si>
    <t>183,02K</t>
  </si>
  <si>
    <t>05.03.2025</t>
  </si>
  <si>
    <t>166,36K</t>
  </si>
  <si>
    <t>06.03.2025</t>
  </si>
  <si>
    <t>237,58K</t>
  </si>
  <si>
    <t>10.03.2025</t>
  </si>
  <si>
    <t>194,12K</t>
  </si>
  <si>
    <t>11.03.2025</t>
  </si>
  <si>
    <t>209,82K</t>
  </si>
  <si>
    <t>12.03.2025</t>
  </si>
  <si>
    <t>256,56K</t>
  </si>
  <si>
    <t>13.03.2025</t>
  </si>
  <si>
    <t>181,49K</t>
  </si>
  <si>
    <t>17.03.2025</t>
  </si>
  <si>
    <t>177,10K</t>
  </si>
  <si>
    <t>18.03.2025</t>
  </si>
  <si>
    <t>145,40K</t>
  </si>
  <si>
    <t>19.03.2025</t>
  </si>
  <si>
    <t>141,23K</t>
  </si>
  <si>
    <t>20.03.2025</t>
  </si>
  <si>
    <t>190,47K</t>
  </si>
  <si>
    <t>24.03.2025</t>
  </si>
  <si>
    <t>172,59K</t>
  </si>
  <si>
    <t>25.03.2025</t>
  </si>
  <si>
    <t>172,00K</t>
  </si>
  <si>
    <t>26.03.2025</t>
  </si>
  <si>
    <t>124,36K</t>
  </si>
  <si>
    <t>27.03.2025</t>
  </si>
  <si>
    <t>210,49K</t>
  </si>
  <si>
    <t>31.03.2025</t>
  </si>
  <si>
    <t>197,31K</t>
  </si>
  <si>
    <t>01.04.2025</t>
  </si>
  <si>
    <t>223,12K</t>
  </si>
  <si>
    <t>02.04.2025</t>
  </si>
  <si>
    <t>382,86K</t>
  </si>
  <si>
    <t>03.04.2025</t>
  </si>
  <si>
    <t>341,15K</t>
  </si>
  <si>
    <t>07.04.2025</t>
  </si>
  <si>
    <t>197,58K</t>
  </si>
  <si>
    <t>08.04.2025</t>
  </si>
  <si>
    <t>298,33K</t>
  </si>
  <si>
    <t>09.04.2025</t>
  </si>
  <si>
    <t>234,97K</t>
  </si>
  <si>
    <t>10.04.2025</t>
  </si>
  <si>
    <t>247,32K</t>
  </si>
  <si>
    <t>14.04.2025</t>
  </si>
  <si>
    <t>123,47K</t>
  </si>
  <si>
    <t>15.04.2025</t>
  </si>
  <si>
    <t>258,38K</t>
  </si>
  <si>
    <t>16.04.2025</t>
  </si>
  <si>
    <t>242,07K</t>
  </si>
  <si>
    <t>21.04.2025</t>
  </si>
  <si>
    <t>423,08K</t>
  </si>
  <si>
    <t>22.04.2025</t>
  </si>
  <si>
    <t>377,41K</t>
  </si>
  <si>
    <t>23.04.2025</t>
  </si>
  <si>
    <t>239,60K</t>
  </si>
  <si>
    <t>24.04.2025</t>
  </si>
  <si>
    <t>241,25K</t>
  </si>
  <si>
    <t>28.04.2025</t>
  </si>
  <si>
    <t>29.04.2025</t>
  </si>
  <si>
    <t>207,72K</t>
  </si>
  <si>
    <t>30.04.2025</t>
  </si>
  <si>
    <t>01.05.2025</t>
  </si>
  <si>
    <t>210,99K</t>
  </si>
  <si>
    <t>05.05.2025</t>
  </si>
  <si>
    <t>268,10K</t>
  </si>
  <si>
    <t>06.05.2025</t>
  </si>
  <si>
    <t>304,24K</t>
  </si>
  <si>
    <t>07.05.2025</t>
  </si>
  <si>
    <t>327,13K</t>
  </si>
  <si>
    <t>08.05.2025</t>
  </si>
  <si>
    <t>232,46K</t>
  </si>
  <si>
    <t>12.05.2025</t>
  </si>
  <si>
    <t>214,42K</t>
  </si>
  <si>
    <t>13.05.2025</t>
  </si>
  <si>
    <t>233,93K</t>
  </si>
  <si>
    <t>14.05.2025</t>
  </si>
  <si>
    <t>253,06K</t>
  </si>
  <si>
    <t>15.05.2025</t>
  </si>
  <si>
    <t>245,49K</t>
  </si>
  <si>
    <t>19.05.2025</t>
  </si>
  <si>
    <t>224,09K</t>
  </si>
  <si>
    <t>20.05.2025</t>
  </si>
  <si>
    <t>229,50K</t>
  </si>
  <si>
    <t>21.05.2025</t>
  </si>
  <si>
    <t>234,66K</t>
  </si>
  <si>
    <t>22.05.2025</t>
  </si>
  <si>
    <t>247,20K</t>
  </si>
  <si>
    <t>25.05.2025</t>
  </si>
  <si>
    <t>297,31K</t>
  </si>
  <si>
    <t>27.05.2025</t>
  </si>
  <si>
    <t>127,76K</t>
  </si>
  <si>
    <t>28.05.2025</t>
  </si>
  <si>
    <t>29.05.2025</t>
  </si>
  <si>
    <t>184,77K</t>
  </si>
  <si>
    <t>02.06.2025</t>
  </si>
  <si>
    <t>168,22K</t>
  </si>
  <si>
    <t>03.06.2025</t>
  </si>
  <si>
    <t>167,22K</t>
  </si>
  <si>
    <t>04.06.2025</t>
  </si>
  <si>
    <t>224,86K</t>
  </si>
  <si>
    <t>05.06.2025</t>
  </si>
  <si>
    <t>185,37K</t>
  </si>
  <si>
    <t>09.06.2025</t>
  </si>
  <si>
    <t>158,90K</t>
  </si>
  <si>
    <t>10.06.2025</t>
  </si>
  <si>
    <t>201,53K</t>
  </si>
  <si>
    <t>11.06.2025</t>
  </si>
  <si>
    <t>230,17K</t>
  </si>
  <si>
    <t>12.06.2025</t>
  </si>
  <si>
    <t>270,63K</t>
  </si>
  <si>
    <t>16.06.2025</t>
  </si>
  <si>
    <t>209,08K</t>
  </si>
  <si>
    <t>17.06.2025</t>
  </si>
  <si>
    <t>178,28K</t>
  </si>
  <si>
    <t>18.06.2025</t>
  </si>
  <si>
    <t>280,83K</t>
  </si>
  <si>
    <t>23.06.2025</t>
  </si>
  <si>
    <t>227,43K</t>
  </si>
  <si>
    <t>24.06.2025</t>
  </si>
  <si>
    <t>130,01K</t>
  </si>
  <si>
    <t>25.06.2025</t>
  </si>
  <si>
    <t>155,58K</t>
  </si>
  <si>
    <t>26.06.2025</t>
  </si>
  <si>
    <t>218,87K</t>
  </si>
  <si>
    <t>30.06.2025</t>
  </si>
  <si>
    <t>168,85K</t>
  </si>
  <si>
    <t>01.07.2025</t>
  </si>
  <si>
    <t>132,19K</t>
  </si>
  <si>
    <t>02.07.2025</t>
  </si>
  <si>
    <t>03.07.2025</t>
  </si>
  <si>
    <t>235,76K</t>
  </si>
  <si>
    <t>07.07.2025</t>
  </si>
  <si>
    <t>218,03K</t>
  </si>
  <si>
    <t>08.07.2025</t>
  </si>
  <si>
    <t>167,97K</t>
  </si>
  <si>
    <t>09.07.2025</t>
  </si>
  <si>
    <t>168,19K</t>
  </si>
  <si>
    <t>10.07.2025</t>
  </si>
  <si>
    <t>216,88K</t>
  </si>
  <si>
    <t>14.07.2025</t>
  </si>
  <si>
    <t>179,88K</t>
  </si>
  <si>
    <t>15.07.2025</t>
  </si>
  <si>
    <t>235,16K</t>
  </si>
  <si>
    <t>16.07.2025</t>
  </si>
  <si>
    <t>161,74K</t>
  </si>
  <si>
    <t>17.07.2025</t>
  </si>
  <si>
    <t>115,41K</t>
  </si>
  <si>
    <t>21.07.2025</t>
  </si>
  <si>
    <t>227,37K</t>
  </si>
  <si>
    <t>22.07.2025</t>
  </si>
  <si>
    <t>263,03K</t>
  </si>
  <si>
    <t>23.07.2025</t>
  </si>
  <si>
    <t>215,27K</t>
  </si>
  <si>
    <t>24.07.2025</t>
  </si>
  <si>
    <t>196,38K</t>
  </si>
  <si>
    <t>28.07.2025</t>
  </si>
  <si>
    <t>113,14K</t>
  </si>
  <si>
    <t>29.07.2025</t>
  </si>
  <si>
    <t>203,09K</t>
  </si>
  <si>
    <t>30.07.2025</t>
  </si>
  <si>
    <t>158,03K</t>
  </si>
  <si>
    <t>31.07.2025</t>
  </si>
  <si>
    <t>229,95K</t>
  </si>
  <si>
    <t>04.08.2025</t>
  </si>
  <si>
    <t>154,16K</t>
  </si>
  <si>
    <t>05.08.2025</t>
  </si>
  <si>
    <t>151,58K</t>
  </si>
  <si>
    <t>06.08.2025</t>
  </si>
  <si>
    <t>07.08.2025</t>
  </si>
  <si>
    <t>321,35K</t>
  </si>
  <si>
    <t>11.08.2025</t>
  </si>
  <si>
    <t>193,82K</t>
  </si>
  <si>
    <t>12.08.2025</t>
  </si>
  <si>
    <t>135,85K</t>
  </si>
  <si>
    <t>13.08.2025</t>
  </si>
  <si>
    <t>165,70K</t>
  </si>
  <si>
    <t>14.08.2025</t>
  </si>
  <si>
    <t>118,49K</t>
  </si>
  <si>
    <t>18.08.2025</t>
  </si>
  <si>
    <t>133,50K</t>
  </si>
  <si>
    <t>19.08.2025</t>
  </si>
  <si>
    <t>135,52K</t>
  </si>
  <si>
    <t>20.08.2025</t>
  </si>
  <si>
    <t>123,50K</t>
  </si>
  <si>
    <t>21.08.2025</t>
  </si>
  <si>
    <t>186,04K</t>
  </si>
  <si>
    <t>25.08.2025</t>
  </si>
  <si>
    <t>176,30K</t>
  </si>
  <si>
    <t>26.08.2025</t>
  </si>
  <si>
    <t>153,81K</t>
  </si>
  <si>
    <t>27.08.2025</t>
  </si>
  <si>
    <t>156,60K</t>
  </si>
  <si>
    <t>28.08.2025</t>
  </si>
  <si>
    <t>188,55K</t>
  </si>
  <si>
    <t>31.08.2025</t>
  </si>
  <si>
    <t>374,14K</t>
  </si>
  <si>
    <t>02.09.2025</t>
  </si>
  <si>
    <t>220,79K</t>
  </si>
  <si>
    <t>03.09.2025</t>
  </si>
  <si>
    <t>232,58K</t>
  </si>
  <si>
    <t>04.09.2025</t>
  </si>
  <si>
    <t>237,65K</t>
  </si>
  <si>
    <t>08.09.2025</t>
  </si>
  <si>
    <t>262,66K</t>
  </si>
  <si>
    <t>09.09.2025</t>
  </si>
  <si>
    <t>182,03K</t>
  </si>
  <si>
    <t>10.09.2025</t>
  </si>
  <si>
    <t>11.09.2025</t>
  </si>
  <si>
    <t>154,56K</t>
  </si>
  <si>
    <t>15.09.2025</t>
  </si>
  <si>
    <t>192,30K</t>
  </si>
  <si>
    <t>16.09.2025</t>
  </si>
  <si>
    <t>256,05K</t>
  </si>
  <si>
    <t>17.09.2025</t>
  </si>
  <si>
    <t>224,13K</t>
  </si>
  <si>
    <t>18.09.2025</t>
  </si>
  <si>
    <t>186,95K</t>
  </si>
  <si>
    <t>22.09.2025</t>
  </si>
  <si>
    <t>291,56K</t>
  </si>
  <si>
    <t>23.09.2025</t>
  </si>
  <si>
    <t>236,56K</t>
  </si>
  <si>
    <t>24.09.2025</t>
  </si>
  <si>
    <t>262,18K</t>
  </si>
  <si>
    <t>25.09.2025</t>
  </si>
  <si>
    <t>29.09.2025</t>
  </si>
  <si>
    <t>312,26K</t>
  </si>
  <si>
    <t>30.09.2025</t>
  </si>
  <si>
    <t>290,47K</t>
  </si>
  <si>
    <t>01.10.2025</t>
  </si>
  <si>
    <t>284,22K</t>
  </si>
  <si>
    <t>02.10.2025</t>
  </si>
  <si>
    <t>218,28K</t>
  </si>
  <si>
    <t>06.10.2025</t>
  </si>
  <si>
    <t>07.10.2025</t>
  </si>
  <si>
    <t>348,78K</t>
  </si>
  <si>
    <t>08.10.2025</t>
  </si>
  <si>
    <t>461,02K</t>
  </si>
  <si>
    <t>09.10.2025</t>
  </si>
  <si>
    <t>357,54K</t>
  </si>
  <si>
    <t>13.10.2025</t>
  </si>
  <si>
    <t>405,99K</t>
  </si>
  <si>
    <t>14.10.2025</t>
  </si>
  <si>
    <t>309,91K</t>
  </si>
  <si>
    <t>15.10.2025</t>
  </si>
  <si>
    <t>375,20K</t>
  </si>
  <si>
    <t>16.10.2025</t>
  </si>
  <si>
    <t>569,85K</t>
  </si>
  <si>
    <t>20.10.2025</t>
  </si>
  <si>
    <t>535,33K</t>
  </si>
  <si>
    <t>21.10.2025</t>
  </si>
  <si>
    <t>468,71K</t>
  </si>
  <si>
    <t>22.10.2025</t>
  </si>
  <si>
    <t>271,97K</t>
  </si>
  <si>
    <t>23.10.2025</t>
  </si>
  <si>
    <t>297,60K</t>
  </si>
  <si>
    <t>27.10.2025</t>
  </si>
  <si>
    <t>338,43K</t>
  </si>
  <si>
    <t>28.10.2025</t>
  </si>
  <si>
    <t>288,27K</t>
  </si>
  <si>
    <t>29.10.2025</t>
  </si>
  <si>
    <t>246,32K</t>
  </si>
  <si>
    <t>30.10.2025</t>
  </si>
  <si>
    <t>237,17K</t>
  </si>
  <si>
    <t>03.11.2025</t>
  </si>
  <si>
    <t>250,26K</t>
  </si>
  <si>
    <t>04.11.2025</t>
  </si>
  <si>
    <t>175,16K</t>
  </si>
  <si>
    <t>05.11.2025</t>
  </si>
  <si>
    <t>188,69K</t>
  </si>
  <si>
    <t>06.11.2025</t>
  </si>
  <si>
    <t>208,65K</t>
  </si>
  <si>
    <t>10.11.2025</t>
  </si>
  <si>
    <t>252,25K</t>
  </si>
  <si>
    <t>11.11.2025</t>
  </si>
  <si>
    <t>296,80K</t>
  </si>
  <si>
    <t>12.11.2025</t>
  </si>
  <si>
    <t>319,22K</t>
  </si>
  <si>
    <t>13.11.2025</t>
  </si>
  <si>
    <t>342,18K</t>
  </si>
  <si>
    <t>17.11.2025</t>
  </si>
  <si>
    <t>18.11.2025</t>
  </si>
  <si>
    <t>233,70K</t>
  </si>
  <si>
    <t>19.11.2025</t>
  </si>
  <si>
    <t>272,36K</t>
  </si>
  <si>
    <t>20.11.2025</t>
  </si>
  <si>
    <t>257,81K</t>
  </si>
  <si>
    <t>24.11.2025</t>
  </si>
  <si>
    <t>132,70K</t>
  </si>
  <si>
    <t>25.11.2025</t>
  </si>
  <si>
    <t>187,97K</t>
  </si>
  <si>
    <t>26.11.2025</t>
  </si>
  <si>
    <t>154,81K</t>
  </si>
  <si>
    <t>01.12.2025</t>
  </si>
  <si>
    <t>215,92K</t>
  </si>
  <si>
    <t>02.12.2025</t>
  </si>
  <si>
    <t>03.12.2025</t>
  </si>
  <si>
    <t>161,25K</t>
  </si>
  <si>
    <t>04.12.2025</t>
  </si>
  <si>
    <t>193,60K</t>
  </si>
  <si>
    <t>08.12.2025</t>
  </si>
  <si>
    <t>09.12.2025</t>
  </si>
  <si>
    <t>186,18K</t>
  </si>
  <si>
    <t>10.12.2025</t>
  </si>
  <si>
    <t>228,28K</t>
  </si>
  <si>
    <t>11.12.2025</t>
  </si>
  <si>
    <t>292,18K</t>
  </si>
  <si>
    <t>15.12.2025</t>
  </si>
  <si>
    <t>212,28K</t>
  </si>
  <si>
    <t>16.12.2025</t>
  </si>
  <si>
    <t>212,41K</t>
  </si>
  <si>
    <t>17.12.2025</t>
  </si>
  <si>
    <t>18.12.2025</t>
  </si>
  <si>
    <t>165,21K</t>
  </si>
  <si>
    <t>22.12.2025</t>
  </si>
  <si>
    <t>248,42K</t>
  </si>
  <si>
    <t>23.12.2025</t>
  </si>
  <si>
    <t>150,13K</t>
  </si>
  <si>
    <t>25.12.2025</t>
  </si>
  <si>
    <t>179,20K</t>
  </si>
  <si>
    <t>29.12.2025</t>
  </si>
  <si>
    <t>186,08K</t>
  </si>
  <si>
    <t>30.12.2025</t>
  </si>
  <si>
    <t>161,78K</t>
  </si>
  <si>
    <t>Date</t>
  </si>
  <si>
    <t>Close</t>
  </si>
  <si>
    <t>Open</t>
  </si>
  <si>
    <t>Max</t>
  </si>
  <si>
    <t>Min</t>
  </si>
  <si>
    <t>110,02K</t>
  </si>
  <si>
    <t>111,96K</t>
  </si>
  <si>
    <t>180,48K</t>
  </si>
  <si>
    <t>101,36K</t>
  </si>
  <si>
    <t>80,66K</t>
  </si>
  <si>
    <t>84,39K</t>
  </si>
  <si>
    <t>73,76K</t>
  </si>
  <si>
    <t>58,31K</t>
  </si>
  <si>
    <t>69,18K</t>
  </si>
  <si>
    <t>57,76K</t>
  </si>
  <si>
    <t>69,27K</t>
  </si>
  <si>
    <t>68,05K</t>
  </si>
  <si>
    <t>110,54K</t>
  </si>
  <si>
    <t>63,16K</t>
  </si>
  <si>
    <t>96,96K</t>
  </si>
  <si>
    <t>63,34K</t>
  </si>
  <si>
    <t>59,68K</t>
  </si>
  <si>
    <t>59,86K</t>
  </si>
  <si>
    <t>60,51K</t>
  </si>
  <si>
    <t>68,87K</t>
  </si>
  <si>
    <t>70,84K</t>
  </si>
  <si>
    <t>73,62K</t>
  </si>
  <si>
    <t>69,82K</t>
  </si>
  <si>
    <t>56,24K</t>
  </si>
  <si>
    <t>93,64K</t>
  </si>
  <si>
    <t>98,11K</t>
  </si>
  <si>
    <t>114,90K</t>
  </si>
  <si>
    <t>153,70K</t>
  </si>
  <si>
    <t>96,32K</t>
  </si>
  <si>
    <t>122,38K</t>
  </si>
  <si>
    <t>221,54K</t>
  </si>
  <si>
    <t>114,57K</t>
  </si>
  <si>
    <t>67,25K</t>
  </si>
  <si>
    <t>53,48K</t>
  </si>
  <si>
    <t>94,55K</t>
  </si>
  <si>
    <t>76,90K</t>
  </si>
  <si>
    <t>56,85K</t>
  </si>
  <si>
    <t>162,45K</t>
  </si>
  <si>
    <t>111,38K</t>
  </si>
  <si>
    <t>122,77K</t>
  </si>
  <si>
    <t>77,37K</t>
  </si>
  <si>
    <t>81,76K</t>
  </si>
  <si>
    <t>109,94K</t>
  </si>
  <si>
    <t>78,77K</t>
  </si>
  <si>
    <t>52,83K</t>
  </si>
  <si>
    <t>54,39K</t>
  </si>
  <si>
    <t>50,96K</t>
  </si>
  <si>
    <t>44,03K</t>
  </si>
  <si>
    <t>55,52K</t>
  </si>
  <si>
    <t>38,18K</t>
  </si>
  <si>
    <t>69,75K</t>
  </si>
  <si>
    <t>43,34K</t>
  </si>
  <si>
    <t>64,32K</t>
  </si>
  <si>
    <t>63,63K</t>
  </si>
  <si>
    <t>51,17K</t>
  </si>
  <si>
    <t>43,47K</t>
  </si>
  <si>
    <t>41,18K</t>
  </si>
  <si>
    <t>68,55K</t>
  </si>
  <si>
    <t>42,94K</t>
  </si>
  <si>
    <t>47,87K</t>
  </si>
  <si>
    <t>39,19K</t>
  </si>
  <si>
    <t>28,28K</t>
  </si>
  <si>
    <t>42,10K</t>
  </si>
  <si>
    <t>66,67K</t>
  </si>
  <si>
    <t>32,19K</t>
  </si>
  <si>
    <t>32,04K</t>
  </si>
  <si>
    <t>38,73K</t>
  </si>
  <si>
    <t>49,27K</t>
  </si>
  <si>
    <t>58,81K</t>
  </si>
  <si>
    <t>35,61K</t>
  </si>
  <si>
    <t>42,56K</t>
  </si>
  <si>
    <t>52,22K</t>
  </si>
  <si>
    <t>80,68K</t>
  </si>
  <si>
    <t>66,69K</t>
  </si>
  <si>
    <t>62,49K</t>
  </si>
  <si>
    <t>74,68K</t>
  </si>
  <si>
    <t>51,24K</t>
  </si>
  <si>
    <t>65,07K</t>
  </si>
  <si>
    <t>61,04K</t>
  </si>
  <si>
    <t>64,04K</t>
  </si>
  <si>
    <t>78,44K</t>
  </si>
  <si>
    <t>72,24K</t>
  </si>
  <si>
    <t>56,56K</t>
  </si>
  <si>
    <t>87,12K</t>
  </si>
  <si>
    <t>54,90K</t>
  </si>
  <si>
    <t>88,22K</t>
  </si>
  <si>
    <t>90,45K</t>
  </si>
  <si>
    <t>60,63K</t>
  </si>
  <si>
    <t>65,04K</t>
  </si>
  <si>
    <t>43,10K</t>
  </si>
  <si>
    <t>47,76K</t>
  </si>
  <si>
    <t>64,57K</t>
  </si>
  <si>
    <t>75,91K</t>
  </si>
  <si>
    <t>71,47K</t>
  </si>
  <si>
    <t>46,32K</t>
  </si>
  <si>
    <t>41,65K</t>
  </si>
  <si>
    <t>75,09K</t>
  </si>
  <si>
    <t>86,82K</t>
  </si>
  <si>
    <t>49,86K</t>
  </si>
  <si>
    <t>63,13K</t>
  </si>
  <si>
    <t>71,67K</t>
  </si>
  <si>
    <t>102,76K</t>
  </si>
  <si>
    <t>62,08K</t>
  </si>
  <si>
    <t>73,78K</t>
  </si>
  <si>
    <t>58,39K</t>
  </si>
  <si>
    <t>54,37K</t>
  </si>
  <si>
    <t>56,42K</t>
  </si>
  <si>
    <t>142,78K</t>
  </si>
  <si>
    <t>202,39K</t>
  </si>
  <si>
    <t>182,28K</t>
  </si>
  <si>
    <t>111,99K</t>
  </si>
  <si>
    <t>253,67K</t>
  </si>
  <si>
    <t>138,90K</t>
  </si>
  <si>
    <t>154,86K</t>
  </si>
  <si>
    <t>139,82K</t>
  </si>
  <si>
    <t>157,04K</t>
  </si>
  <si>
    <t>212,52K</t>
  </si>
  <si>
    <t>236,12K</t>
  </si>
  <si>
    <t>283,92K</t>
  </si>
  <si>
    <t>355,28K</t>
  </si>
  <si>
    <t>241,93K</t>
  </si>
  <si>
    <t>245,90K</t>
  </si>
  <si>
    <t>223,22K</t>
  </si>
  <si>
    <t>213,36K</t>
  </si>
  <si>
    <t>153,75K</t>
  </si>
  <si>
    <t>160,04K</t>
  </si>
  <si>
    <t>100,45K</t>
  </si>
  <si>
    <t>137,13K</t>
  </si>
  <si>
    <t>131,42K</t>
  </si>
  <si>
    <t>103,77K</t>
  </si>
  <si>
    <t>115,76K</t>
  </si>
  <si>
    <t>126,39K</t>
  </si>
  <si>
    <t>125,57K</t>
  </si>
  <si>
    <t>114,60K</t>
  </si>
  <si>
    <t>60,07K</t>
  </si>
  <si>
    <t>86,96K</t>
  </si>
  <si>
    <t>60,57K</t>
  </si>
  <si>
    <t>60,45K</t>
  </si>
  <si>
    <t>63,70K</t>
  </si>
  <si>
    <t>95,31K</t>
  </si>
  <si>
    <t>53,09K</t>
  </si>
  <si>
    <t>109,44K</t>
  </si>
  <si>
    <t>151,99K</t>
  </si>
  <si>
    <t>159,01K</t>
  </si>
  <si>
    <t>92,92K</t>
  </si>
  <si>
    <t>79,19K</t>
  </si>
  <si>
    <t>90,77K</t>
  </si>
  <si>
    <t>71,45K</t>
  </si>
  <si>
    <t>66,34K</t>
  </si>
  <si>
    <t>72,23K</t>
  </si>
  <si>
    <t>59,07K</t>
  </si>
  <si>
    <t>46,73K</t>
  </si>
  <si>
    <t>74,75K</t>
  </si>
  <si>
    <t>94,21K</t>
  </si>
  <si>
    <t>63,47K</t>
  </si>
  <si>
    <t>72,42K</t>
  </si>
  <si>
    <t>50,59K</t>
  </si>
  <si>
    <t>57,37K</t>
  </si>
  <si>
    <t>77,69K</t>
  </si>
  <si>
    <t>74,44K</t>
  </si>
  <si>
    <t>52,73K</t>
  </si>
  <si>
    <t>52,48K</t>
  </si>
  <si>
    <t>102,57K</t>
  </si>
  <si>
    <t>80,57K</t>
  </si>
  <si>
    <t>60,02K</t>
  </si>
  <si>
    <t>101,89K</t>
  </si>
  <si>
    <t>107,65K</t>
  </si>
  <si>
    <t>114,86K</t>
  </si>
  <si>
    <t>87,44K</t>
  </si>
  <si>
    <t>76,99K</t>
  </si>
  <si>
    <t>62,74K</t>
  </si>
  <si>
    <t>60,87K</t>
  </si>
  <si>
    <t>57,85K</t>
  </si>
  <si>
    <t>82,57K</t>
  </si>
  <si>
    <t>94,81K</t>
  </si>
  <si>
    <t>76,35K</t>
  </si>
  <si>
    <t>106,07K</t>
  </si>
  <si>
    <t>57,05K</t>
  </si>
  <si>
    <t>94,53K</t>
  </si>
  <si>
    <t>89,39K</t>
  </si>
  <si>
    <t>76,79K</t>
  </si>
  <si>
    <t>73,44K</t>
  </si>
  <si>
    <t>68,53K</t>
  </si>
  <si>
    <t>58,83K</t>
  </si>
  <si>
    <t>84,50K</t>
  </si>
  <si>
    <t>58,69K</t>
  </si>
  <si>
    <t>50,25K</t>
  </si>
  <si>
    <t>62,40K</t>
  </si>
  <si>
    <t>97,98K</t>
  </si>
  <si>
    <t>97,95K</t>
  </si>
  <si>
    <t>70,35K</t>
  </si>
  <si>
    <t>108,02K</t>
  </si>
  <si>
    <t>65,50K</t>
  </si>
  <si>
    <t>35,14K</t>
  </si>
  <si>
    <t>64,31K</t>
  </si>
  <si>
    <t>47,68K</t>
  </si>
  <si>
    <t>39,62K</t>
  </si>
  <si>
    <t>67,46K</t>
  </si>
  <si>
    <t>129,36K</t>
  </si>
  <si>
    <t>69,49K</t>
  </si>
  <si>
    <t>186,37K</t>
  </si>
  <si>
    <t>65,92K</t>
  </si>
  <si>
    <t>58,51K</t>
  </si>
  <si>
    <t>84,24K</t>
  </si>
  <si>
    <t>106,18K</t>
  </si>
  <si>
    <t>80,82K</t>
  </si>
  <si>
    <t>59,50K</t>
  </si>
  <si>
    <t>75,21K</t>
  </si>
  <si>
    <t>52,74K</t>
  </si>
  <si>
    <t>96,67K</t>
  </si>
  <si>
    <t>190,87K</t>
  </si>
  <si>
    <t>187,56K</t>
  </si>
  <si>
    <t>208,63K</t>
  </si>
  <si>
    <t>93,58K</t>
  </si>
  <si>
    <t>104,91K</t>
  </si>
  <si>
    <t>90,32K</t>
  </si>
  <si>
    <t>81,81K</t>
  </si>
  <si>
    <t>71,17K</t>
  </si>
  <si>
    <t>62,16K</t>
  </si>
  <si>
    <t>53,47K</t>
  </si>
  <si>
    <t>73,03K</t>
  </si>
  <si>
    <t>84,30K</t>
  </si>
  <si>
    <t>96,26K</t>
  </si>
  <si>
    <t>104,38K</t>
  </si>
  <si>
    <t>73,50K</t>
  </si>
  <si>
    <t>116,75K</t>
  </si>
  <si>
    <t>82,14K</t>
  </si>
  <si>
    <t>82,46K</t>
  </si>
  <si>
    <t>95,00K</t>
  </si>
  <si>
    <t>79,26K</t>
  </si>
  <si>
    <t>69,61K</t>
  </si>
  <si>
    <t>53,39K</t>
  </si>
  <si>
    <t>55,08K</t>
  </si>
  <si>
    <t>56,88K</t>
  </si>
  <si>
    <t>47,61K</t>
  </si>
  <si>
    <t>55,13K</t>
  </si>
  <si>
    <t>76,40K</t>
  </si>
  <si>
    <t>51,79K</t>
  </si>
  <si>
    <t>42,91K</t>
  </si>
  <si>
    <t>86,47K</t>
  </si>
  <si>
    <t>42,08K</t>
  </si>
  <si>
    <t>72,66K</t>
  </si>
  <si>
    <t>65,79K</t>
  </si>
  <si>
    <t>63,17K</t>
  </si>
  <si>
    <t>53,64K</t>
  </si>
  <si>
    <t>44,35K</t>
  </si>
  <si>
    <t>65,65K</t>
  </si>
  <si>
    <t>60,53K</t>
  </si>
  <si>
    <t>77,44K</t>
  </si>
  <si>
    <t>56,47K</t>
  </si>
  <si>
    <t>72,56K</t>
  </si>
  <si>
    <t>58,50K</t>
  </si>
  <si>
    <t>70,92K</t>
  </si>
  <si>
    <t>84,13K</t>
  </si>
  <si>
    <t>63,84K</t>
  </si>
  <si>
    <t>65,27K</t>
  </si>
  <si>
    <t>62,06K</t>
  </si>
  <si>
    <t>81,33K</t>
  </si>
  <si>
    <t>55,51K</t>
  </si>
  <si>
    <t>76,95K</t>
  </si>
  <si>
    <t>40,71K</t>
  </si>
  <si>
    <t>90,93K</t>
  </si>
  <si>
    <t>80,78K</t>
  </si>
  <si>
    <t>62,13K</t>
  </si>
  <si>
    <t>77,86K</t>
  </si>
  <si>
    <t>58,61K</t>
  </si>
  <si>
    <t>77,21K</t>
  </si>
  <si>
    <t>109,07K</t>
  </si>
  <si>
    <t>55,96K</t>
  </si>
  <si>
    <t>78,64K</t>
  </si>
  <si>
    <t>69,31K</t>
  </si>
  <si>
    <t>65,97K</t>
  </si>
  <si>
    <t>56,81K</t>
  </si>
  <si>
    <t>66,46K</t>
  </si>
  <si>
    <t>53,89K</t>
  </si>
  <si>
    <t>106,48K</t>
  </si>
  <si>
    <t>76,80K</t>
  </si>
  <si>
    <t>70,19K</t>
  </si>
  <si>
    <t>64,18K</t>
  </si>
  <si>
    <t>82,06K</t>
  </si>
  <si>
    <t>75,34K</t>
  </si>
  <si>
    <t>74,31K</t>
  </si>
  <si>
    <t>156,97K</t>
  </si>
  <si>
    <t>88,18K</t>
  </si>
  <si>
    <t>54,12K</t>
  </si>
  <si>
    <t>66,10K</t>
  </si>
  <si>
    <t>53,06K</t>
  </si>
  <si>
    <t>49,17K</t>
  </si>
  <si>
    <t>75,84K</t>
  </si>
  <si>
    <t>44,64K</t>
  </si>
  <si>
    <t>54,77K</t>
  </si>
  <si>
    <t>57,34K</t>
  </si>
  <si>
    <t>50,06K</t>
  </si>
  <si>
    <t>59,52K</t>
  </si>
  <si>
    <t>45,50K</t>
  </si>
  <si>
    <t>50,73K</t>
  </si>
  <si>
    <t>65,10K</t>
  </si>
  <si>
    <t>35,26K</t>
  </si>
  <si>
    <t>78,28K</t>
  </si>
  <si>
    <t>64,68K</t>
  </si>
  <si>
    <t>50,53K</t>
  </si>
  <si>
    <t>48,08K</t>
  </si>
  <si>
    <t>39,88K</t>
  </si>
  <si>
    <t>80,91K</t>
  </si>
  <si>
    <t>54,85K</t>
  </si>
  <si>
    <t>70,55K</t>
  </si>
  <si>
    <t>43,33K</t>
  </si>
  <si>
    <t>45,85K</t>
  </si>
  <si>
    <t>72,93K</t>
  </si>
  <si>
    <t>42,43K</t>
  </si>
  <si>
    <t>113,95K</t>
  </si>
  <si>
    <t>62,93K</t>
  </si>
  <si>
    <t>70,05K</t>
  </si>
  <si>
    <t>66,98K</t>
  </si>
  <si>
    <t>53,76K</t>
  </si>
  <si>
    <t>42,59K</t>
  </si>
  <si>
    <t>46,29K</t>
  </si>
  <si>
    <t>51,43K</t>
  </si>
  <si>
    <t>55,72K</t>
  </si>
  <si>
    <t>52,17K</t>
  </si>
  <si>
    <t>56,58K</t>
  </si>
  <si>
    <t>63,31K</t>
  </si>
  <si>
    <t>44,56K</t>
  </si>
  <si>
    <t>48,67K</t>
  </si>
  <si>
    <t>36,86K</t>
  </si>
  <si>
    <t>67,19K</t>
  </si>
  <si>
    <t>45,43K</t>
  </si>
  <si>
    <t>43,41K</t>
  </si>
  <si>
    <t>39,09K</t>
  </si>
  <si>
    <t>42,44K</t>
  </si>
  <si>
    <t>32,69K</t>
  </si>
  <si>
    <t>90,20K</t>
  </si>
  <si>
    <t>66,39K</t>
  </si>
  <si>
    <t>41,11K</t>
  </si>
  <si>
    <t>51,99K</t>
  </si>
  <si>
    <t>43,74K</t>
  </si>
  <si>
    <t>41,67K</t>
  </si>
  <si>
    <t>55,49K</t>
  </si>
  <si>
    <t>80,16K</t>
  </si>
  <si>
    <t>66,12K</t>
  </si>
  <si>
    <t>43,51K</t>
  </si>
  <si>
    <t>27,04K</t>
  </si>
  <si>
    <t>38,89K</t>
  </si>
  <si>
    <t>41,56K</t>
  </si>
  <si>
    <t>69,58K</t>
  </si>
  <si>
    <t>42,93K</t>
  </si>
  <si>
    <t>71,90K</t>
  </si>
  <si>
    <t>54,28K</t>
  </si>
  <si>
    <t>52,25K</t>
  </si>
  <si>
    <t>79,07K</t>
  </si>
  <si>
    <t>73,13K</t>
  </si>
  <si>
    <t>58,68K</t>
  </si>
  <si>
    <t>83,28K</t>
  </si>
  <si>
    <t>61,76K</t>
  </si>
  <si>
    <t>48,09K</t>
  </si>
  <si>
    <t>45,96K</t>
  </si>
  <si>
    <t>57,80K</t>
  </si>
  <si>
    <t>63,00K</t>
  </si>
  <si>
    <t>67,16K</t>
  </si>
  <si>
    <t>68,46K</t>
  </si>
  <si>
    <t>73,24K</t>
  </si>
  <si>
    <t>65,11K</t>
  </si>
  <si>
    <t>131,56K</t>
  </si>
  <si>
    <t>82,02K</t>
  </si>
  <si>
    <t>77,00K</t>
  </si>
  <si>
    <t>54,35K</t>
  </si>
  <si>
    <t>63,62K</t>
  </si>
  <si>
    <t>67,98K</t>
  </si>
  <si>
    <t>93,87K</t>
  </si>
  <si>
    <t>54,62K</t>
  </si>
  <si>
    <t>61,28K</t>
  </si>
  <si>
    <t>68,03K</t>
  </si>
  <si>
    <t>65,42K</t>
  </si>
  <si>
    <t>45,19K</t>
  </si>
  <si>
    <t>54,13K</t>
  </si>
  <si>
    <t>38,83K</t>
  </si>
  <si>
    <t>28,91K</t>
  </si>
  <si>
    <t>58,89K</t>
  </si>
  <si>
    <t>43,90K</t>
  </si>
  <si>
    <t>52,45K</t>
  </si>
  <si>
    <t>56,37K</t>
  </si>
  <si>
    <t>39,31K</t>
  </si>
  <si>
    <t>45,67K</t>
  </si>
  <si>
    <t>35,70K</t>
  </si>
  <si>
    <t>33,91K</t>
  </si>
  <si>
    <t>42,75K</t>
  </si>
  <si>
    <t>40,03K</t>
  </si>
  <si>
    <t>30,54K</t>
  </si>
  <si>
    <t>30,39K</t>
  </si>
  <si>
    <t>44,91K</t>
  </si>
  <si>
    <t>41,19K</t>
  </si>
  <si>
    <t>73,89K</t>
  </si>
  <si>
    <t>48,87K</t>
  </si>
  <si>
    <t>55,76K</t>
  </si>
  <si>
    <t>53,38K</t>
  </si>
  <si>
    <t>50,67K</t>
  </si>
  <si>
    <t>73,90K</t>
  </si>
  <si>
    <t>75,61K</t>
  </si>
  <si>
    <t>62,05K</t>
  </si>
  <si>
    <t>53,18K</t>
  </si>
  <si>
    <t>55,62K</t>
  </si>
  <si>
    <t>82,12K</t>
  </si>
  <si>
    <t>63,81K</t>
  </si>
  <si>
    <t>48,40K</t>
  </si>
  <si>
    <t>38,34K</t>
  </si>
  <si>
    <t>55,03K</t>
  </si>
  <si>
    <t>52,51K</t>
  </si>
  <si>
    <t>52,98K</t>
  </si>
  <si>
    <t>77,91K</t>
  </si>
  <si>
    <t>77,04K</t>
  </si>
  <si>
    <t>61,87K</t>
  </si>
  <si>
    <t>60,05K</t>
  </si>
  <si>
    <t>52,87K</t>
  </si>
  <si>
    <t>62,69K</t>
  </si>
  <si>
    <t>107,56K</t>
  </si>
  <si>
    <t>67,32K</t>
  </si>
  <si>
    <t>68,56K</t>
  </si>
  <si>
    <t>69,47K</t>
  </si>
  <si>
    <t>57,47K</t>
  </si>
  <si>
    <t>70,86K</t>
  </si>
  <si>
    <t>127,21K</t>
  </si>
  <si>
    <t>87,11K</t>
  </si>
  <si>
    <t>55,85K</t>
  </si>
  <si>
    <t>51,55K</t>
  </si>
  <si>
    <t>47,79K</t>
  </si>
  <si>
    <t>46,30K</t>
  </si>
  <si>
    <t>40,14K</t>
  </si>
  <si>
    <t>38,06K</t>
  </si>
  <si>
    <t>45,76K</t>
  </si>
  <si>
    <t>34,15K</t>
  </si>
  <si>
    <t>61,00K</t>
  </si>
  <si>
    <t>37,91K</t>
  </si>
  <si>
    <t>76,19K</t>
  </si>
  <si>
    <t>38,79K</t>
  </si>
  <si>
    <t>36,61K</t>
  </si>
  <si>
    <t>44,25K</t>
  </si>
  <si>
    <t>49,22K</t>
  </si>
  <si>
    <t>47,18K</t>
  </si>
  <si>
    <t>48,61K</t>
  </si>
  <si>
    <t>50,94K</t>
  </si>
  <si>
    <t>74,87K</t>
  </si>
  <si>
    <t>62,66K</t>
  </si>
  <si>
    <t>51,61K</t>
  </si>
  <si>
    <t>65,30K</t>
  </si>
  <si>
    <t>44,95K</t>
  </si>
  <si>
    <t>65,63K</t>
  </si>
  <si>
    <t>45,15K</t>
  </si>
  <si>
    <t>37,58K</t>
  </si>
  <si>
    <t>57,59K</t>
  </si>
  <si>
    <t>55,33K</t>
  </si>
  <si>
    <t>43,73K</t>
  </si>
  <si>
    <t>58,06K</t>
  </si>
  <si>
    <t>71,88K</t>
  </si>
  <si>
    <t>59,54K</t>
  </si>
  <si>
    <t>78,50K</t>
  </si>
  <si>
    <t>80,77K</t>
  </si>
  <si>
    <t>82,00K</t>
  </si>
  <si>
    <t>39,23K</t>
  </si>
  <si>
    <t>33,87K</t>
  </si>
  <si>
    <t>41,28K</t>
  </si>
  <si>
    <t>34,79K</t>
  </si>
  <si>
    <t>36,83K</t>
  </si>
  <si>
    <t>32,08K</t>
  </si>
  <si>
    <t>29,70K</t>
  </si>
  <si>
    <t>38,41K</t>
  </si>
  <si>
    <t>51,15K</t>
  </si>
  <si>
    <t>35,94K</t>
  </si>
  <si>
    <t>37,47K</t>
  </si>
  <si>
    <t>51,45K</t>
  </si>
  <si>
    <t>44,94K</t>
  </si>
  <si>
    <t>78,78K</t>
  </si>
  <si>
    <t>59,21K</t>
  </si>
  <si>
    <t>70,54K</t>
  </si>
  <si>
    <t>52,32K</t>
  </si>
  <si>
    <t>55,92K</t>
  </si>
  <si>
    <t>71,94K</t>
  </si>
  <si>
    <t>72,54K</t>
  </si>
  <si>
    <t>42,01K</t>
  </si>
  <si>
    <t>53,00K</t>
  </si>
  <si>
    <t>61,10K</t>
  </si>
  <si>
    <t>75,67K</t>
  </si>
  <si>
    <t>66,25K</t>
  </si>
  <si>
    <t>42,48K</t>
  </si>
  <si>
    <t>43,11K</t>
  </si>
  <si>
    <t>53,27K</t>
  </si>
  <si>
    <t>63,75K</t>
  </si>
  <si>
    <t>82,27K</t>
  </si>
  <si>
    <t>53,07K</t>
  </si>
  <si>
    <t>36,80K</t>
  </si>
  <si>
    <t>42,47K</t>
  </si>
  <si>
    <t>58,42K</t>
  </si>
  <si>
    <t>47,28K</t>
  </si>
  <si>
    <t>40,82K</t>
  </si>
  <si>
    <t>62,26K</t>
  </si>
  <si>
    <t>86,52K</t>
  </si>
  <si>
    <t>64,59K</t>
  </si>
  <si>
    <t>64,54K</t>
  </si>
  <si>
    <t>47,27K</t>
  </si>
  <si>
    <t>49,82K</t>
  </si>
  <si>
    <t>53,85K</t>
  </si>
  <si>
    <t>65,02K</t>
  </si>
  <si>
    <t>56,53K</t>
  </si>
  <si>
    <t>46,59K</t>
  </si>
  <si>
    <t>41,92K</t>
  </si>
  <si>
    <t>49,57K</t>
  </si>
  <si>
    <t>46,16K</t>
  </si>
  <si>
    <t>55,57K</t>
  </si>
  <si>
    <t>52,28K</t>
  </si>
  <si>
    <t>42,82K</t>
  </si>
  <si>
    <t>46,31K</t>
  </si>
  <si>
    <t>53,72K</t>
  </si>
  <si>
    <t>58,00K</t>
  </si>
  <si>
    <t>63,46K</t>
  </si>
  <si>
    <t>66,96K</t>
  </si>
  <si>
    <t>62,96K</t>
  </si>
  <si>
    <t>49,64K</t>
  </si>
  <si>
    <t>53,20K</t>
  </si>
  <si>
    <t>43,86K</t>
  </si>
  <si>
    <t>76,43K</t>
  </si>
  <si>
    <t>47,43K</t>
  </si>
  <si>
    <t>50,66K</t>
  </si>
  <si>
    <t>58,15K</t>
  </si>
  <si>
    <t>42,27K</t>
  </si>
  <si>
    <t>70,73K</t>
  </si>
  <si>
    <t>63,37K</t>
  </si>
  <si>
    <t>82,52K</t>
  </si>
  <si>
    <t>63,09K</t>
  </si>
  <si>
    <t>83,80K</t>
  </si>
  <si>
    <t>59,25K</t>
  </si>
  <si>
    <t>53,86K</t>
  </si>
  <si>
    <t>80,04K</t>
  </si>
  <si>
    <t>49,26K</t>
  </si>
  <si>
    <t>60,40K</t>
  </si>
  <si>
    <t>57,22K</t>
  </si>
  <si>
    <t>73,30K</t>
  </si>
  <si>
    <t>39,82K</t>
  </si>
  <si>
    <t>36,44K</t>
  </si>
  <si>
    <t>57,78K</t>
  </si>
  <si>
    <t>85,07K</t>
  </si>
  <si>
    <t>54,44K</t>
  </si>
  <si>
    <t>55,63K</t>
  </si>
  <si>
    <t>58,01K</t>
  </si>
  <si>
    <t>51,84K</t>
  </si>
  <si>
    <t>79,39K</t>
  </si>
  <si>
    <t>63,23K</t>
  </si>
  <si>
    <t>71,23K</t>
  </si>
  <si>
    <t>112,10K</t>
  </si>
  <si>
    <t>95,95K</t>
  </si>
  <si>
    <t>80,56K</t>
  </si>
  <si>
    <t>94,52K</t>
  </si>
  <si>
    <t>71,72K</t>
  </si>
  <si>
    <t>68,30K</t>
  </si>
  <si>
    <t>45,48K</t>
  </si>
  <si>
    <t>56,89K</t>
  </si>
  <si>
    <t>63,51K</t>
  </si>
  <si>
    <t>73,64K</t>
  </si>
  <si>
    <t>74,94K</t>
  </si>
  <si>
    <t>51,54K</t>
  </si>
  <si>
    <t>44,88K</t>
  </si>
  <si>
    <t>53,44K</t>
  </si>
  <si>
    <t>51,52K</t>
  </si>
  <si>
    <t>61,90K</t>
  </si>
  <si>
    <t>51,26K</t>
  </si>
  <si>
    <t>72,52K</t>
  </si>
  <si>
    <t>36,77K</t>
  </si>
  <si>
    <t>46,20K</t>
  </si>
  <si>
    <t>31,56K</t>
  </si>
  <si>
    <t>45,23K</t>
  </si>
  <si>
    <t>34,29K</t>
  </si>
  <si>
    <t>36,90K</t>
  </si>
  <si>
    <t>40,89K</t>
  </si>
  <si>
    <t>69,96K</t>
  </si>
  <si>
    <t>62,31K</t>
  </si>
  <si>
    <t>60,08K</t>
  </si>
  <si>
    <t>55,42K</t>
  </si>
  <si>
    <t>42,92K</t>
  </si>
  <si>
    <t>57,03K</t>
  </si>
  <si>
    <t>73,11K</t>
  </si>
  <si>
    <t>59,83K</t>
  </si>
  <si>
    <t>86,02K</t>
  </si>
  <si>
    <t>82,10K</t>
  </si>
  <si>
    <t>66,63K</t>
  </si>
  <si>
    <t>56,90K</t>
  </si>
  <si>
    <t>51,75K</t>
  </si>
  <si>
    <t>85,57K</t>
  </si>
  <si>
    <t>65,13K</t>
  </si>
  <si>
    <t>65,33K</t>
  </si>
  <si>
    <t>110,84K</t>
  </si>
  <si>
    <t>111,87K</t>
  </si>
  <si>
    <t>72,08K</t>
  </si>
  <si>
    <t>56,97K</t>
  </si>
  <si>
    <t>67,99K</t>
  </si>
  <si>
    <t>68,26K</t>
  </si>
  <si>
    <t>73,82K</t>
  </si>
  <si>
    <t>56,29K</t>
  </si>
  <si>
    <t>67,93K</t>
  </si>
  <si>
    <t>86,91K</t>
  </si>
  <si>
    <t>50,98K</t>
  </si>
  <si>
    <t>52,99K</t>
  </si>
  <si>
    <t>53,88K</t>
  </si>
  <si>
    <t>61,59K</t>
  </si>
  <si>
    <t>57,92K</t>
  </si>
  <si>
    <t>45,16K</t>
  </si>
  <si>
    <t>53,40K</t>
  </si>
  <si>
    <t>69,32K</t>
  </si>
  <si>
    <t>60,89K</t>
  </si>
  <si>
    <t>47,40K</t>
  </si>
  <si>
    <t>73,69K</t>
  </si>
  <si>
    <t>75,57K</t>
  </si>
  <si>
    <t>89,43K</t>
  </si>
  <si>
    <t>56,94K</t>
  </si>
  <si>
    <t>68,62K</t>
  </si>
  <si>
    <t>45,06K</t>
  </si>
  <si>
    <t>56,69K</t>
  </si>
  <si>
    <t>60,54K</t>
  </si>
  <si>
    <t>65,53K</t>
  </si>
  <si>
    <t>42,18K</t>
  </si>
  <si>
    <t>42,58K</t>
  </si>
  <si>
    <t>67,10K</t>
  </si>
  <si>
    <t>59,67K</t>
  </si>
  <si>
    <t>80,73K</t>
  </si>
  <si>
    <t>66,17K</t>
  </si>
  <si>
    <t>54,83K</t>
  </si>
  <si>
    <t>89,02K</t>
  </si>
  <si>
    <t>75,42K</t>
  </si>
  <si>
    <t>94,54K</t>
  </si>
  <si>
    <t>48,69K</t>
  </si>
  <si>
    <t>64,38K</t>
  </si>
  <si>
    <t>61,58K</t>
  </si>
  <si>
    <t>64,25K</t>
  </si>
  <si>
    <t>52,18K</t>
  </si>
  <si>
    <t>73,18K</t>
  </si>
  <si>
    <t>68,60K</t>
  </si>
  <si>
    <t>45,73K</t>
  </si>
  <si>
    <t>77,95K</t>
  </si>
  <si>
    <t>107,00K</t>
  </si>
  <si>
    <t>72,51K</t>
  </si>
  <si>
    <t>63,67K</t>
  </si>
  <si>
    <t>49,65K</t>
  </si>
  <si>
    <t>46,40K</t>
  </si>
  <si>
    <t>56,31K</t>
  </si>
  <si>
    <t>52,10K</t>
  </si>
  <si>
    <t>63,12K</t>
  </si>
  <si>
    <t>59,82K</t>
  </si>
  <si>
    <t>79,06K</t>
  </si>
  <si>
    <t>76,73K</t>
  </si>
  <si>
    <t>76,91K</t>
  </si>
  <si>
    <t>44,28K</t>
  </si>
  <si>
    <t>73,33K</t>
  </si>
  <si>
    <t>84,07K</t>
  </si>
  <si>
    <t>63,77K</t>
  </si>
  <si>
    <t>61,20K</t>
  </si>
  <si>
    <t>90,80K</t>
  </si>
  <si>
    <t>62,35K</t>
  </si>
  <si>
    <t>110,46K</t>
  </si>
  <si>
    <t>78,46K</t>
  </si>
  <si>
    <t>57,67K</t>
  </si>
  <si>
    <t>53,21K</t>
  </si>
  <si>
    <t>48,75K</t>
  </si>
  <si>
    <t>34,71K</t>
  </si>
  <si>
    <t>55,88K</t>
  </si>
  <si>
    <t>81,91K</t>
  </si>
  <si>
    <t>61,14K</t>
  </si>
  <si>
    <t>48,81K</t>
  </si>
  <si>
    <t>82,58K</t>
  </si>
  <si>
    <t>90,28K</t>
  </si>
  <si>
    <t>73,14K</t>
  </si>
  <si>
    <t>60,83K</t>
  </si>
  <si>
    <t>43,19K</t>
  </si>
  <si>
    <t>59,02K</t>
  </si>
  <si>
    <t>36,91K</t>
  </si>
  <si>
    <t>49,47K</t>
  </si>
  <si>
    <t>56,99K</t>
  </si>
  <si>
    <t>83,21K</t>
  </si>
  <si>
    <t>52,95K</t>
  </si>
  <si>
    <t>73,95K</t>
  </si>
  <si>
    <t>63,14K</t>
  </si>
  <si>
    <t>82,66K</t>
  </si>
  <si>
    <t>69,55K</t>
  </si>
  <si>
    <t>52,69K</t>
  </si>
  <si>
    <t>61,48K</t>
  </si>
  <si>
    <t>46,54K</t>
  </si>
  <si>
    <t>66,43K</t>
  </si>
  <si>
    <t>54,78K</t>
  </si>
  <si>
    <t>53,82K</t>
  </si>
  <si>
    <t>89,90K</t>
  </si>
  <si>
    <t>68,76K</t>
  </si>
  <si>
    <t>56,33K</t>
  </si>
  <si>
    <t>52,92K</t>
  </si>
  <si>
    <t>67,03K</t>
  </si>
  <si>
    <t>61,53K</t>
  </si>
  <si>
    <t>91,77K</t>
  </si>
  <si>
    <t>67,14K</t>
  </si>
  <si>
    <t>50,65K</t>
  </si>
  <si>
    <t>52,75K</t>
  </si>
  <si>
    <t>40,98K</t>
  </si>
  <si>
    <t>49,96K</t>
  </si>
  <si>
    <t>84,60K</t>
  </si>
  <si>
    <t>67,11K</t>
  </si>
  <si>
    <t>40,41K</t>
  </si>
  <si>
    <t>57,73K</t>
  </si>
  <si>
    <t>73,84K</t>
  </si>
  <si>
    <t>52,63K</t>
  </si>
  <si>
    <t>66,47K</t>
  </si>
  <si>
    <t>67,24K</t>
  </si>
  <si>
    <t>112,99K</t>
  </si>
  <si>
    <t>82,34K</t>
  </si>
  <si>
    <t>68,61K</t>
  </si>
  <si>
    <t>57,84K</t>
  </si>
  <si>
    <t>84,53K</t>
  </si>
  <si>
    <t>43,79K</t>
  </si>
  <si>
    <t>45,00K</t>
  </si>
  <si>
    <t>51,30K</t>
  </si>
  <si>
    <t>76,26K</t>
  </si>
  <si>
    <t>48,47K</t>
  </si>
  <si>
    <t>58,63K</t>
  </si>
  <si>
    <t>82,80K</t>
  </si>
  <si>
    <t>48,11K</t>
  </si>
  <si>
    <t>55,00K</t>
  </si>
  <si>
    <t>59,31K</t>
  </si>
  <si>
    <t>46,57K</t>
  </si>
  <si>
    <t>54,68K</t>
  </si>
  <si>
    <t>54,80K</t>
  </si>
  <si>
    <t>45,12K</t>
  </si>
  <si>
    <t>76,96K</t>
  </si>
  <si>
    <t>79,03K</t>
  </si>
  <si>
    <t>74,59K</t>
  </si>
  <si>
    <t>63,95K</t>
  </si>
  <si>
    <t>76,30K</t>
  </si>
  <si>
    <t>72,28K</t>
  </si>
  <si>
    <t>83,27K</t>
  </si>
  <si>
    <t>54,40K</t>
  </si>
  <si>
    <t>65,70K</t>
  </si>
  <si>
    <t>66,33K</t>
  </si>
  <si>
    <t>59,63K</t>
  </si>
  <si>
    <t>67,40K</t>
  </si>
  <si>
    <t>51,62K</t>
  </si>
  <si>
    <t>70,00K</t>
  </si>
  <si>
    <t>59,37K</t>
  </si>
  <si>
    <t>57,75K</t>
  </si>
  <si>
    <t>87,08K</t>
  </si>
  <si>
    <t>55,16K</t>
  </si>
  <si>
    <t>81,89K</t>
  </si>
  <si>
    <t>97,58K</t>
  </si>
  <si>
    <t>57,00K</t>
  </si>
  <si>
    <t>37,54K</t>
  </si>
  <si>
    <t>46,98K</t>
  </si>
  <si>
    <t>46,76K</t>
  </si>
  <si>
    <t>48,68K</t>
  </si>
  <si>
    <t>27,81K</t>
  </si>
  <si>
    <t>43,84K</t>
  </si>
  <si>
    <t>35,69K</t>
  </si>
  <si>
    <t>46,55K</t>
  </si>
  <si>
    <t>47,42K</t>
  </si>
  <si>
    <t>86,46K</t>
  </si>
  <si>
    <t>62,46K</t>
  </si>
  <si>
    <t>42,90K</t>
  </si>
  <si>
    <t>44,06K</t>
  </si>
  <si>
    <t>81,74K</t>
  </si>
  <si>
    <t>72,37K</t>
  </si>
  <si>
    <t>61,42K</t>
  </si>
  <si>
    <t>46,15K</t>
  </si>
  <si>
    <t>41,45K</t>
  </si>
  <si>
    <t>49,42K</t>
  </si>
  <si>
    <t>77,93K</t>
  </si>
  <si>
    <t>57,18K</t>
  </si>
  <si>
    <t>66,91K</t>
  </si>
  <si>
    <t>85,16K</t>
  </si>
  <si>
    <t>90,02K</t>
  </si>
  <si>
    <t>43,92K</t>
  </si>
  <si>
    <t>58,21K</t>
  </si>
  <si>
    <t>68,12K</t>
  </si>
  <si>
    <t>49,62K</t>
  </si>
  <si>
    <t>93,53K</t>
  </si>
  <si>
    <t>80,92K</t>
  </si>
  <si>
    <t>96,31K</t>
  </si>
  <si>
    <t>76,89K</t>
  </si>
  <si>
    <t>98,23K</t>
  </si>
  <si>
    <t>57,99K</t>
  </si>
  <si>
    <t>52,30K</t>
  </si>
  <si>
    <t>38,67K</t>
  </si>
  <si>
    <t>44,45K</t>
  </si>
  <si>
    <t>56,32K</t>
  </si>
  <si>
    <t>71,03K</t>
  </si>
  <si>
    <t>98,92K</t>
  </si>
  <si>
    <t>83,30K</t>
  </si>
  <si>
    <t>85,24K</t>
  </si>
  <si>
    <t>85,10K</t>
  </si>
  <si>
    <t>75,85K</t>
  </si>
  <si>
    <t>79,33K</t>
  </si>
  <si>
    <t>74,03K</t>
  </si>
  <si>
    <t>76,16K</t>
  </si>
  <si>
    <t>49,79K</t>
  </si>
  <si>
    <t>68,27K</t>
  </si>
  <si>
    <t>104,11K</t>
  </si>
  <si>
    <t>57,39K</t>
  </si>
  <si>
    <t>69,88K</t>
  </si>
  <si>
    <t>57,54K</t>
  </si>
  <si>
    <t>74,08K</t>
  </si>
  <si>
    <t>133,45K</t>
  </si>
  <si>
    <t>139,59K</t>
  </si>
  <si>
    <t>122,33K</t>
  </si>
  <si>
    <t>125,25K</t>
  </si>
  <si>
    <t>157,99K</t>
  </si>
  <si>
    <t>89,11K</t>
  </si>
  <si>
    <t>191,81K</t>
  </si>
  <si>
    <t>107,02K</t>
  </si>
  <si>
    <t>102,41K</t>
  </si>
  <si>
    <t>89,50K</t>
  </si>
  <si>
    <t>107,52K</t>
  </si>
  <si>
    <t>70,17K</t>
  </si>
  <si>
    <t>68,25K</t>
  </si>
  <si>
    <t>87,80K</t>
  </si>
  <si>
    <t>64,62K</t>
  </si>
  <si>
    <t>63,28K</t>
  </si>
  <si>
    <t>65,99K</t>
  </si>
  <si>
    <t>47,44K</t>
  </si>
  <si>
    <t>51,14K</t>
  </si>
  <si>
    <t>79,43K</t>
  </si>
  <si>
    <t>77,59K</t>
  </si>
  <si>
    <t>70,50K</t>
  </si>
  <si>
    <t>117,42K</t>
  </si>
  <si>
    <t>91,44K</t>
  </si>
  <si>
    <t>132,93K</t>
  </si>
  <si>
    <t>112,62K</t>
  </si>
  <si>
    <t>93,21K</t>
  </si>
  <si>
    <t>107,27K</t>
  </si>
  <si>
    <t>55,07K</t>
  </si>
  <si>
    <t>142,58K</t>
  </si>
  <si>
    <t>87,06K</t>
  </si>
  <si>
    <t>98,38K</t>
  </si>
  <si>
    <t>112,55K</t>
  </si>
  <si>
    <t>110,38K</t>
  </si>
  <si>
    <t>69,64K</t>
  </si>
  <si>
    <t>95,06K</t>
  </si>
  <si>
    <t>139,79K</t>
  </si>
  <si>
    <t>85,65K</t>
  </si>
  <si>
    <t>109,79K</t>
  </si>
  <si>
    <t>116,61K</t>
  </si>
  <si>
    <t>76,88K</t>
  </si>
  <si>
    <t>71,78K</t>
  </si>
  <si>
    <t>130,79K</t>
  </si>
  <si>
    <t>104,47K</t>
  </si>
  <si>
    <t>81,09K</t>
  </si>
  <si>
    <t>52,02K</t>
  </si>
  <si>
    <t>63,25K</t>
  </si>
  <si>
    <t>51,91K</t>
  </si>
  <si>
    <t>52,27K</t>
  </si>
  <si>
    <t>75,32K</t>
  </si>
  <si>
    <t>100,15K</t>
  </si>
  <si>
    <t>54,92K</t>
  </si>
  <si>
    <t>50,63K</t>
  </si>
  <si>
    <t>79,92K</t>
  </si>
  <si>
    <t>72,45K</t>
  </si>
  <si>
    <t>69,79K</t>
  </si>
  <si>
    <t>97,92K</t>
  </si>
  <si>
    <t>71,73K</t>
  </si>
  <si>
    <t>78,42K</t>
  </si>
  <si>
    <t>54,42K</t>
  </si>
  <si>
    <t>54,91K</t>
  </si>
  <si>
    <t>117,21K</t>
  </si>
  <si>
    <t>61,46K</t>
  </si>
  <si>
    <t>78,38K</t>
  </si>
  <si>
    <t>100,39K</t>
  </si>
  <si>
    <t>64,12K</t>
  </si>
  <si>
    <t>65,06K</t>
  </si>
  <si>
    <t>71,71K</t>
  </si>
  <si>
    <t>61,40K</t>
  </si>
  <si>
    <t>57,95K</t>
  </si>
  <si>
    <t>65,28K</t>
  </si>
  <si>
    <t>87,14K</t>
  </si>
  <si>
    <t>62,56K</t>
  </si>
  <si>
    <t>75,64K</t>
  </si>
  <si>
    <t>51,59K</t>
  </si>
  <si>
    <t>76,46K</t>
  </si>
  <si>
    <t>50,31K</t>
  </si>
  <si>
    <t>42,40K</t>
  </si>
  <si>
    <t>70,38K</t>
  </si>
  <si>
    <t>60,31K</t>
  </si>
  <si>
    <t>91,64K</t>
  </si>
  <si>
    <t>64,09K</t>
  </si>
  <si>
    <t>89,00K</t>
  </si>
  <si>
    <t>47,04K</t>
  </si>
  <si>
    <t>69,78K</t>
  </si>
  <si>
    <t>80,35K</t>
  </si>
  <si>
    <t>84,16K</t>
  </si>
  <si>
    <t>48,35K</t>
  </si>
  <si>
    <t>85,43K</t>
  </si>
  <si>
    <t>77,05K</t>
  </si>
  <si>
    <t>76,17K</t>
  </si>
  <si>
    <t>115,08K</t>
  </si>
  <si>
    <t>85,61K</t>
  </si>
  <si>
    <t>94,20K</t>
  </si>
  <si>
    <t>75,15K</t>
  </si>
  <si>
    <t>61,99K</t>
  </si>
  <si>
    <t>71,06K</t>
  </si>
  <si>
    <t>56,40K</t>
  </si>
  <si>
    <t>86,41K</t>
  </si>
  <si>
    <t>96,75K</t>
  </si>
  <si>
    <t>52,15K</t>
  </si>
  <si>
    <t>55,40K</t>
  </si>
  <si>
    <t>44,08K</t>
  </si>
  <si>
    <t>53,23K</t>
  </si>
  <si>
    <t>50,22K</t>
  </si>
  <si>
    <t>62,55K</t>
  </si>
  <si>
    <t>104,14K</t>
  </si>
  <si>
    <t>86,07K</t>
  </si>
  <si>
    <t>100,74K</t>
  </si>
  <si>
    <t>79,66K</t>
  </si>
  <si>
    <t>69,50K</t>
  </si>
  <si>
    <t>75,73K</t>
  </si>
  <si>
    <t>95,03K</t>
  </si>
  <si>
    <t>50,45K</t>
  </si>
  <si>
    <t>123,53K</t>
  </si>
  <si>
    <t>79,34K</t>
  </si>
  <si>
    <t>73,37K</t>
  </si>
  <si>
    <t>73,67K</t>
  </si>
  <si>
    <t>71,74K</t>
  </si>
  <si>
    <t>56,03K</t>
  </si>
  <si>
    <t>60,77K</t>
  </si>
  <si>
    <t>56,01K</t>
  </si>
  <si>
    <t>62,70K</t>
  </si>
  <si>
    <t>55,22K</t>
  </si>
  <si>
    <t>72,02K</t>
  </si>
  <si>
    <t>54,34K</t>
  </si>
  <si>
    <t>75,75K</t>
  </si>
  <si>
    <t>50,78K</t>
  </si>
  <si>
    <t>61,55K</t>
  </si>
  <si>
    <t>61,73K</t>
  </si>
  <si>
    <t>78,14K</t>
  </si>
  <si>
    <t>93,75K</t>
  </si>
  <si>
    <t>61,92K</t>
  </si>
  <si>
    <t>39,63K</t>
  </si>
  <si>
    <t>49,41K</t>
  </si>
  <si>
    <t>67,60K</t>
  </si>
  <si>
    <t>58,03K</t>
  </si>
  <si>
    <t>16,98K</t>
  </si>
  <si>
    <t>29,44K</t>
  </si>
  <si>
    <t>27,41K</t>
  </si>
  <si>
    <t>32,80K</t>
  </si>
  <si>
    <t>48,06K</t>
  </si>
  <si>
    <t>44,22K</t>
  </si>
  <si>
    <t>39,72K</t>
  </si>
  <si>
    <t>65,41K</t>
  </si>
  <si>
    <t>41,98K</t>
  </si>
  <si>
    <t>48,24K</t>
  </si>
  <si>
    <t>49,19K</t>
  </si>
  <si>
    <t>41,70K</t>
  </si>
  <si>
    <t>66,71K</t>
  </si>
  <si>
    <t>49,24K</t>
  </si>
  <si>
    <t>38,93K</t>
  </si>
  <si>
    <t>60,92K</t>
  </si>
  <si>
    <t>65,34K</t>
  </si>
  <si>
    <t>67,88K</t>
  </si>
  <si>
    <t>79,69K</t>
  </si>
  <si>
    <t>67,81K</t>
  </si>
  <si>
    <t>65,37K</t>
  </si>
  <si>
    <t>56,02K</t>
  </si>
  <si>
    <t>107,87K</t>
  </si>
  <si>
    <t>53,73K</t>
  </si>
  <si>
    <t>56,84K</t>
  </si>
  <si>
    <t>72,76K</t>
  </si>
  <si>
    <t>36,52K</t>
  </si>
  <si>
    <t>63,24K</t>
  </si>
  <si>
    <t>54,60K</t>
  </si>
  <si>
    <t>50,89K</t>
  </si>
  <si>
    <t>65,24K</t>
  </si>
  <si>
    <t>51,41K</t>
  </si>
  <si>
    <t>57,93K</t>
  </si>
  <si>
    <t>57,66K</t>
  </si>
  <si>
    <t>74,49K</t>
  </si>
  <si>
    <t>60,18K</t>
  </si>
  <si>
    <t>57,45K</t>
  </si>
  <si>
    <t>53,51K</t>
  </si>
  <si>
    <t>46,64K</t>
  </si>
  <si>
    <t>44,01K</t>
  </si>
  <si>
    <t>79,60K</t>
  </si>
  <si>
    <t>54,48K</t>
  </si>
  <si>
    <t>63,07K</t>
  </si>
  <si>
    <t>155,00K</t>
  </si>
  <si>
    <t>126,20K</t>
  </si>
  <si>
    <t>76,83K</t>
  </si>
  <si>
    <t>96,91K</t>
  </si>
  <si>
    <t>80,27K</t>
  </si>
  <si>
    <t>92,34K</t>
  </si>
  <si>
    <t>38,57K</t>
  </si>
  <si>
    <t>63,04K</t>
  </si>
  <si>
    <t>50,11K</t>
  </si>
  <si>
    <t>91,54K</t>
  </si>
  <si>
    <t>87,82K</t>
  </si>
  <si>
    <t>53,16K</t>
  </si>
  <si>
    <t>53,15K</t>
  </si>
  <si>
    <t>52,76K</t>
  </si>
  <si>
    <t>53,71K</t>
  </si>
  <si>
    <t>43,16K</t>
  </si>
  <si>
    <t>40,59K</t>
  </si>
  <si>
    <t>54,72K</t>
  </si>
  <si>
    <t>49,63K</t>
  </si>
  <si>
    <t>48,49K</t>
  </si>
  <si>
    <t>32,46K</t>
  </si>
  <si>
    <t>48,17K</t>
  </si>
  <si>
    <t>45,07K</t>
  </si>
  <si>
    <t>40,94K</t>
  </si>
  <si>
    <t>50,29K</t>
  </si>
  <si>
    <t>59,59K</t>
  </si>
  <si>
    <t>60,14K</t>
  </si>
  <si>
    <t>41,20K</t>
  </si>
  <si>
    <t>50,05K</t>
  </si>
  <si>
    <t>41,47K</t>
  </si>
  <si>
    <t>75,48K</t>
  </si>
  <si>
    <t>50,00K</t>
  </si>
  <si>
    <t>113,63K</t>
  </si>
  <si>
    <t>77,36K</t>
  </si>
  <si>
    <t>58,85K</t>
  </si>
  <si>
    <t>60,67K</t>
  </si>
  <si>
    <t>95,42K</t>
  </si>
  <si>
    <t>76,74K</t>
  </si>
  <si>
    <t>48,36K</t>
  </si>
  <si>
    <t>43,12K</t>
  </si>
  <si>
    <t>54,05K</t>
  </si>
  <si>
    <t>41,29K</t>
  </si>
  <si>
    <t>55,65K</t>
  </si>
  <si>
    <t>68,85K</t>
  </si>
  <si>
    <t>55,06K</t>
  </si>
  <si>
    <t>46,79K</t>
  </si>
  <si>
    <t>83,25K</t>
  </si>
  <si>
    <t>101,61K</t>
  </si>
  <si>
    <t>56,77K</t>
  </si>
  <si>
    <t>56,45K</t>
  </si>
  <si>
    <t>44,73K</t>
  </si>
  <si>
    <t>42,30K</t>
  </si>
  <si>
    <t>58,28K</t>
  </si>
  <si>
    <t>64,35K</t>
  </si>
  <si>
    <t>50,60K</t>
  </si>
  <si>
    <t>68,80K</t>
  </si>
  <si>
    <t>42,86K</t>
  </si>
  <si>
    <t>68,24K</t>
  </si>
  <si>
    <t>66,42K</t>
  </si>
  <si>
    <t>51,39K</t>
  </si>
  <si>
    <t>41,79K</t>
  </si>
  <si>
    <t>90,13K</t>
  </si>
  <si>
    <t>79,67K</t>
  </si>
  <si>
    <t>67,39K</t>
  </si>
  <si>
    <t>54,76K</t>
  </si>
  <si>
    <t>34,91K</t>
  </si>
  <si>
    <t>50,87K</t>
  </si>
  <si>
    <t>53,94K</t>
  </si>
  <si>
    <t>72,11K</t>
  </si>
  <si>
    <t>59,35K</t>
  </si>
  <si>
    <t>38,38K</t>
  </si>
  <si>
    <t>56,61K</t>
  </si>
  <si>
    <t>70,04K</t>
  </si>
  <si>
    <t>126,51K</t>
  </si>
  <si>
    <t>64,66K</t>
  </si>
  <si>
    <t>67,31K</t>
  </si>
  <si>
    <t>67,61K</t>
  </si>
  <si>
    <t>60,28K</t>
  </si>
  <si>
    <t>72,26K</t>
  </si>
  <si>
    <t>64,81K</t>
  </si>
  <si>
    <t>90,89K</t>
  </si>
  <si>
    <t>58,34K</t>
  </si>
  <si>
    <t>75,30K</t>
  </si>
  <si>
    <t>76,63K</t>
  </si>
  <si>
    <t>61,23K</t>
  </si>
  <si>
    <t>100,81K</t>
  </si>
  <si>
    <t>103,42K</t>
  </si>
  <si>
    <t>101,72K</t>
  </si>
  <si>
    <t>96,86K</t>
  </si>
  <si>
    <t>116,81K</t>
  </si>
  <si>
    <t>94,93K</t>
  </si>
  <si>
    <t>537,27K</t>
  </si>
  <si>
    <t>103,50K</t>
  </si>
  <si>
    <t>99,32K</t>
  </si>
  <si>
    <t>190,55K</t>
  </si>
  <si>
    <t>143,90K</t>
  </si>
  <si>
    <t>181,88K</t>
  </si>
  <si>
    <t>123,35K</t>
  </si>
  <si>
    <t>145,09K</t>
  </si>
  <si>
    <t>182,73K</t>
  </si>
  <si>
    <t>158,67K</t>
  </si>
  <si>
    <t>113,83K</t>
  </si>
  <si>
    <t>67,56K</t>
  </si>
  <si>
    <t>72,55K</t>
  </si>
  <si>
    <t>78,34K</t>
  </si>
  <si>
    <t>63,30K</t>
  </si>
  <si>
    <t>58,10K</t>
  </si>
  <si>
    <t>61,29K</t>
  </si>
  <si>
    <t>48,01K</t>
  </si>
  <si>
    <t>52,20K</t>
  </si>
  <si>
    <t>64,22K</t>
  </si>
  <si>
    <t>81,07K</t>
  </si>
  <si>
    <t>72,74K</t>
  </si>
  <si>
    <t>105,12K</t>
  </si>
  <si>
    <t>126,58K</t>
  </si>
  <si>
    <t>130,25K</t>
  </si>
  <si>
    <t>73,31K</t>
  </si>
  <si>
    <t>76,56K</t>
  </si>
  <si>
    <t>99,44K</t>
  </si>
  <si>
    <t>96,74K</t>
  </si>
  <si>
    <t>106,79K</t>
  </si>
  <si>
    <t>57,17K</t>
  </si>
  <si>
    <t>49,59K</t>
  </si>
  <si>
    <t>86,09K</t>
  </si>
  <si>
    <t>97,73K</t>
  </si>
  <si>
    <t>141,45K</t>
  </si>
  <si>
    <t>108,76K</t>
  </si>
  <si>
    <t>103,40K</t>
  </si>
  <si>
    <t>99,36K</t>
  </si>
  <si>
    <t>104,52K</t>
  </si>
  <si>
    <t>61,21K</t>
  </si>
  <si>
    <t>118,78K</t>
  </si>
  <si>
    <t>119,07K</t>
  </si>
  <si>
    <t>134,40K</t>
  </si>
  <si>
    <t>189,23K</t>
  </si>
  <si>
    <t>95,99K</t>
  </si>
  <si>
    <t>147,11K</t>
  </si>
  <si>
    <t>111,67K</t>
  </si>
  <si>
    <t>96,49K</t>
  </si>
  <si>
    <t>98,56K</t>
  </si>
  <si>
    <t>128,80K</t>
  </si>
  <si>
    <t>94,82K</t>
  </si>
  <si>
    <t>171,24K</t>
  </si>
  <si>
    <t>248,84K</t>
  </si>
  <si>
    <t>168,12K</t>
  </si>
  <si>
    <t>148,60K</t>
  </si>
  <si>
    <t>26.12.2022</t>
  </si>
  <si>
    <t>02.01.2023</t>
  </si>
  <si>
    <t>15.01.2023</t>
  </si>
  <si>
    <t>19.02.2023</t>
  </si>
  <si>
    <t>28.05.2023</t>
  </si>
  <si>
    <t>18.06.2023</t>
  </si>
  <si>
    <t>03.09.2023</t>
  </si>
  <si>
    <t>25.12.2023</t>
  </si>
  <si>
    <t>01.01.2024</t>
  </si>
  <si>
    <t>14.01.2024</t>
  </si>
  <si>
    <t>18.02.2024</t>
  </si>
  <si>
    <t>26.05.2024</t>
  </si>
  <si>
    <t>01.09.2024</t>
  </si>
  <si>
    <t>05.10.2025</t>
  </si>
  <si>
    <t>09.11.2025</t>
  </si>
  <si>
    <t>16.11.2025</t>
  </si>
  <si>
    <t>23.11.2025</t>
  </si>
  <si>
    <t>30.11.2025</t>
  </si>
  <si>
    <t>07.12.2025</t>
  </si>
  <si>
    <t>21.12.2025</t>
  </si>
  <si>
    <t>28.12.2025</t>
  </si>
  <si>
    <t>Gold Close</t>
  </si>
  <si>
    <t>Silver Close</t>
  </si>
  <si>
    <t>Daily Return Gold</t>
  </si>
  <si>
    <t>Daily Return Silver</t>
  </si>
  <si>
    <t>Cum Return Gold</t>
  </si>
  <si>
    <t>Cum Return Silver</t>
  </si>
  <si>
    <t>Gold/Silver Ratio</t>
  </si>
  <si>
    <t>Average Daily Return</t>
  </si>
  <si>
    <t>Daily Volatility</t>
  </si>
  <si>
    <t>Maximum Drawdown</t>
  </si>
  <si>
    <t>GOLD</t>
  </si>
  <si>
    <t>SILVER</t>
  </si>
  <si>
    <t>Annualized Volatility</t>
  </si>
  <si>
    <t xml:space="preserve">Gold Max. to Date </t>
  </si>
  <si>
    <t>Gold Drawdown to Date</t>
  </si>
  <si>
    <t>Silver Max. to Date</t>
  </si>
  <si>
    <t>Silver Drawdown to Date</t>
  </si>
  <si>
    <t>Returns Correlation</t>
  </si>
  <si>
    <t>Total Cumulative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</si>
</sst>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9">
    <xf numFmtId="0" fontId="0" fillId="0" borderId="0" xfId="0"/>
    <xf numFmtId="10" fontId="0" fillId="35" borderId="0" xfId="0" applyNumberFormat="1" applyFill="1"/>
    <xf numFmtId="0" fontId="0" fillId="35" borderId="0" xfId="0" applyFill="1"/>
    <xf numFmtId="0" fontId="0" fillId="33" borderId="0" xfId="0" applyFill="1"/>
    <xf numFmtId="10" fontId="0" fillId="33" borderId="0" xfId="0" applyNumberFormat="1" applyFill="1"/>
    <xf numFmtId="0" fontId="0" fillId="34" borderId="14" xfId="0" applyFill="1" applyBorder="1" applyAlignment="1">
      <alignment horizontal="left"/>
    </xf>
    <xf numFmtId="0" fontId="0" fillId="35" borderId="26" xfId="0" applyFill="1" applyBorder="1" applyAlignment="1">
      <alignment horizontal="left"/>
    </xf>
    <xf numFmtId="0" fontId="0" fillId="35" borderId="24" xfId="0" applyFill="1" applyBorder="1" applyAlignment="1">
      <alignment horizontal="left"/>
    </xf>
    <xf numFmtId="10" fontId="0" fillId="35" borderId="24" xfId="0" applyNumberFormat="1" applyFill="1" applyBorder="1" applyAlignment="1">
      <alignment horizontal="left"/>
    </xf>
    <xf numFmtId="0" fontId="0" fillId="35" borderId="25" xfId="0" applyFill="1" applyBorder="1" applyAlignment="1">
      <alignment horizontal="left"/>
    </xf>
    <xf numFmtId="0" fontId="0" fillId="35" borderId="20" xfId="0" applyFill="1" applyBorder="1" applyAlignment="1">
      <alignment horizontal="left"/>
    </xf>
    <xf numFmtId="10" fontId="0" fillId="35" borderId="20" xfId="0" applyNumberFormat="1" applyFill="1" applyBorder="1" applyAlignment="1">
      <alignment horizontal="left"/>
    </xf>
    <xf numFmtId="0" fontId="0" fillId="34" borderId="0" xfId="0" applyFill="1" applyAlignment="1">
      <alignment horizontal="left"/>
    </xf>
    <xf numFmtId="4" fontId="0" fillId="33" borderId="0" xfId="0" applyNumberFormat="1" applyFill="1" applyAlignment="1">
      <alignment horizontal="left"/>
    </xf>
    <xf numFmtId="0" fontId="0" fillId="33" borderId="0" xfId="0" applyFill="1" applyAlignment="1">
      <alignment horizontal="left"/>
    </xf>
    <xf numFmtId="10" fontId="0" fillId="33" borderId="0" xfId="0" applyNumberFormat="1" applyFill="1" applyAlignment="1">
      <alignment horizontal="left"/>
    </xf>
    <xf numFmtId="0" fontId="0" fillId="34" borderId="23" xfId="0" applyFill="1" applyBorder="1" applyAlignment="1">
      <alignment horizontal="left"/>
    </xf>
    <xf numFmtId="4" fontId="0" fillId="33" borderId="18" xfId="0" applyNumberFormat="1" applyFill="1" applyBorder="1" applyAlignment="1">
      <alignment horizontal="left"/>
    </xf>
    <xf numFmtId="10" fontId="0" fillId="33" borderId="18" xfId="0" applyNumberFormat="1" applyFill="1" applyBorder="1" applyAlignment="1">
      <alignment horizontal="left"/>
    </xf>
    <xf numFmtId="2" fontId="0" fillId="33" borderId="15" xfId="0" applyNumberFormat="1" applyFill="1" applyBorder="1" applyAlignment="1">
      <alignment horizontal="left"/>
    </xf>
    <xf numFmtId="4" fontId="0" fillId="33" borderId="16" xfId="0" applyNumberFormat="1" applyFill="1" applyBorder="1" applyAlignment="1">
      <alignment horizontal="left"/>
    </xf>
    <xf numFmtId="10" fontId="0" fillId="33" borderId="21" xfId="0" applyNumberFormat="1" applyFill="1" applyBorder="1" applyAlignment="1">
      <alignment horizontal="left"/>
    </xf>
    <xf numFmtId="4" fontId="0" fillId="33" borderId="19" xfId="0" applyNumberFormat="1" applyFill="1" applyBorder="1" applyAlignment="1">
      <alignment horizontal="left"/>
    </xf>
    <xf numFmtId="10" fontId="0" fillId="33" borderId="19" xfId="0" applyNumberFormat="1" applyFill="1" applyBorder="1" applyAlignment="1">
      <alignment horizontal="left"/>
    </xf>
    <xf numFmtId="10" fontId="0" fillId="33" borderId="19" xfId="1" applyNumberFormat="1" applyFont="1" applyFill="1" applyBorder="1" applyAlignment="1">
      <alignment horizontal="left"/>
    </xf>
    <xf numFmtId="2" fontId="0" fillId="33" borderId="13" xfId="0" applyNumberFormat="1" applyFill="1" applyBorder="1" applyAlignment="1">
      <alignment horizontal="left"/>
    </xf>
    <xf numFmtId="4" fontId="0" fillId="33" borderId="12" xfId="0" applyNumberFormat="1" applyFill="1" applyBorder="1" applyAlignment="1">
      <alignment horizontal="left"/>
    </xf>
    <xf numFmtId="10" fontId="0" fillId="33" borderId="22" xfId="0" applyNumberFormat="1" applyFill="1" applyBorder="1" applyAlignment="1">
      <alignment horizontal="left"/>
    </xf>
    <xf numFmtId="0" fontId="0" fillId="34" borderId="17" xfId="0" applyFill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10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10" xfId="0" applyBorder="1" applyAlignment="1">
      <alignment horizontal="left"/>
    </xf>
    <xf numFmtId="0" fontId="0" fillId="36" borderId="0" xfId="0" applyFill="1"/>
    <xf numFmtId="0" fontId="0" fillId="36" borderId="0" xfId="0" applyFill="1" applyBorder="1" applyAlignment="1">
      <alignment horizontal="left"/>
    </xf>
    <xf numFmtId="0" fontId="0" fillId="36" borderId="0" xfId="0" applyFill="1" applyAlignment="1">
      <alignment horizontal="left"/>
    </xf>
    <xf numFmtId="10" fontId="0" fillId="36" borderId="0" xfId="0" applyNumberFormat="1" applyFill="1" applyAlignment="1">
      <alignment horizontal="left"/>
    </xf>
    <xf numFmtId="2" fontId="0" fillId="36" borderId="0" xfId="0" applyNumberFormat="1" applyFill="1" applyAlignment="1">
      <alignment horizontal="left"/>
    </xf>
    <xf numFmtId="0" fontId="0" fillId="36" borderId="20" xfId="0" applyFill="1" applyBorder="1" applyAlignment="1">
      <alignment horizontal="left"/>
    </xf>
    <xf numFmtId="0" fontId="0" fillId="35" borderId="27" xfId="0" applyFill="1" applyBorder="1" applyAlignment="1">
      <alignment horizontal="left"/>
    </xf>
    <xf numFmtId="10" fontId="0" fillId="35" borderId="27" xfId="0" applyNumberFormat="1" applyFill="1" applyBorder="1" applyAlignment="1">
      <alignment horizontal="left"/>
    </xf>
    <xf numFmtId="0" fontId="0" fillId="36" borderId="14" xfId="0" applyFill="1" applyBorder="1" applyAlignment="1">
      <alignment horizontal="left"/>
    </xf>
    <xf numFmtId="0" fontId="0" fillId="36" borderId="11" xfId="0" applyFill="1" applyBorder="1" applyAlignment="1">
      <alignment horizontal="left"/>
    </xf>
    <xf numFmtId="10" fontId="0" fillId="36" borderId="11" xfId="0" applyNumberFormat="1" applyFill="1" applyBorder="1" applyAlignment="1">
      <alignment horizontal="left"/>
    </xf>
    <xf numFmtId="10" fontId="0" fillId="35" borderId="11" xfId="0" applyNumberFormat="1" applyFill="1" applyBorder="1" applyAlignment="1">
      <alignment horizontal="left"/>
    </xf>
    <xf numFmtId="0" fontId="0" fillId="36" borderId="25" xfId="0" applyFill="1" applyBorder="1" applyAlignment="1">
      <alignment horizontal="left"/>
    </xf>
    <xf numFmtId="0" fontId="0" fillId="35" borderId="28" xfId="0" applyFill="1" applyBorder="1" applyAlignment="1">
      <alignment horizontal="left"/>
    </xf>
    <xf numFmtId="0" fontId="0" fillId="36" borderId="23" xfId="0" applyFill="1" applyBorder="1" applyAlignment="1">
      <alignment horizontal="left"/>
    </xf>
    <xf numFmtId="0" fontId="0" fillId="36" borderId="26" xfId="0" applyFill="1" applyBorder="1" applyAlignment="1">
      <alignment horizontal="left"/>
    </xf>
    <xf numFmtId="0" fontId="0" fillId="36" borderId="24" xfId="0" applyFill="1" applyBorder="1" applyAlignment="1">
      <alignment horizontal="left"/>
    </xf>
    <xf numFmtId="0" fontId="0" fillId="36" borderId="11" xfId="0" applyFill="1" applyBorder="1"/>
    <xf numFmtId="0" fontId="16" fillId="34" borderId="0" xfId="0" applyFont="1" applyFill="1"/>
    <xf numFmtId="0" fontId="16" fillId="36" borderId="0" xfId="0" applyFont="1" applyFill="1"/>
    <xf numFmtId="0" fontId="18" fillId="34" borderId="0" xfId="0" applyFont="1" applyFill="1"/>
    <xf numFmtId="0" fontId="16" fillId="34" borderId="0" xfId="0" applyFont="1" applyFill="1" applyAlignment="1">
      <alignment horizontal="left"/>
    </xf>
    <xf numFmtId="0" fontId="16" fillId="34" borderId="14" xfId="0" applyFont="1" applyFill="1" applyBorder="1" applyAlignment="1">
      <alignment horizontal="left"/>
    </xf>
    <xf numFmtId="10" fontId="16" fillId="34" borderId="14" xfId="0" applyNumberFormat="1" applyFont="1" applyFill="1" applyBorder="1" applyAlignment="1">
      <alignment horizontal="left"/>
    </xf>
    <xf numFmtId="2" fontId="16" fillId="34" borderId="14" xfId="0" applyNumberFormat="1" applyFont="1" applyFill="1" applyBorder="1" applyAlignment="1">
      <alignment horizontal="left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i="1"/>
              <a:t>Figure 1. Gold vs Silver:</a:t>
            </a:r>
            <a:r>
              <a:rPr lang="es-ES" b="1" i="1" baseline="0"/>
              <a:t> Price Evolution (2020-2025)</a:t>
            </a:r>
            <a:endParaRPr lang="es-E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Gold Close</c:v>
                </c:pt>
              </c:strCache>
            </c:strRef>
          </c:tx>
          <c:spPr>
            <a:ln w="22225" cap="rnd">
              <a:solidFill>
                <a:srgbClr val="E8E8E8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Analysis!$A$2:$A$1198</c:f>
              <c:strCache>
                <c:ptCount val="1197"/>
                <c:pt idx="0">
                  <c:v>02.01.2020</c:v>
                </c:pt>
                <c:pt idx="1">
                  <c:v>06.01.2020</c:v>
                </c:pt>
                <c:pt idx="2">
                  <c:v>07.01.2020</c:v>
                </c:pt>
                <c:pt idx="3">
                  <c:v>08.01.2020</c:v>
                </c:pt>
                <c:pt idx="4">
                  <c:v>09.01.2020</c:v>
                </c:pt>
                <c:pt idx="5">
                  <c:v>13.01.2020</c:v>
                </c:pt>
                <c:pt idx="6">
                  <c:v>14.01.2020</c:v>
                </c:pt>
                <c:pt idx="7">
                  <c:v>15.01.2020</c:v>
                </c:pt>
                <c:pt idx="8">
                  <c:v>16.01.2020</c:v>
                </c:pt>
                <c:pt idx="9">
                  <c:v>21.01.2020</c:v>
                </c:pt>
                <c:pt idx="10">
                  <c:v>22.01.2020</c:v>
                </c:pt>
                <c:pt idx="11">
                  <c:v>23.01.2020</c:v>
                </c:pt>
                <c:pt idx="12">
                  <c:v>27.01.2020</c:v>
                </c:pt>
                <c:pt idx="13">
                  <c:v>28.01.2020</c:v>
                </c:pt>
                <c:pt idx="14">
                  <c:v>29.01.2020</c:v>
                </c:pt>
                <c:pt idx="15">
                  <c:v>30.01.2020</c:v>
                </c:pt>
                <c:pt idx="16">
                  <c:v>03.02.2020</c:v>
                </c:pt>
                <c:pt idx="17">
                  <c:v>04.02.2020</c:v>
                </c:pt>
                <c:pt idx="18">
                  <c:v>05.02.2020</c:v>
                </c:pt>
                <c:pt idx="19">
                  <c:v>06.02.2020</c:v>
                </c:pt>
                <c:pt idx="20">
                  <c:v>10.02.2020</c:v>
                </c:pt>
                <c:pt idx="21">
                  <c:v>11.02.2020</c:v>
                </c:pt>
                <c:pt idx="22">
                  <c:v>12.02.2020</c:v>
                </c:pt>
                <c:pt idx="23">
                  <c:v>13.02.2020</c:v>
                </c:pt>
                <c:pt idx="24">
                  <c:v>18.02.2020</c:v>
                </c:pt>
                <c:pt idx="25">
                  <c:v>19.02.2020</c:v>
                </c:pt>
                <c:pt idx="26">
                  <c:v>20.02.2020</c:v>
                </c:pt>
                <c:pt idx="27">
                  <c:v>24.02.2020</c:v>
                </c:pt>
                <c:pt idx="28">
                  <c:v>25.02.2020</c:v>
                </c:pt>
                <c:pt idx="29">
                  <c:v>26.02.2020</c:v>
                </c:pt>
                <c:pt idx="30">
                  <c:v>27.02.2020</c:v>
                </c:pt>
                <c:pt idx="31">
                  <c:v>02.03.2020</c:v>
                </c:pt>
                <c:pt idx="32">
                  <c:v>03.03.2020</c:v>
                </c:pt>
                <c:pt idx="33">
                  <c:v>04.03.2020</c:v>
                </c:pt>
                <c:pt idx="34">
                  <c:v>05.03.2020</c:v>
                </c:pt>
                <c:pt idx="35">
                  <c:v>09.03.2020</c:v>
                </c:pt>
                <c:pt idx="36">
                  <c:v>10.03.2020</c:v>
                </c:pt>
                <c:pt idx="37">
                  <c:v>11.03.2020</c:v>
                </c:pt>
                <c:pt idx="38">
                  <c:v>12.03.2020</c:v>
                </c:pt>
                <c:pt idx="39">
                  <c:v>16.03.2020</c:v>
                </c:pt>
                <c:pt idx="40">
                  <c:v>17.03.2020</c:v>
                </c:pt>
                <c:pt idx="41">
                  <c:v>18.03.2020</c:v>
                </c:pt>
                <c:pt idx="42">
                  <c:v>19.03.2020</c:v>
                </c:pt>
                <c:pt idx="43">
                  <c:v>23.03.2020</c:v>
                </c:pt>
                <c:pt idx="44">
                  <c:v>24.03.2020</c:v>
                </c:pt>
                <c:pt idx="45">
                  <c:v>25.03.2020</c:v>
                </c:pt>
                <c:pt idx="46">
                  <c:v>26.03.2020</c:v>
                </c:pt>
                <c:pt idx="47">
                  <c:v>30.03.2020</c:v>
                </c:pt>
                <c:pt idx="48">
                  <c:v>31.03.2020</c:v>
                </c:pt>
                <c:pt idx="49">
                  <c:v>01.04.2020</c:v>
                </c:pt>
                <c:pt idx="50">
                  <c:v>02.04.2020</c:v>
                </c:pt>
                <c:pt idx="51">
                  <c:v>06.04.2020</c:v>
                </c:pt>
                <c:pt idx="52">
                  <c:v>07.04.2020</c:v>
                </c:pt>
                <c:pt idx="53">
                  <c:v>08.04.2020</c:v>
                </c:pt>
                <c:pt idx="54">
                  <c:v>13.04.2020</c:v>
                </c:pt>
                <c:pt idx="55">
                  <c:v>14.04.2020</c:v>
                </c:pt>
                <c:pt idx="56">
                  <c:v>15.04.2020</c:v>
                </c:pt>
                <c:pt idx="57">
                  <c:v>16.04.2020</c:v>
                </c:pt>
                <c:pt idx="58">
                  <c:v>20.04.2020</c:v>
                </c:pt>
                <c:pt idx="59">
                  <c:v>21.04.2020</c:v>
                </c:pt>
                <c:pt idx="60">
                  <c:v>22.04.2020</c:v>
                </c:pt>
                <c:pt idx="61">
                  <c:v>23.04.2020</c:v>
                </c:pt>
                <c:pt idx="62">
                  <c:v>27.04.2020</c:v>
                </c:pt>
                <c:pt idx="63">
                  <c:v>28.04.2020</c:v>
                </c:pt>
                <c:pt idx="64">
                  <c:v>29.04.2020</c:v>
                </c:pt>
                <c:pt idx="65">
                  <c:v>30.04.2020</c:v>
                </c:pt>
                <c:pt idx="66">
                  <c:v>04.05.2020</c:v>
                </c:pt>
                <c:pt idx="67">
                  <c:v>05.05.2020</c:v>
                </c:pt>
                <c:pt idx="68">
                  <c:v>06.05.2020</c:v>
                </c:pt>
                <c:pt idx="69">
                  <c:v>07.05.2020</c:v>
                </c:pt>
                <c:pt idx="70">
                  <c:v>11.05.2020</c:v>
                </c:pt>
                <c:pt idx="71">
                  <c:v>12.05.2020</c:v>
                </c:pt>
                <c:pt idx="72">
                  <c:v>13.05.2020</c:v>
                </c:pt>
                <c:pt idx="73">
                  <c:v>14.05.2020</c:v>
                </c:pt>
                <c:pt idx="74">
                  <c:v>18.05.2020</c:v>
                </c:pt>
                <c:pt idx="75">
                  <c:v>19.05.2020</c:v>
                </c:pt>
                <c:pt idx="76">
                  <c:v>20.05.2020</c:v>
                </c:pt>
                <c:pt idx="77">
                  <c:v>21.05.2020</c:v>
                </c:pt>
                <c:pt idx="78">
                  <c:v>26.05.2020</c:v>
                </c:pt>
                <c:pt idx="79">
                  <c:v>27.05.2020</c:v>
                </c:pt>
                <c:pt idx="80">
                  <c:v>28.05.2020</c:v>
                </c:pt>
                <c:pt idx="81">
                  <c:v>01.06.2020</c:v>
                </c:pt>
                <c:pt idx="82">
                  <c:v>02.06.2020</c:v>
                </c:pt>
                <c:pt idx="83">
                  <c:v>03.06.2020</c:v>
                </c:pt>
                <c:pt idx="84">
                  <c:v>04.06.2020</c:v>
                </c:pt>
                <c:pt idx="85">
                  <c:v>08.06.2020</c:v>
                </c:pt>
                <c:pt idx="86">
                  <c:v>09.06.2020</c:v>
                </c:pt>
                <c:pt idx="87">
                  <c:v>10.06.2020</c:v>
                </c:pt>
                <c:pt idx="88">
                  <c:v>11.06.2020</c:v>
                </c:pt>
                <c:pt idx="89">
                  <c:v>15.06.2020</c:v>
                </c:pt>
                <c:pt idx="90">
                  <c:v>16.06.2020</c:v>
                </c:pt>
                <c:pt idx="91">
                  <c:v>17.06.2020</c:v>
                </c:pt>
                <c:pt idx="92">
                  <c:v>18.06.2020</c:v>
                </c:pt>
                <c:pt idx="93">
                  <c:v>22.06.2020</c:v>
                </c:pt>
                <c:pt idx="94">
                  <c:v>23.06.2020</c:v>
                </c:pt>
                <c:pt idx="95">
                  <c:v>24.06.2020</c:v>
                </c:pt>
                <c:pt idx="96">
                  <c:v>25.06.2020</c:v>
                </c:pt>
                <c:pt idx="97">
                  <c:v>29.06.2020</c:v>
                </c:pt>
                <c:pt idx="98">
                  <c:v>30.06.2020</c:v>
                </c:pt>
                <c:pt idx="99">
                  <c:v>01.07.2020</c:v>
                </c:pt>
                <c:pt idx="100">
                  <c:v>02.07.2020</c:v>
                </c:pt>
                <c:pt idx="101">
                  <c:v>06.07.2020</c:v>
                </c:pt>
                <c:pt idx="102">
                  <c:v>07.07.2020</c:v>
                </c:pt>
                <c:pt idx="103">
                  <c:v>08.07.2020</c:v>
                </c:pt>
                <c:pt idx="104">
                  <c:v>09.07.2020</c:v>
                </c:pt>
                <c:pt idx="105">
                  <c:v>13.07.2020</c:v>
                </c:pt>
                <c:pt idx="106">
                  <c:v>14.07.2020</c:v>
                </c:pt>
                <c:pt idx="107">
                  <c:v>15.07.2020</c:v>
                </c:pt>
                <c:pt idx="108">
                  <c:v>16.07.2020</c:v>
                </c:pt>
                <c:pt idx="109">
                  <c:v>20.07.2020</c:v>
                </c:pt>
                <c:pt idx="110">
                  <c:v>21.07.2020</c:v>
                </c:pt>
                <c:pt idx="111">
                  <c:v>22.07.2020</c:v>
                </c:pt>
                <c:pt idx="112">
                  <c:v>23.07.2020</c:v>
                </c:pt>
                <c:pt idx="113">
                  <c:v>27.07.2020</c:v>
                </c:pt>
                <c:pt idx="114">
                  <c:v>28.07.2020</c:v>
                </c:pt>
                <c:pt idx="115">
                  <c:v>29.07.2020</c:v>
                </c:pt>
                <c:pt idx="116">
                  <c:v>30.07.2020</c:v>
                </c:pt>
                <c:pt idx="117">
                  <c:v>03.08.2020</c:v>
                </c:pt>
                <c:pt idx="118">
                  <c:v>04.08.2020</c:v>
                </c:pt>
                <c:pt idx="119">
                  <c:v>05.08.2020</c:v>
                </c:pt>
                <c:pt idx="120">
                  <c:v>06.08.2020</c:v>
                </c:pt>
                <c:pt idx="121">
                  <c:v>10.08.2020</c:v>
                </c:pt>
                <c:pt idx="122">
                  <c:v>11.08.2020</c:v>
                </c:pt>
                <c:pt idx="123">
                  <c:v>12.08.2020</c:v>
                </c:pt>
                <c:pt idx="124">
                  <c:v>13.08.2020</c:v>
                </c:pt>
                <c:pt idx="125">
                  <c:v>17.08.2020</c:v>
                </c:pt>
                <c:pt idx="126">
                  <c:v>18.08.2020</c:v>
                </c:pt>
                <c:pt idx="127">
                  <c:v>19.08.2020</c:v>
                </c:pt>
                <c:pt idx="128">
                  <c:v>20.08.2020</c:v>
                </c:pt>
                <c:pt idx="129">
                  <c:v>24.08.2020</c:v>
                </c:pt>
                <c:pt idx="130">
                  <c:v>25.08.2020</c:v>
                </c:pt>
                <c:pt idx="131">
                  <c:v>26.08.2020</c:v>
                </c:pt>
                <c:pt idx="132">
                  <c:v>27.08.2020</c:v>
                </c:pt>
                <c:pt idx="133">
                  <c:v>31.08.2020</c:v>
                </c:pt>
                <c:pt idx="134">
                  <c:v>01.09.2020</c:v>
                </c:pt>
                <c:pt idx="135">
                  <c:v>02.09.2020</c:v>
                </c:pt>
                <c:pt idx="136">
                  <c:v>03.09.2020</c:v>
                </c:pt>
                <c:pt idx="137">
                  <c:v>08.09.2020</c:v>
                </c:pt>
                <c:pt idx="138">
                  <c:v>09.09.2020</c:v>
                </c:pt>
                <c:pt idx="139">
                  <c:v>10.09.2020</c:v>
                </c:pt>
                <c:pt idx="140">
                  <c:v>14.09.2020</c:v>
                </c:pt>
                <c:pt idx="141">
                  <c:v>15.09.2020</c:v>
                </c:pt>
                <c:pt idx="142">
                  <c:v>16.09.2020</c:v>
                </c:pt>
                <c:pt idx="143">
                  <c:v>17.09.2020</c:v>
                </c:pt>
                <c:pt idx="144">
                  <c:v>21.09.2020</c:v>
                </c:pt>
                <c:pt idx="145">
                  <c:v>22.09.2020</c:v>
                </c:pt>
                <c:pt idx="146">
                  <c:v>23.09.2020</c:v>
                </c:pt>
                <c:pt idx="147">
                  <c:v>24.09.2020</c:v>
                </c:pt>
                <c:pt idx="148">
                  <c:v>28.09.2020</c:v>
                </c:pt>
                <c:pt idx="149">
                  <c:v>29.09.2020</c:v>
                </c:pt>
                <c:pt idx="150">
                  <c:v>30.09.2020</c:v>
                </c:pt>
                <c:pt idx="151">
                  <c:v>01.10.2020</c:v>
                </c:pt>
                <c:pt idx="152">
                  <c:v>05.10.2020</c:v>
                </c:pt>
                <c:pt idx="153">
                  <c:v>06.10.2020</c:v>
                </c:pt>
                <c:pt idx="154">
                  <c:v>07.10.2020</c:v>
                </c:pt>
                <c:pt idx="155">
                  <c:v>08.10.2020</c:v>
                </c:pt>
                <c:pt idx="156">
                  <c:v>12.10.2020</c:v>
                </c:pt>
                <c:pt idx="157">
                  <c:v>13.10.2020</c:v>
                </c:pt>
                <c:pt idx="158">
                  <c:v>14.10.2020</c:v>
                </c:pt>
                <c:pt idx="159">
                  <c:v>15.10.2020</c:v>
                </c:pt>
                <c:pt idx="160">
                  <c:v>19.10.2020</c:v>
                </c:pt>
                <c:pt idx="161">
                  <c:v>20.10.2020</c:v>
                </c:pt>
                <c:pt idx="162">
                  <c:v>21.10.2020</c:v>
                </c:pt>
                <c:pt idx="163">
                  <c:v>22.10.2020</c:v>
                </c:pt>
                <c:pt idx="164">
                  <c:v>26.10.2020</c:v>
                </c:pt>
                <c:pt idx="165">
                  <c:v>27.10.2020</c:v>
                </c:pt>
                <c:pt idx="166">
                  <c:v>28.10.2020</c:v>
                </c:pt>
                <c:pt idx="167">
                  <c:v>29.10.2020</c:v>
                </c:pt>
                <c:pt idx="168">
                  <c:v>02.11.2020</c:v>
                </c:pt>
                <c:pt idx="169">
                  <c:v>03.11.2020</c:v>
                </c:pt>
                <c:pt idx="170">
                  <c:v>04.11.2020</c:v>
                </c:pt>
                <c:pt idx="171">
                  <c:v>05.11.2020</c:v>
                </c:pt>
                <c:pt idx="172">
                  <c:v>09.11.2020</c:v>
                </c:pt>
                <c:pt idx="173">
                  <c:v>10.11.2020</c:v>
                </c:pt>
                <c:pt idx="174">
                  <c:v>11.11.2020</c:v>
                </c:pt>
                <c:pt idx="175">
                  <c:v>12.11.2020</c:v>
                </c:pt>
                <c:pt idx="176">
                  <c:v>16.11.2020</c:v>
                </c:pt>
                <c:pt idx="177">
                  <c:v>17.11.2020</c:v>
                </c:pt>
                <c:pt idx="178">
                  <c:v>18.11.2020</c:v>
                </c:pt>
                <c:pt idx="179">
                  <c:v>19.11.2020</c:v>
                </c:pt>
                <c:pt idx="180">
                  <c:v>23.11.2020</c:v>
                </c:pt>
                <c:pt idx="181">
                  <c:v>24.11.2020</c:v>
                </c:pt>
                <c:pt idx="182">
                  <c:v>25.11.2020</c:v>
                </c:pt>
                <c:pt idx="183">
                  <c:v>30.11.2020</c:v>
                </c:pt>
                <c:pt idx="184">
                  <c:v>01.12.2020</c:v>
                </c:pt>
                <c:pt idx="185">
                  <c:v>02.12.2020</c:v>
                </c:pt>
                <c:pt idx="186">
                  <c:v>03.12.2020</c:v>
                </c:pt>
                <c:pt idx="187">
                  <c:v>07.12.2020</c:v>
                </c:pt>
                <c:pt idx="188">
                  <c:v>08.12.2020</c:v>
                </c:pt>
                <c:pt idx="189">
                  <c:v>09.12.2020</c:v>
                </c:pt>
                <c:pt idx="190">
                  <c:v>10.12.2020</c:v>
                </c:pt>
                <c:pt idx="191">
                  <c:v>14.12.2020</c:v>
                </c:pt>
                <c:pt idx="192">
                  <c:v>15.12.2020</c:v>
                </c:pt>
                <c:pt idx="193">
                  <c:v>16.12.2020</c:v>
                </c:pt>
                <c:pt idx="194">
                  <c:v>17.12.2020</c:v>
                </c:pt>
                <c:pt idx="195">
                  <c:v>21.12.2020</c:v>
                </c:pt>
                <c:pt idx="196">
                  <c:v>22.12.2020</c:v>
                </c:pt>
                <c:pt idx="197">
                  <c:v>23.12.2020</c:v>
                </c:pt>
                <c:pt idx="198">
                  <c:v>28.12.2020</c:v>
                </c:pt>
                <c:pt idx="199">
                  <c:v>29.12.2020</c:v>
                </c:pt>
                <c:pt idx="200">
                  <c:v>30.12.2020</c:v>
                </c:pt>
                <c:pt idx="201">
                  <c:v>04.01.2021</c:v>
                </c:pt>
                <c:pt idx="202">
                  <c:v>05.01.2021</c:v>
                </c:pt>
                <c:pt idx="203">
                  <c:v>06.01.2021</c:v>
                </c:pt>
                <c:pt idx="204">
                  <c:v>07.01.2021</c:v>
                </c:pt>
                <c:pt idx="205">
                  <c:v>11.01.2021</c:v>
                </c:pt>
                <c:pt idx="206">
                  <c:v>12.01.2021</c:v>
                </c:pt>
                <c:pt idx="207">
                  <c:v>13.01.2021</c:v>
                </c:pt>
                <c:pt idx="208">
                  <c:v>14.01.2021</c:v>
                </c:pt>
                <c:pt idx="209">
                  <c:v>19.01.2021</c:v>
                </c:pt>
                <c:pt idx="210">
                  <c:v>20.01.2021</c:v>
                </c:pt>
                <c:pt idx="211">
                  <c:v>21.01.2021</c:v>
                </c:pt>
                <c:pt idx="212">
                  <c:v>25.01.2021</c:v>
                </c:pt>
                <c:pt idx="213">
                  <c:v>26.01.2021</c:v>
                </c:pt>
                <c:pt idx="214">
                  <c:v>27.01.2021</c:v>
                </c:pt>
                <c:pt idx="215">
                  <c:v>28.01.2021</c:v>
                </c:pt>
                <c:pt idx="216">
                  <c:v>01.02.2021</c:v>
                </c:pt>
                <c:pt idx="217">
                  <c:v>02.02.2021</c:v>
                </c:pt>
                <c:pt idx="218">
                  <c:v>03.02.2021</c:v>
                </c:pt>
                <c:pt idx="219">
                  <c:v>04.02.2021</c:v>
                </c:pt>
                <c:pt idx="220">
                  <c:v>08.02.2021</c:v>
                </c:pt>
                <c:pt idx="221">
                  <c:v>09.02.2021</c:v>
                </c:pt>
                <c:pt idx="222">
                  <c:v>10.02.2021</c:v>
                </c:pt>
                <c:pt idx="223">
                  <c:v>11.02.2021</c:v>
                </c:pt>
                <c:pt idx="224">
                  <c:v>16.02.2021</c:v>
                </c:pt>
                <c:pt idx="225">
                  <c:v>17.02.2021</c:v>
                </c:pt>
                <c:pt idx="226">
                  <c:v>18.02.2021</c:v>
                </c:pt>
                <c:pt idx="227">
                  <c:v>22.02.2021</c:v>
                </c:pt>
                <c:pt idx="228">
                  <c:v>23.02.2021</c:v>
                </c:pt>
                <c:pt idx="229">
                  <c:v>24.02.2021</c:v>
                </c:pt>
                <c:pt idx="230">
                  <c:v>25.02.2021</c:v>
                </c:pt>
                <c:pt idx="231">
                  <c:v>01.03.2021</c:v>
                </c:pt>
                <c:pt idx="232">
                  <c:v>02.03.2021</c:v>
                </c:pt>
                <c:pt idx="233">
                  <c:v>03.03.2021</c:v>
                </c:pt>
                <c:pt idx="234">
                  <c:v>04.03.2021</c:v>
                </c:pt>
                <c:pt idx="235">
                  <c:v>08.03.2021</c:v>
                </c:pt>
                <c:pt idx="236">
                  <c:v>09.03.2021</c:v>
                </c:pt>
                <c:pt idx="237">
                  <c:v>10.03.2021</c:v>
                </c:pt>
                <c:pt idx="238">
                  <c:v>11.03.2021</c:v>
                </c:pt>
                <c:pt idx="239">
                  <c:v>15.03.2021</c:v>
                </c:pt>
                <c:pt idx="240">
                  <c:v>16.03.2021</c:v>
                </c:pt>
                <c:pt idx="241">
                  <c:v>17.03.2021</c:v>
                </c:pt>
                <c:pt idx="242">
                  <c:v>18.03.2021</c:v>
                </c:pt>
                <c:pt idx="243">
                  <c:v>22.03.2021</c:v>
                </c:pt>
                <c:pt idx="244">
                  <c:v>23.03.2021</c:v>
                </c:pt>
                <c:pt idx="245">
                  <c:v>24.03.2021</c:v>
                </c:pt>
                <c:pt idx="246">
                  <c:v>25.03.2021</c:v>
                </c:pt>
                <c:pt idx="247">
                  <c:v>29.03.2021</c:v>
                </c:pt>
                <c:pt idx="248">
                  <c:v>30.03.2021</c:v>
                </c:pt>
                <c:pt idx="249">
                  <c:v>31.03.2021</c:v>
                </c:pt>
                <c:pt idx="250">
                  <c:v>05.04.2021</c:v>
                </c:pt>
                <c:pt idx="251">
                  <c:v>06.04.2021</c:v>
                </c:pt>
                <c:pt idx="252">
                  <c:v>07.04.2021</c:v>
                </c:pt>
                <c:pt idx="253">
                  <c:v>08.04.2021</c:v>
                </c:pt>
                <c:pt idx="254">
                  <c:v>12.04.2021</c:v>
                </c:pt>
                <c:pt idx="255">
                  <c:v>13.04.2021</c:v>
                </c:pt>
                <c:pt idx="256">
                  <c:v>14.04.2021</c:v>
                </c:pt>
                <c:pt idx="257">
                  <c:v>15.04.2021</c:v>
                </c:pt>
                <c:pt idx="258">
                  <c:v>19.04.2021</c:v>
                </c:pt>
                <c:pt idx="259">
                  <c:v>20.04.2021</c:v>
                </c:pt>
                <c:pt idx="260">
                  <c:v>21.04.2021</c:v>
                </c:pt>
                <c:pt idx="261">
                  <c:v>22.04.2021</c:v>
                </c:pt>
                <c:pt idx="262">
                  <c:v>26.04.2021</c:v>
                </c:pt>
                <c:pt idx="263">
                  <c:v>27.04.2021</c:v>
                </c:pt>
                <c:pt idx="264">
                  <c:v>28.04.2021</c:v>
                </c:pt>
                <c:pt idx="265">
                  <c:v>29.04.2021</c:v>
                </c:pt>
                <c:pt idx="266">
                  <c:v>03.05.2021</c:v>
                </c:pt>
                <c:pt idx="267">
                  <c:v>04.05.2021</c:v>
                </c:pt>
                <c:pt idx="268">
                  <c:v>05.05.2021</c:v>
                </c:pt>
                <c:pt idx="269">
                  <c:v>06.05.2021</c:v>
                </c:pt>
                <c:pt idx="270">
                  <c:v>10.05.2021</c:v>
                </c:pt>
                <c:pt idx="271">
                  <c:v>11.05.2021</c:v>
                </c:pt>
                <c:pt idx="272">
                  <c:v>12.05.2021</c:v>
                </c:pt>
                <c:pt idx="273">
                  <c:v>13.05.2021</c:v>
                </c:pt>
                <c:pt idx="274">
                  <c:v>17.05.2021</c:v>
                </c:pt>
                <c:pt idx="275">
                  <c:v>18.05.2021</c:v>
                </c:pt>
                <c:pt idx="276">
                  <c:v>19.05.2021</c:v>
                </c:pt>
                <c:pt idx="277">
                  <c:v>20.05.2021</c:v>
                </c:pt>
                <c:pt idx="278">
                  <c:v>24.05.2021</c:v>
                </c:pt>
                <c:pt idx="279">
                  <c:v>25.05.2021</c:v>
                </c:pt>
                <c:pt idx="280">
                  <c:v>26.05.2021</c:v>
                </c:pt>
                <c:pt idx="281">
                  <c:v>27.05.2021</c:v>
                </c:pt>
                <c:pt idx="282">
                  <c:v>01.06.2021</c:v>
                </c:pt>
                <c:pt idx="283">
                  <c:v>02.06.2021</c:v>
                </c:pt>
                <c:pt idx="284">
                  <c:v>03.06.2021</c:v>
                </c:pt>
                <c:pt idx="285">
                  <c:v>07.06.2021</c:v>
                </c:pt>
                <c:pt idx="286">
                  <c:v>08.06.2021</c:v>
                </c:pt>
                <c:pt idx="287">
                  <c:v>09.06.2021</c:v>
                </c:pt>
                <c:pt idx="288">
                  <c:v>10.06.2021</c:v>
                </c:pt>
                <c:pt idx="289">
                  <c:v>14.06.2021</c:v>
                </c:pt>
                <c:pt idx="290">
                  <c:v>15.06.2021</c:v>
                </c:pt>
                <c:pt idx="291">
                  <c:v>16.06.2021</c:v>
                </c:pt>
                <c:pt idx="292">
                  <c:v>17.06.2021</c:v>
                </c:pt>
                <c:pt idx="293">
                  <c:v>21.06.2021</c:v>
                </c:pt>
                <c:pt idx="294">
                  <c:v>22.06.2021</c:v>
                </c:pt>
                <c:pt idx="295">
                  <c:v>23.06.2021</c:v>
                </c:pt>
                <c:pt idx="296">
                  <c:v>24.06.2021</c:v>
                </c:pt>
                <c:pt idx="297">
                  <c:v>28.06.2021</c:v>
                </c:pt>
                <c:pt idx="298">
                  <c:v>29.06.2021</c:v>
                </c:pt>
                <c:pt idx="299">
                  <c:v>30.06.2021</c:v>
                </c:pt>
                <c:pt idx="300">
                  <c:v>01.07.2021</c:v>
                </c:pt>
                <c:pt idx="301">
                  <c:v>06.07.2021</c:v>
                </c:pt>
                <c:pt idx="302">
                  <c:v>07.07.2021</c:v>
                </c:pt>
                <c:pt idx="303">
                  <c:v>08.07.2021</c:v>
                </c:pt>
                <c:pt idx="304">
                  <c:v>12.07.2021</c:v>
                </c:pt>
                <c:pt idx="305">
                  <c:v>13.07.2021</c:v>
                </c:pt>
                <c:pt idx="306">
                  <c:v>14.07.2021</c:v>
                </c:pt>
                <c:pt idx="307">
                  <c:v>15.07.2021</c:v>
                </c:pt>
                <c:pt idx="308">
                  <c:v>19.07.2021</c:v>
                </c:pt>
                <c:pt idx="309">
                  <c:v>20.07.2021</c:v>
                </c:pt>
                <c:pt idx="310">
                  <c:v>21.07.2021</c:v>
                </c:pt>
                <c:pt idx="311">
                  <c:v>22.07.2021</c:v>
                </c:pt>
                <c:pt idx="312">
                  <c:v>26.07.2021</c:v>
                </c:pt>
                <c:pt idx="313">
                  <c:v>27.07.2021</c:v>
                </c:pt>
                <c:pt idx="314">
                  <c:v>28.07.2021</c:v>
                </c:pt>
                <c:pt idx="315">
                  <c:v>29.07.2021</c:v>
                </c:pt>
                <c:pt idx="316">
                  <c:v>02.08.2021</c:v>
                </c:pt>
                <c:pt idx="317">
                  <c:v>03.08.2021</c:v>
                </c:pt>
                <c:pt idx="318">
                  <c:v>04.08.2021</c:v>
                </c:pt>
                <c:pt idx="319">
                  <c:v>05.08.2021</c:v>
                </c:pt>
                <c:pt idx="320">
                  <c:v>09.08.2021</c:v>
                </c:pt>
                <c:pt idx="321">
                  <c:v>10.08.2021</c:v>
                </c:pt>
                <c:pt idx="322">
                  <c:v>11.08.2021</c:v>
                </c:pt>
                <c:pt idx="323">
                  <c:v>12.08.2021</c:v>
                </c:pt>
                <c:pt idx="324">
                  <c:v>16.08.2021</c:v>
                </c:pt>
                <c:pt idx="325">
                  <c:v>17.08.2021</c:v>
                </c:pt>
                <c:pt idx="326">
                  <c:v>18.08.2021</c:v>
                </c:pt>
                <c:pt idx="327">
                  <c:v>19.08.2021</c:v>
                </c:pt>
                <c:pt idx="328">
                  <c:v>23.08.2021</c:v>
                </c:pt>
                <c:pt idx="329">
                  <c:v>24.08.2021</c:v>
                </c:pt>
                <c:pt idx="330">
                  <c:v>25.08.2021</c:v>
                </c:pt>
                <c:pt idx="331">
                  <c:v>26.08.2021</c:v>
                </c:pt>
                <c:pt idx="332">
                  <c:v>30.08.2021</c:v>
                </c:pt>
                <c:pt idx="333">
                  <c:v>31.08.2021</c:v>
                </c:pt>
                <c:pt idx="334">
                  <c:v>01.09.2021</c:v>
                </c:pt>
                <c:pt idx="335">
                  <c:v>02.09.2021</c:v>
                </c:pt>
                <c:pt idx="336">
                  <c:v>07.09.2021</c:v>
                </c:pt>
                <c:pt idx="337">
                  <c:v>08.09.2021</c:v>
                </c:pt>
                <c:pt idx="338">
                  <c:v>09.09.2021</c:v>
                </c:pt>
                <c:pt idx="339">
                  <c:v>13.09.2021</c:v>
                </c:pt>
                <c:pt idx="340">
                  <c:v>14.09.2021</c:v>
                </c:pt>
                <c:pt idx="341">
                  <c:v>15.09.2021</c:v>
                </c:pt>
                <c:pt idx="342">
                  <c:v>16.09.2021</c:v>
                </c:pt>
                <c:pt idx="343">
                  <c:v>20.09.2021</c:v>
                </c:pt>
                <c:pt idx="344">
                  <c:v>21.09.2021</c:v>
                </c:pt>
                <c:pt idx="345">
                  <c:v>22.09.2021</c:v>
                </c:pt>
                <c:pt idx="346">
                  <c:v>23.09.2021</c:v>
                </c:pt>
                <c:pt idx="347">
                  <c:v>27.09.2021</c:v>
                </c:pt>
                <c:pt idx="348">
                  <c:v>28.09.2021</c:v>
                </c:pt>
                <c:pt idx="349">
                  <c:v>29.09.2021</c:v>
                </c:pt>
                <c:pt idx="350">
                  <c:v>30.09.2021</c:v>
                </c:pt>
                <c:pt idx="351">
                  <c:v>04.10.2021</c:v>
                </c:pt>
                <c:pt idx="352">
                  <c:v>05.10.2021</c:v>
                </c:pt>
                <c:pt idx="353">
                  <c:v>06.10.2021</c:v>
                </c:pt>
                <c:pt idx="354">
                  <c:v>07.10.2021</c:v>
                </c:pt>
                <c:pt idx="355">
                  <c:v>11.10.2021</c:v>
                </c:pt>
                <c:pt idx="356">
                  <c:v>12.10.2021</c:v>
                </c:pt>
                <c:pt idx="357">
                  <c:v>13.10.2021</c:v>
                </c:pt>
                <c:pt idx="358">
                  <c:v>14.10.2021</c:v>
                </c:pt>
                <c:pt idx="359">
                  <c:v>18.10.2021</c:v>
                </c:pt>
                <c:pt idx="360">
                  <c:v>19.10.2021</c:v>
                </c:pt>
                <c:pt idx="361">
                  <c:v>20.10.2021</c:v>
                </c:pt>
                <c:pt idx="362">
                  <c:v>21.10.2021</c:v>
                </c:pt>
                <c:pt idx="363">
                  <c:v>25.10.2021</c:v>
                </c:pt>
                <c:pt idx="364">
                  <c:v>26.10.2021</c:v>
                </c:pt>
                <c:pt idx="365">
                  <c:v>27.10.2021</c:v>
                </c:pt>
                <c:pt idx="366">
                  <c:v>28.10.2021</c:v>
                </c:pt>
                <c:pt idx="367">
                  <c:v>01.11.2021</c:v>
                </c:pt>
                <c:pt idx="368">
                  <c:v>02.11.2021</c:v>
                </c:pt>
                <c:pt idx="369">
                  <c:v>03.11.2021</c:v>
                </c:pt>
                <c:pt idx="370">
                  <c:v>04.11.2021</c:v>
                </c:pt>
                <c:pt idx="371">
                  <c:v>08.11.2021</c:v>
                </c:pt>
                <c:pt idx="372">
                  <c:v>09.11.2021</c:v>
                </c:pt>
                <c:pt idx="373">
                  <c:v>10.11.2021</c:v>
                </c:pt>
                <c:pt idx="374">
                  <c:v>11.11.2021</c:v>
                </c:pt>
                <c:pt idx="375">
                  <c:v>15.11.2021</c:v>
                </c:pt>
                <c:pt idx="376">
                  <c:v>16.11.2021</c:v>
                </c:pt>
                <c:pt idx="377">
                  <c:v>17.11.2021</c:v>
                </c:pt>
                <c:pt idx="378">
                  <c:v>18.11.2021</c:v>
                </c:pt>
                <c:pt idx="379">
                  <c:v>22.11.2021</c:v>
                </c:pt>
                <c:pt idx="380">
                  <c:v>23.11.2021</c:v>
                </c:pt>
                <c:pt idx="381">
                  <c:v>24.11.2021</c:v>
                </c:pt>
                <c:pt idx="382">
                  <c:v>29.11.2021</c:v>
                </c:pt>
                <c:pt idx="383">
                  <c:v>30.11.2021</c:v>
                </c:pt>
                <c:pt idx="384">
                  <c:v>01.12.2021</c:v>
                </c:pt>
                <c:pt idx="385">
                  <c:v>02.12.2021</c:v>
                </c:pt>
                <c:pt idx="386">
                  <c:v>06.12.2021</c:v>
                </c:pt>
                <c:pt idx="387">
                  <c:v>07.12.2021</c:v>
                </c:pt>
                <c:pt idx="388">
                  <c:v>08.12.2021</c:v>
                </c:pt>
                <c:pt idx="389">
                  <c:v>09.12.2021</c:v>
                </c:pt>
                <c:pt idx="390">
                  <c:v>13.12.2021</c:v>
                </c:pt>
                <c:pt idx="391">
                  <c:v>14.12.2021</c:v>
                </c:pt>
                <c:pt idx="392">
                  <c:v>15.12.2021</c:v>
                </c:pt>
                <c:pt idx="393">
                  <c:v>16.12.2021</c:v>
                </c:pt>
                <c:pt idx="394">
                  <c:v>20.12.2021</c:v>
                </c:pt>
                <c:pt idx="395">
                  <c:v>21.12.2021</c:v>
                </c:pt>
                <c:pt idx="396">
                  <c:v>22.12.2021</c:v>
                </c:pt>
                <c:pt idx="397">
                  <c:v>27.12.2021</c:v>
                </c:pt>
                <c:pt idx="398">
                  <c:v>28.12.2021</c:v>
                </c:pt>
                <c:pt idx="399">
                  <c:v>29.12.2021</c:v>
                </c:pt>
                <c:pt idx="400">
                  <c:v>30.12.2021</c:v>
                </c:pt>
                <c:pt idx="401">
                  <c:v>03.01.2022</c:v>
                </c:pt>
                <c:pt idx="402">
                  <c:v>04.01.2022</c:v>
                </c:pt>
                <c:pt idx="403">
                  <c:v>05.01.2022</c:v>
                </c:pt>
                <c:pt idx="404">
                  <c:v>06.01.2022</c:v>
                </c:pt>
                <c:pt idx="405">
                  <c:v>10.01.2022</c:v>
                </c:pt>
                <c:pt idx="406">
                  <c:v>11.01.2022</c:v>
                </c:pt>
                <c:pt idx="407">
                  <c:v>12.01.2022</c:v>
                </c:pt>
                <c:pt idx="408">
                  <c:v>13.01.2022</c:v>
                </c:pt>
                <c:pt idx="409">
                  <c:v>18.01.2022</c:v>
                </c:pt>
                <c:pt idx="410">
                  <c:v>19.01.2022</c:v>
                </c:pt>
                <c:pt idx="411">
                  <c:v>20.01.2022</c:v>
                </c:pt>
                <c:pt idx="412">
                  <c:v>24.01.2022</c:v>
                </c:pt>
                <c:pt idx="413">
                  <c:v>25.01.2022</c:v>
                </c:pt>
                <c:pt idx="414">
                  <c:v>26.01.2022</c:v>
                </c:pt>
                <c:pt idx="415">
                  <c:v>27.01.2022</c:v>
                </c:pt>
                <c:pt idx="416">
                  <c:v>31.01.2022</c:v>
                </c:pt>
                <c:pt idx="417">
                  <c:v>01.02.2022</c:v>
                </c:pt>
                <c:pt idx="418">
                  <c:v>02.02.2022</c:v>
                </c:pt>
                <c:pt idx="419">
                  <c:v>03.02.2022</c:v>
                </c:pt>
                <c:pt idx="420">
                  <c:v>07.02.2022</c:v>
                </c:pt>
                <c:pt idx="421">
                  <c:v>08.02.2022</c:v>
                </c:pt>
                <c:pt idx="422">
                  <c:v>09.02.2022</c:v>
                </c:pt>
                <c:pt idx="423">
                  <c:v>10.02.2022</c:v>
                </c:pt>
                <c:pt idx="424">
                  <c:v>14.02.2022</c:v>
                </c:pt>
                <c:pt idx="425">
                  <c:v>15.02.2022</c:v>
                </c:pt>
                <c:pt idx="426">
                  <c:v>16.02.2022</c:v>
                </c:pt>
                <c:pt idx="427">
                  <c:v>17.02.2022</c:v>
                </c:pt>
                <c:pt idx="428">
                  <c:v>22.02.2022</c:v>
                </c:pt>
                <c:pt idx="429">
                  <c:v>23.02.2022</c:v>
                </c:pt>
                <c:pt idx="430">
                  <c:v>24.02.2022</c:v>
                </c:pt>
                <c:pt idx="431">
                  <c:v>28.02.2022</c:v>
                </c:pt>
                <c:pt idx="432">
                  <c:v>01.03.2022</c:v>
                </c:pt>
                <c:pt idx="433">
                  <c:v>02.03.2022</c:v>
                </c:pt>
                <c:pt idx="434">
                  <c:v>03.03.2022</c:v>
                </c:pt>
                <c:pt idx="435">
                  <c:v>07.03.2022</c:v>
                </c:pt>
                <c:pt idx="436">
                  <c:v>08.03.2022</c:v>
                </c:pt>
                <c:pt idx="437">
                  <c:v>09.03.2022</c:v>
                </c:pt>
                <c:pt idx="438">
                  <c:v>10.03.2022</c:v>
                </c:pt>
                <c:pt idx="439">
                  <c:v>14.03.2022</c:v>
                </c:pt>
                <c:pt idx="440">
                  <c:v>15.03.2022</c:v>
                </c:pt>
                <c:pt idx="441">
                  <c:v>16.03.2022</c:v>
                </c:pt>
                <c:pt idx="442">
                  <c:v>17.03.2022</c:v>
                </c:pt>
                <c:pt idx="443">
                  <c:v>21.03.2022</c:v>
                </c:pt>
                <c:pt idx="444">
                  <c:v>22.03.2022</c:v>
                </c:pt>
                <c:pt idx="445">
                  <c:v>23.03.2022</c:v>
                </c:pt>
                <c:pt idx="446">
                  <c:v>24.03.2022</c:v>
                </c:pt>
                <c:pt idx="447">
                  <c:v>28.03.2022</c:v>
                </c:pt>
                <c:pt idx="448">
                  <c:v>29.03.2022</c:v>
                </c:pt>
                <c:pt idx="449">
                  <c:v>30.03.2022</c:v>
                </c:pt>
                <c:pt idx="450">
                  <c:v>31.03.2022</c:v>
                </c:pt>
                <c:pt idx="451">
                  <c:v>04.04.2022</c:v>
                </c:pt>
                <c:pt idx="452">
                  <c:v>05.04.2022</c:v>
                </c:pt>
                <c:pt idx="453">
                  <c:v>06.04.2022</c:v>
                </c:pt>
                <c:pt idx="454">
                  <c:v>07.04.2022</c:v>
                </c:pt>
                <c:pt idx="455">
                  <c:v>11.04.2022</c:v>
                </c:pt>
                <c:pt idx="456">
                  <c:v>12.04.2022</c:v>
                </c:pt>
                <c:pt idx="457">
                  <c:v>13.04.2022</c:v>
                </c:pt>
                <c:pt idx="458">
                  <c:v>18.04.2022</c:v>
                </c:pt>
                <c:pt idx="459">
                  <c:v>19.04.2022</c:v>
                </c:pt>
                <c:pt idx="460">
                  <c:v>20.04.2022</c:v>
                </c:pt>
                <c:pt idx="461">
                  <c:v>21.04.2022</c:v>
                </c:pt>
                <c:pt idx="462">
                  <c:v>25.04.2022</c:v>
                </c:pt>
                <c:pt idx="463">
                  <c:v>26.04.2022</c:v>
                </c:pt>
                <c:pt idx="464">
                  <c:v>27.04.2022</c:v>
                </c:pt>
                <c:pt idx="465">
                  <c:v>28.04.2022</c:v>
                </c:pt>
                <c:pt idx="466">
                  <c:v>02.05.2022</c:v>
                </c:pt>
                <c:pt idx="467">
                  <c:v>03.05.2022</c:v>
                </c:pt>
                <c:pt idx="468">
                  <c:v>04.05.2022</c:v>
                </c:pt>
                <c:pt idx="469">
                  <c:v>05.05.2022</c:v>
                </c:pt>
                <c:pt idx="470">
                  <c:v>09.05.2022</c:v>
                </c:pt>
                <c:pt idx="471">
                  <c:v>10.05.2022</c:v>
                </c:pt>
                <c:pt idx="472">
                  <c:v>11.05.2022</c:v>
                </c:pt>
                <c:pt idx="473">
                  <c:v>12.05.2022</c:v>
                </c:pt>
                <c:pt idx="474">
                  <c:v>16.05.2022</c:v>
                </c:pt>
                <c:pt idx="475">
                  <c:v>17.05.2022</c:v>
                </c:pt>
                <c:pt idx="476">
                  <c:v>18.05.2022</c:v>
                </c:pt>
                <c:pt idx="477">
                  <c:v>19.05.2022</c:v>
                </c:pt>
                <c:pt idx="478">
                  <c:v>23.05.2022</c:v>
                </c:pt>
                <c:pt idx="479">
                  <c:v>24.05.2022</c:v>
                </c:pt>
                <c:pt idx="480">
                  <c:v>25.05.2022</c:v>
                </c:pt>
                <c:pt idx="481">
                  <c:v>26.05.2022</c:v>
                </c:pt>
                <c:pt idx="482">
                  <c:v>31.05.2022</c:v>
                </c:pt>
                <c:pt idx="483">
                  <c:v>01.06.2022</c:v>
                </c:pt>
                <c:pt idx="484">
                  <c:v>02.06.2022</c:v>
                </c:pt>
                <c:pt idx="485">
                  <c:v>06.06.2022</c:v>
                </c:pt>
                <c:pt idx="486">
                  <c:v>07.06.2022</c:v>
                </c:pt>
                <c:pt idx="487">
                  <c:v>08.06.2022</c:v>
                </c:pt>
                <c:pt idx="488">
                  <c:v>09.06.2022</c:v>
                </c:pt>
                <c:pt idx="489">
                  <c:v>13.06.2022</c:v>
                </c:pt>
                <c:pt idx="490">
                  <c:v>14.06.2022</c:v>
                </c:pt>
                <c:pt idx="491">
                  <c:v>15.06.2022</c:v>
                </c:pt>
                <c:pt idx="492">
                  <c:v>16.06.2022</c:v>
                </c:pt>
                <c:pt idx="493">
                  <c:v>21.06.2022</c:v>
                </c:pt>
                <c:pt idx="494">
                  <c:v>22.06.2022</c:v>
                </c:pt>
                <c:pt idx="495">
                  <c:v>23.06.2022</c:v>
                </c:pt>
                <c:pt idx="496">
                  <c:v>27.06.2022</c:v>
                </c:pt>
                <c:pt idx="497">
                  <c:v>28.06.2022</c:v>
                </c:pt>
                <c:pt idx="498">
                  <c:v>29.06.2022</c:v>
                </c:pt>
                <c:pt idx="499">
                  <c:v>30.06.2022</c:v>
                </c:pt>
                <c:pt idx="500">
                  <c:v>05.07.2022</c:v>
                </c:pt>
                <c:pt idx="501">
                  <c:v>06.07.2022</c:v>
                </c:pt>
                <c:pt idx="502">
                  <c:v>07.07.2022</c:v>
                </c:pt>
                <c:pt idx="503">
                  <c:v>11.07.2022</c:v>
                </c:pt>
                <c:pt idx="504">
                  <c:v>12.07.2022</c:v>
                </c:pt>
                <c:pt idx="505">
                  <c:v>13.07.2022</c:v>
                </c:pt>
                <c:pt idx="506">
                  <c:v>14.07.2022</c:v>
                </c:pt>
                <c:pt idx="507">
                  <c:v>18.07.2022</c:v>
                </c:pt>
                <c:pt idx="508">
                  <c:v>19.07.2022</c:v>
                </c:pt>
                <c:pt idx="509">
                  <c:v>20.07.2022</c:v>
                </c:pt>
                <c:pt idx="510">
                  <c:v>21.07.2022</c:v>
                </c:pt>
                <c:pt idx="511">
                  <c:v>25.07.2022</c:v>
                </c:pt>
                <c:pt idx="512">
                  <c:v>26.07.2022</c:v>
                </c:pt>
                <c:pt idx="513">
                  <c:v>27.07.2022</c:v>
                </c:pt>
                <c:pt idx="514">
                  <c:v>28.07.2022</c:v>
                </c:pt>
                <c:pt idx="515">
                  <c:v>01.08.2022</c:v>
                </c:pt>
                <c:pt idx="516">
                  <c:v>02.08.2022</c:v>
                </c:pt>
                <c:pt idx="517">
                  <c:v>03.08.2022</c:v>
                </c:pt>
                <c:pt idx="518">
                  <c:v>04.08.2022</c:v>
                </c:pt>
                <c:pt idx="519">
                  <c:v>08.08.2022</c:v>
                </c:pt>
                <c:pt idx="520">
                  <c:v>09.08.2022</c:v>
                </c:pt>
                <c:pt idx="521">
                  <c:v>10.08.2022</c:v>
                </c:pt>
                <c:pt idx="522">
                  <c:v>11.08.2022</c:v>
                </c:pt>
                <c:pt idx="523">
                  <c:v>15.08.2022</c:v>
                </c:pt>
                <c:pt idx="524">
                  <c:v>16.08.2022</c:v>
                </c:pt>
                <c:pt idx="525">
                  <c:v>17.08.2022</c:v>
                </c:pt>
                <c:pt idx="526">
                  <c:v>18.08.2022</c:v>
                </c:pt>
                <c:pt idx="527">
                  <c:v>22.08.2022</c:v>
                </c:pt>
                <c:pt idx="528">
                  <c:v>23.08.2022</c:v>
                </c:pt>
                <c:pt idx="529">
                  <c:v>24.08.2022</c:v>
                </c:pt>
                <c:pt idx="530">
                  <c:v>25.08.2022</c:v>
                </c:pt>
                <c:pt idx="531">
                  <c:v>29.08.2022</c:v>
                </c:pt>
                <c:pt idx="532">
                  <c:v>30.08.2022</c:v>
                </c:pt>
                <c:pt idx="533">
                  <c:v>31.08.2022</c:v>
                </c:pt>
                <c:pt idx="534">
                  <c:v>01.09.2022</c:v>
                </c:pt>
                <c:pt idx="535">
                  <c:v>06.09.2022</c:v>
                </c:pt>
                <c:pt idx="536">
                  <c:v>07.09.2022</c:v>
                </c:pt>
                <c:pt idx="537">
                  <c:v>08.09.2022</c:v>
                </c:pt>
                <c:pt idx="538">
                  <c:v>12.09.2022</c:v>
                </c:pt>
                <c:pt idx="539">
                  <c:v>13.09.2022</c:v>
                </c:pt>
                <c:pt idx="540">
                  <c:v>14.09.2022</c:v>
                </c:pt>
                <c:pt idx="541">
                  <c:v>15.09.2022</c:v>
                </c:pt>
                <c:pt idx="542">
                  <c:v>19.09.2022</c:v>
                </c:pt>
                <c:pt idx="543">
                  <c:v>20.09.2022</c:v>
                </c:pt>
                <c:pt idx="544">
                  <c:v>21.09.2022</c:v>
                </c:pt>
                <c:pt idx="545">
                  <c:v>22.09.2022</c:v>
                </c:pt>
                <c:pt idx="546">
                  <c:v>26.09.2022</c:v>
                </c:pt>
                <c:pt idx="547">
                  <c:v>27.09.2022</c:v>
                </c:pt>
                <c:pt idx="548">
                  <c:v>28.09.2022</c:v>
                </c:pt>
                <c:pt idx="549">
                  <c:v>29.09.2022</c:v>
                </c:pt>
                <c:pt idx="550">
                  <c:v>03.10.2022</c:v>
                </c:pt>
                <c:pt idx="551">
                  <c:v>04.10.2022</c:v>
                </c:pt>
                <c:pt idx="552">
                  <c:v>05.10.2022</c:v>
                </c:pt>
                <c:pt idx="553">
                  <c:v>06.10.2022</c:v>
                </c:pt>
                <c:pt idx="554">
                  <c:v>10.10.2022</c:v>
                </c:pt>
                <c:pt idx="555">
                  <c:v>11.10.2022</c:v>
                </c:pt>
                <c:pt idx="556">
                  <c:v>12.10.2022</c:v>
                </c:pt>
                <c:pt idx="557">
                  <c:v>13.10.2022</c:v>
                </c:pt>
                <c:pt idx="558">
                  <c:v>17.10.2022</c:v>
                </c:pt>
                <c:pt idx="559">
                  <c:v>18.10.2022</c:v>
                </c:pt>
                <c:pt idx="560">
                  <c:v>19.10.2022</c:v>
                </c:pt>
                <c:pt idx="561">
                  <c:v>20.10.2022</c:v>
                </c:pt>
                <c:pt idx="562">
                  <c:v>24.10.2022</c:v>
                </c:pt>
                <c:pt idx="563">
                  <c:v>25.10.2022</c:v>
                </c:pt>
                <c:pt idx="564">
                  <c:v>26.10.2022</c:v>
                </c:pt>
                <c:pt idx="565">
                  <c:v>27.10.2022</c:v>
                </c:pt>
                <c:pt idx="566">
                  <c:v>31.10.2022</c:v>
                </c:pt>
                <c:pt idx="567">
                  <c:v>01.11.2022</c:v>
                </c:pt>
                <c:pt idx="568">
                  <c:v>02.11.2022</c:v>
                </c:pt>
                <c:pt idx="569">
                  <c:v>03.11.2022</c:v>
                </c:pt>
                <c:pt idx="570">
                  <c:v>07.11.2022</c:v>
                </c:pt>
                <c:pt idx="571">
                  <c:v>08.11.2022</c:v>
                </c:pt>
                <c:pt idx="572">
                  <c:v>09.11.2022</c:v>
                </c:pt>
                <c:pt idx="573">
                  <c:v>10.11.2022</c:v>
                </c:pt>
                <c:pt idx="574">
                  <c:v>14.11.2022</c:v>
                </c:pt>
                <c:pt idx="575">
                  <c:v>15.11.2022</c:v>
                </c:pt>
                <c:pt idx="576">
                  <c:v>16.11.2022</c:v>
                </c:pt>
                <c:pt idx="577">
                  <c:v>17.11.2022</c:v>
                </c:pt>
                <c:pt idx="578">
                  <c:v>21.11.2022</c:v>
                </c:pt>
                <c:pt idx="579">
                  <c:v>22.11.2022</c:v>
                </c:pt>
                <c:pt idx="580">
                  <c:v>23.11.2022</c:v>
                </c:pt>
                <c:pt idx="581">
                  <c:v>28.11.2022</c:v>
                </c:pt>
                <c:pt idx="582">
                  <c:v>29.11.2022</c:v>
                </c:pt>
                <c:pt idx="583">
                  <c:v>30.11.2022</c:v>
                </c:pt>
                <c:pt idx="584">
                  <c:v>01.12.2022</c:v>
                </c:pt>
                <c:pt idx="585">
                  <c:v>05.12.2022</c:v>
                </c:pt>
                <c:pt idx="586">
                  <c:v>06.12.2022</c:v>
                </c:pt>
                <c:pt idx="587">
                  <c:v>07.12.2022</c:v>
                </c:pt>
                <c:pt idx="588">
                  <c:v>08.12.2022</c:v>
                </c:pt>
                <c:pt idx="589">
                  <c:v>12.12.2022</c:v>
                </c:pt>
                <c:pt idx="590">
                  <c:v>13.12.2022</c:v>
                </c:pt>
                <c:pt idx="591">
                  <c:v>14.12.2022</c:v>
                </c:pt>
                <c:pt idx="592">
                  <c:v>15.12.2022</c:v>
                </c:pt>
                <c:pt idx="593">
                  <c:v>19.12.2022</c:v>
                </c:pt>
                <c:pt idx="594">
                  <c:v>20.12.2022</c:v>
                </c:pt>
                <c:pt idx="595">
                  <c:v>21.12.2022</c:v>
                </c:pt>
                <c:pt idx="596">
                  <c:v>22.12.2022</c:v>
                </c:pt>
                <c:pt idx="597">
                  <c:v>27.12.2022</c:v>
                </c:pt>
                <c:pt idx="598">
                  <c:v>28.12.2022</c:v>
                </c:pt>
                <c:pt idx="599">
                  <c:v>29.12.2022</c:v>
                </c:pt>
                <c:pt idx="600">
                  <c:v>03.01.2023</c:v>
                </c:pt>
                <c:pt idx="601">
                  <c:v>04.01.2023</c:v>
                </c:pt>
                <c:pt idx="602">
                  <c:v>05.01.2023</c:v>
                </c:pt>
                <c:pt idx="603">
                  <c:v>09.01.2023</c:v>
                </c:pt>
                <c:pt idx="604">
                  <c:v>10.01.2023</c:v>
                </c:pt>
                <c:pt idx="605">
                  <c:v>11.01.2023</c:v>
                </c:pt>
                <c:pt idx="606">
                  <c:v>12.01.2023</c:v>
                </c:pt>
                <c:pt idx="607">
                  <c:v>17.01.2023</c:v>
                </c:pt>
                <c:pt idx="608">
                  <c:v>18.01.2023</c:v>
                </c:pt>
                <c:pt idx="609">
                  <c:v>19.01.2023</c:v>
                </c:pt>
                <c:pt idx="610">
                  <c:v>23.01.2023</c:v>
                </c:pt>
                <c:pt idx="611">
                  <c:v>24.01.2023</c:v>
                </c:pt>
                <c:pt idx="612">
                  <c:v>25.01.2023</c:v>
                </c:pt>
                <c:pt idx="613">
                  <c:v>26.01.2023</c:v>
                </c:pt>
                <c:pt idx="614">
                  <c:v>30.01.2023</c:v>
                </c:pt>
                <c:pt idx="615">
                  <c:v>31.01.2023</c:v>
                </c:pt>
                <c:pt idx="616">
                  <c:v>01.02.2023</c:v>
                </c:pt>
                <c:pt idx="617">
                  <c:v>02.02.2023</c:v>
                </c:pt>
                <c:pt idx="618">
                  <c:v>06.02.2023</c:v>
                </c:pt>
                <c:pt idx="619">
                  <c:v>07.02.2023</c:v>
                </c:pt>
                <c:pt idx="620">
                  <c:v>08.02.2023</c:v>
                </c:pt>
                <c:pt idx="621">
                  <c:v>09.02.2023</c:v>
                </c:pt>
                <c:pt idx="622">
                  <c:v>13.02.2023</c:v>
                </c:pt>
                <c:pt idx="623">
                  <c:v>14.02.2023</c:v>
                </c:pt>
                <c:pt idx="624">
                  <c:v>15.02.2023</c:v>
                </c:pt>
                <c:pt idx="625">
                  <c:v>16.02.2023</c:v>
                </c:pt>
                <c:pt idx="626">
                  <c:v>21.02.2023</c:v>
                </c:pt>
                <c:pt idx="627">
                  <c:v>22.02.2023</c:v>
                </c:pt>
                <c:pt idx="628">
                  <c:v>23.02.2023</c:v>
                </c:pt>
                <c:pt idx="629">
                  <c:v>27.02.2023</c:v>
                </c:pt>
                <c:pt idx="630">
                  <c:v>28.02.2023</c:v>
                </c:pt>
                <c:pt idx="631">
                  <c:v>01.03.2023</c:v>
                </c:pt>
                <c:pt idx="632">
                  <c:v>02.03.2023</c:v>
                </c:pt>
                <c:pt idx="633">
                  <c:v>06.03.2023</c:v>
                </c:pt>
                <c:pt idx="634">
                  <c:v>07.03.2023</c:v>
                </c:pt>
                <c:pt idx="635">
                  <c:v>08.03.2023</c:v>
                </c:pt>
                <c:pt idx="636">
                  <c:v>09.03.2023</c:v>
                </c:pt>
                <c:pt idx="637">
                  <c:v>13.03.2023</c:v>
                </c:pt>
                <c:pt idx="638">
                  <c:v>14.03.2023</c:v>
                </c:pt>
                <c:pt idx="639">
                  <c:v>15.03.2023</c:v>
                </c:pt>
                <c:pt idx="640">
                  <c:v>16.03.2023</c:v>
                </c:pt>
                <c:pt idx="641">
                  <c:v>20.03.2023</c:v>
                </c:pt>
                <c:pt idx="642">
                  <c:v>21.03.2023</c:v>
                </c:pt>
                <c:pt idx="643">
                  <c:v>22.03.2023</c:v>
                </c:pt>
                <c:pt idx="644">
                  <c:v>23.03.2023</c:v>
                </c:pt>
                <c:pt idx="645">
                  <c:v>27.03.2023</c:v>
                </c:pt>
                <c:pt idx="646">
                  <c:v>28.03.2023</c:v>
                </c:pt>
                <c:pt idx="647">
                  <c:v>29.03.2023</c:v>
                </c:pt>
                <c:pt idx="648">
                  <c:v>30.03.2023</c:v>
                </c:pt>
                <c:pt idx="649">
                  <c:v>03.04.2023</c:v>
                </c:pt>
                <c:pt idx="650">
                  <c:v>04.04.2023</c:v>
                </c:pt>
                <c:pt idx="651">
                  <c:v>05.04.2023</c:v>
                </c:pt>
                <c:pt idx="652">
                  <c:v>10.04.2023</c:v>
                </c:pt>
                <c:pt idx="653">
                  <c:v>11.04.2023</c:v>
                </c:pt>
                <c:pt idx="654">
                  <c:v>12.04.2023</c:v>
                </c:pt>
                <c:pt idx="655">
                  <c:v>13.04.2023</c:v>
                </c:pt>
                <c:pt idx="656">
                  <c:v>17.04.2023</c:v>
                </c:pt>
                <c:pt idx="657">
                  <c:v>18.04.2023</c:v>
                </c:pt>
                <c:pt idx="658">
                  <c:v>19.04.2023</c:v>
                </c:pt>
                <c:pt idx="659">
                  <c:v>20.04.2023</c:v>
                </c:pt>
                <c:pt idx="660">
                  <c:v>24.04.2023</c:v>
                </c:pt>
                <c:pt idx="661">
                  <c:v>25.04.2023</c:v>
                </c:pt>
                <c:pt idx="662">
                  <c:v>26.04.2023</c:v>
                </c:pt>
                <c:pt idx="663">
                  <c:v>27.04.2023</c:v>
                </c:pt>
                <c:pt idx="664">
                  <c:v>01.05.2023</c:v>
                </c:pt>
                <c:pt idx="665">
                  <c:v>02.05.2023</c:v>
                </c:pt>
                <c:pt idx="666">
                  <c:v>03.05.2023</c:v>
                </c:pt>
                <c:pt idx="667">
                  <c:v>04.05.2023</c:v>
                </c:pt>
                <c:pt idx="668">
                  <c:v>08.05.2023</c:v>
                </c:pt>
                <c:pt idx="669">
                  <c:v>09.05.2023</c:v>
                </c:pt>
                <c:pt idx="670">
                  <c:v>10.05.2023</c:v>
                </c:pt>
                <c:pt idx="671">
                  <c:v>11.05.2023</c:v>
                </c:pt>
                <c:pt idx="672">
                  <c:v>15.05.2023</c:v>
                </c:pt>
                <c:pt idx="673">
                  <c:v>16.05.2023</c:v>
                </c:pt>
                <c:pt idx="674">
                  <c:v>17.05.2023</c:v>
                </c:pt>
                <c:pt idx="675">
                  <c:v>18.05.2023</c:v>
                </c:pt>
                <c:pt idx="676">
                  <c:v>22.05.2023</c:v>
                </c:pt>
                <c:pt idx="677">
                  <c:v>23.05.2023</c:v>
                </c:pt>
                <c:pt idx="678">
                  <c:v>24.05.2023</c:v>
                </c:pt>
                <c:pt idx="679">
                  <c:v>25.05.2023</c:v>
                </c:pt>
                <c:pt idx="680">
                  <c:v>30.05.2023</c:v>
                </c:pt>
                <c:pt idx="681">
                  <c:v>31.05.2023</c:v>
                </c:pt>
                <c:pt idx="682">
                  <c:v>01.06.2023</c:v>
                </c:pt>
                <c:pt idx="683">
                  <c:v>05.06.2023</c:v>
                </c:pt>
                <c:pt idx="684">
                  <c:v>06.06.2023</c:v>
                </c:pt>
                <c:pt idx="685">
                  <c:v>07.06.2023</c:v>
                </c:pt>
                <c:pt idx="686">
                  <c:v>08.06.2023</c:v>
                </c:pt>
                <c:pt idx="687">
                  <c:v>12.06.2023</c:v>
                </c:pt>
                <c:pt idx="688">
                  <c:v>13.06.2023</c:v>
                </c:pt>
                <c:pt idx="689">
                  <c:v>14.06.2023</c:v>
                </c:pt>
                <c:pt idx="690">
                  <c:v>15.06.2023</c:v>
                </c:pt>
                <c:pt idx="691">
                  <c:v>20.06.2023</c:v>
                </c:pt>
                <c:pt idx="692">
                  <c:v>21.06.2023</c:v>
                </c:pt>
                <c:pt idx="693">
                  <c:v>22.06.2023</c:v>
                </c:pt>
                <c:pt idx="694">
                  <c:v>26.06.2023</c:v>
                </c:pt>
                <c:pt idx="695">
                  <c:v>27.06.2023</c:v>
                </c:pt>
                <c:pt idx="696">
                  <c:v>28.06.2023</c:v>
                </c:pt>
                <c:pt idx="697">
                  <c:v>29.06.2023</c:v>
                </c:pt>
                <c:pt idx="698">
                  <c:v>03.07.2023</c:v>
                </c:pt>
                <c:pt idx="699">
                  <c:v>05.07.2023</c:v>
                </c:pt>
                <c:pt idx="700">
                  <c:v>06.07.2023</c:v>
                </c:pt>
                <c:pt idx="701">
                  <c:v>10.07.2023</c:v>
                </c:pt>
                <c:pt idx="702">
                  <c:v>11.07.2023</c:v>
                </c:pt>
                <c:pt idx="703">
                  <c:v>12.07.2023</c:v>
                </c:pt>
                <c:pt idx="704">
                  <c:v>13.07.2023</c:v>
                </c:pt>
                <c:pt idx="705">
                  <c:v>17.07.2023</c:v>
                </c:pt>
                <c:pt idx="706">
                  <c:v>18.07.2023</c:v>
                </c:pt>
                <c:pt idx="707">
                  <c:v>19.07.2023</c:v>
                </c:pt>
                <c:pt idx="708">
                  <c:v>20.07.2023</c:v>
                </c:pt>
                <c:pt idx="709">
                  <c:v>24.07.2023</c:v>
                </c:pt>
                <c:pt idx="710">
                  <c:v>25.07.2023</c:v>
                </c:pt>
                <c:pt idx="711">
                  <c:v>26.07.2023</c:v>
                </c:pt>
                <c:pt idx="712">
                  <c:v>27.07.2023</c:v>
                </c:pt>
                <c:pt idx="713">
                  <c:v>31.07.2023</c:v>
                </c:pt>
                <c:pt idx="714">
                  <c:v>01.08.2023</c:v>
                </c:pt>
                <c:pt idx="715">
                  <c:v>02.08.2023</c:v>
                </c:pt>
                <c:pt idx="716">
                  <c:v>03.08.2023</c:v>
                </c:pt>
                <c:pt idx="717">
                  <c:v>07.08.2023</c:v>
                </c:pt>
                <c:pt idx="718">
                  <c:v>08.08.2023</c:v>
                </c:pt>
                <c:pt idx="719">
                  <c:v>09.08.2023</c:v>
                </c:pt>
                <c:pt idx="720">
                  <c:v>10.08.2023</c:v>
                </c:pt>
                <c:pt idx="721">
                  <c:v>14.08.2023</c:v>
                </c:pt>
                <c:pt idx="722">
                  <c:v>15.08.2023</c:v>
                </c:pt>
                <c:pt idx="723">
                  <c:v>16.08.2023</c:v>
                </c:pt>
                <c:pt idx="724">
                  <c:v>17.08.2023</c:v>
                </c:pt>
                <c:pt idx="725">
                  <c:v>21.08.2023</c:v>
                </c:pt>
                <c:pt idx="726">
                  <c:v>22.08.2023</c:v>
                </c:pt>
                <c:pt idx="727">
                  <c:v>23.08.2023</c:v>
                </c:pt>
                <c:pt idx="728">
                  <c:v>24.08.2023</c:v>
                </c:pt>
                <c:pt idx="729">
                  <c:v>28.08.2023</c:v>
                </c:pt>
                <c:pt idx="730">
                  <c:v>29.08.2023</c:v>
                </c:pt>
                <c:pt idx="731">
                  <c:v>30.08.2023</c:v>
                </c:pt>
                <c:pt idx="732">
                  <c:v>31.08.2023</c:v>
                </c:pt>
                <c:pt idx="733">
                  <c:v>05.09.2023</c:v>
                </c:pt>
                <c:pt idx="734">
                  <c:v>06.09.2023</c:v>
                </c:pt>
                <c:pt idx="735">
                  <c:v>07.09.2023</c:v>
                </c:pt>
                <c:pt idx="736">
                  <c:v>11.09.2023</c:v>
                </c:pt>
                <c:pt idx="737">
                  <c:v>12.09.2023</c:v>
                </c:pt>
                <c:pt idx="738">
                  <c:v>13.09.2023</c:v>
                </c:pt>
                <c:pt idx="739">
                  <c:v>14.09.2023</c:v>
                </c:pt>
                <c:pt idx="740">
                  <c:v>18.09.2023</c:v>
                </c:pt>
                <c:pt idx="741">
                  <c:v>19.09.2023</c:v>
                </c:pt>
                <c:pt idx="742">
                  <c:v>20.09.2023</c:v>
                </c:pt>
                <c:pt idx="743">
                  <c:v>21.09.2023</c:v>
                </c:pt>
                <c:pt idx="744">
                  <c:v>25.09.2023</c:v>
                </c:pt>
                <c:pt idx="745">
                  <c:v>26.09.2023</c:v>
                </c:pt>
                <c:pt idx="746">
                  <c:v>27.09.2023</c:v>
                </c:pt>
                <c:pt idx="747">
                  <c:v>28.09.2023</c:v>
                </c:pt>
                <c:pt idx="748">
                  <c:v>02.10.2023</c:v>
                </c:pt>
                <c:pt idx="749">
                  <c:v>03.10.2023</c:v>
                </c:pt>
                <c:pt idx="750">
                  <c:v>04.10.2023</c:v>
                </c:pt>
                <c:pt idx="751">
                  <c:v>05.10.2023</c:v>
                </c:pt>
                <c:pt idx="752">
                  <c:v>09.10.2023</c:v>
                </c:pt>
                <c:pt idx="753">
                  <c:v>10.10.2023</c:v>
                </c:pt>
                <c:pt idx="754">
                  <c:v>11.10.2023</c:v>
                </c:pt>
                <c:pt idx="755">
                  <c:v>12.10.2023</c:v>
                </c:pt>
                <c:pt idx="756">
                  <c:v>16.10.2023</c:v>
                </c:pt>
                <c:pt idx="757">
                  <c:v>17.10.2023</c:v>
                </c:pt>
                <c:pt idx="758">
                  <c:v>18.10.2023</c:v>
                </c:pt>
                <c:pt idx="759">
                  <c:v>19.10.2023</c:v>
                </c:pt>
                <c:pt idx="760">
                  <c:v>23.10.2023</c:v>
                </c:pt>
                <c:pt idx="761">
                  <c:v>24.10.2023</c:v>
                </c:pt>
                <c:pt idx="762">
                  <c:v>25.10.2023</c:v>
                </c:pt>
                <c:pt idx="763">
                  <c:v>26.10.2023</c:v>
                </c:pt>
                <c:pt idx="764">
                  <c:v>30.10.2023</c:v>
                </c:pt>
                <c:pt idx="765">
                  <c:v>31.10.2023</c:v>
                </c:pt>
                <c:pt idx="766">
                  <c:v>01.11.2023</c:v>
                </c:pt>
                <c:pt idx="767">
                  <c:v>02.11.2023</c:v>
                </c:pt>
                <c:pt idx="768">
                  <c:v>06.11.2023</c:v>
                </c:pt>
                <c:pt idx="769">
                  <c:v>07.11.2023</c:v>
                </c:pt>
                <c:pt idx="770">
                  <c:v>08.11.2023</c:v>
                </c:pt>
                <c:pt idx="771">
                  <c:v>09.11.2023</c:v>
                </c:pt>
                <c:pt idx="772">
                  <c:v>13.11.2023</c:v>
                </c:pt>
                <c:pt idx="773">
                  <c:v>14.11.2023</c:v>
                </c:pt>
                <c:pt idx="774">
                  <c:v>15.11.2023</c:v>
                </c:pt>
                <c:pt idx="775">
                  <c:v>16.11.2023</c:v>
                </c:pt>
                <c:pt idx="776">
                  <c:v>20.11.2023</c:v>
                </c:pt>
                <c:pt idx="777">
                  <c:v>21.11.2023</c:v>
                </c:pt>
                <c:pt idx="778">
                  <c:v>22.11.2023</c:v>
                </c:pt>
                <c:pt idx="779">
                  <c:v>27.11.2023</c:v>
                </c:pt>
                <c:pt idx="780">
                  <c:v>28.11.2023</c:v>
                </c:pt>
                <c:pt idx="781">
                  <c:v>29.11.2023</c:v>
                </c:pt>
                <c:pt idx="782">
                  <c:v>30.11.2023</c:v>
                </c:pt>
                <c:pt idx="783">
                  <c:v>04.12.2023</c:v>
                </c:pt>
                <c:pt idx="784">
                  <c:v>05.12.2023</c:v>
                </c:pt>
                <c:pt idx="785">
                  <c:v>06.12.2023</c:v>
                </c:pt>
                <c:pt idx="786">
                  <c:v>07.12.2023</c:v>
                </c:pt>
                <c:pt idx="787">
                  <c:v>11.12.2023</c:v>
                </c:pt>
                <c:pt idx="788">
                  <c:v>12.12.2023</c:v>
                </c:pt>
                <c:pt idx="789">
                  <c:v>13.12.2023</c:v>
                </c:pt>
                <c:pt idx="790">
                  <c:v>14.12.2023</c:v>
                </c:pt>
                <c:pt idx="791">
                  <c:v>18.12.2023</c:v>
                </c:pt>
                <c:pt idx="792">
                  <c:v>19.12.2023</c:v>
                </c:pt>
                <c:pt idx="793">
                  <c:v>20.12.2023</c:v>
                </c:pt>
                <c:pt idx="794">
                  <c:v>21.12.2023</c:v>
                </c:pt>
                <c:pt idx="795">
                  <c:v>26.12.2023</c:v>
                </c:pt>
                <c:pt idx="796">
                  <c:v>27.12.2023</c:v>
                </c:pt>
                <c:pt idx="797">
                  <c:v>28.12.2023</c:v>
                </c:pt>
                <c:pt idx="798">
                  <c:v>02.01.2024</c:v>
                </c:pt>
                <c:pt idx="799">
                  <c:v>03.01.2024</c:v>
                </c:pt>
                <c:pt idx="800">
                  <c:v>04.01.2024</c:v>
                </c:pt>
                <c:pt idx="801">
                  <c:v>08.01.2024</c:v>
                </c:pt>
                <c:pt idx="802">
                  <c:v>09.01.2024</c:v>
                </c:pt>
                <c:pt idx="803">
                  <c:v>10.01.2024</c:v>
                </c:pt>
                <c:pt idx="804">
                  <c:v>11.01.2024</c:v>
                </c:pt>
                <c:pt idx="805">
                  <c:v>16.01.2024</c:v>
                </c:pt>
                <c:pt idx="806">
                  <c:v>17.01.2024</c:v>
                </c:pt>
                <c:pt idx="807">
                  <c:v>18.01.2024</c:v>
                </c:pt>
                <c:pt idx="808">
                  <c:v>22.01.2024</c:v>
                </c:pt>
                <c:pt idx="809">
                  <c:v>23.01.2024</c:v>
                </c:pt>
                <c:pt idx="810">
                  <c:v>24.01.2024</c:v>
                </c:pt>
                <c:pt idx="811">
                  <c:v>25.01.2024</c:v>
                </c:pt>
                <c:pt idx="812">
                  <c:v>29.01.2024</c:v>
                </c:pt>
                <c:pt idx="813">
                  <c:v>30.01.2024</c:v>
                </c:pt>
                <c:pt idx="814">
                  <c:v>31.01.2024</c:v>
                </c:pt>
                <c:pt idx="815">
                  <c:v>01.02.2024</c:v>
                </c:pt>
                <c:pt idx="816">
                  <c:v>05.02.2024</c:v>
                </c:pt>
                <c:pt idx="817">
                  <c:v>06.02.2024</c:v>
                </c:pt>
                <c:pt idx="818">
                  <c:v>07.02.2024</c:v>
                </c:pt>
                <c:pt idx="819">
                  <c:v>08.02.2024</c:v>
                </c:pt>
                <c:pt idx="820">
                  <c:v>12.02.2024</c:v>
                </c:pt>
                <c:pt idx="821">
                  <c:v>13.02.2024</c:v>
                </c:pt>
                <c:pt idx="822">
                  <c:v>14.02.2024</c:v>
                </c:pt>
                <c:pt idx="823">
                  <c:v>15.02.2024</c:v>
                </c:pt>
                <c:pt idx="824">
                  <c:v>20.02.2024</c:v>
                </c:pt>
                <c:pt idx="825">
                  <c:v>21.02.2024</c:v>
                </c:pt>
                <c:pt idx="826">
                  <c:v>22.02.2024</c:v>
                </c:pt>
                <c:pt idx="827">
                  <c:v>26.02.2024</c:v>
                </c:pt>
                <c:pt idx="828">
                  <c:v>27.02.2024</c:v>
                </c:pt>
                <c:pt idx="829">
                  <c:v>28.02.2024</c:v>
                </c:pt>
                <c:pt idx="830">
                  <c:v>29.02.2024</c:v>
                </c:pt>
                <c:pt idx="831">
                  <c:v>04.03.2024</c:v>
                </c:pt>
                <c:pt idx="832">
                  <c:v>05.03.2024</c:v>
                </c:pt>
                <c:pt idx="833">
                  <c:v>06.03.2024</c:v>
                </c:pt>
                <c:pt idx="834">
                  <c:v>07.03.2024</c:v>
                </c:pt>
                <c:pt idx="835">
                  <c:v>11.03.2024</c:v>
                </c:pt>
                <c:pt idx="836">
                  <c:v>12.03.2024</c:v>
                </c:pt>
                <c:pt idx="837">
                  <c:v>13.03.2024</c:v>
                </c:pt>
                <c:pt idx="838">
                  <c:v>14.03.2024</c:v>
                </c:pt>
                <c:pt idx="839">
                  <c:v>18.03.2024</c:v>
                </c:pt>
                <c:pt idx="840">
                  <c:v>19.03.2024</c:v>
                </c:pt>
                <c:pt idx="841">
                  <c:v>20.03.2024</c:v>
                </c:pt>
                <c:pt idx="842">
                  <c:v>21.03.2024</c:v>
                </c:pt>
                <c:pt idx="843">
                  <c:v>25.03.2024</c:v>
                </c:pt>
                <c:pt idx="844">
                  <c:v>26.03.2024</c:v>
                </c:pt>
                <c:pt idx="845">
                  <c:v>27.03.2024</c:v>
                </c:pt>
                <c:pt idx="846">
                  <c:v>01.04.2024</c:v>
                </c:pt>
                <c:pt idx="847">
                  <c:v>02.04.2024</c:v>
                </c:pt>
                <c:pt idx="848">
                  <c:v>03.04.2024</c:v>
                </c:pt>
                <c:pt idx="849">
                  <c:v>04.04.2024</c:v>
                </c:pt>
                <c:pt idx="850">
                  <c:v>08.04.2024</c:v>
                </c:pt>
                <c:pt idx="851">
                  <c:v>09.04.2024</c:v>
                </c:pt>
                <c:pt idx="852">
                  <c:v>10.04.2024</c:v>
                </c:pt>
                <c:pt idx="853">
                  <c:v>11.04.2024</c:v>
                </c:pt>
                <c:pt idx="854">
                  <c:v>15.04.2024</c:v>
                </c:pt>
                <c:pt idx="855">
                  <c:v>16.04.2024</c:v>
                </c:pt>
                <c:pt idx="856">
                  <c:v>17.04.2024</c:v>
                </c:pt>
                <c:pt idx="857">
                  <c:v>18.04.2024</c:v>
                </c:pt>
                <c:pt idx="858">
                  <c:v>22.04.2024</c:v>
                </c:pt>
                <c:pt idx="859">
                  <c:v>23.04.2024</c:v>
                </c:pt>
                <c:pt idx="860">
                  <c:v>24.04.2024</c:v>
                </c:pt>
                <c:pt idx="861">
                  <c:v>25.04.2024</c:v>
                </c:pt>
                <c:pt idx="862">
                  <c:v>29.04.2024</c:v>
                </c:pt>
                <c:pt idx="863">
                  <c:v>30.04.2024</c:v>
                </c:pt>
                <c:pt idx="864">
                  <c:v>01.05.2024</c:v>
                </c:pt>
                <c:pt idx="865">
                  <c:v>02.05.2024</c:v>
                </c:pt>
                <c:pt idx="866">
                  <c:v>06.05.2024</c:v>
                </c:pt>
                <c:pt idx="867">
                  <c:v>07.05.2024</c:v>
                </c:pt>
                <c:pt idx="868">
                  <c:v>08.05.2024</c:v>
                </c:pt>
                <c:pt idx="869">
                  <c:v>09.05.2024</c:v>
                </c:pt>
                <c:pt idx="870">
                  <c:v>13.05.2024</c:v>
                </c:pt>
                <c:pt idx="871">
                  <c:v>14.05.2024</c:v>
                </c:pt>
                <c:pt idx="872">
                  <c:v>15.05.2024</c:v>
                </c:pt>
                <c:pt idx="873">
                  <c:v>16.05.2024</c:v>
                </c:pt>
                <c:pt idx="874">
                  <c:v>20.05.2024</c:v>
                </c:pt>
                <c:pt idx="875">
                  <c:v>21.05.2024</c:v>
                </c:pt>
                <c:pt idx="876">
                  <c:v>22.05.2024</c:v>
                </c:pt>
                <c:pt idx="877">
                  <c:v>23.05.2024</c:v>
                </c:pt>
                <c:pt idx="878">
                  <c:v>28.05.2024</c:v>
                </c:pt>
                <c:pt idx="879">
                  <c:v>29.05.2024</c:v>
                </c:pt>
                <c:pt idx="880">
                  <c:v>30.05.2024</c:v>
                </c:pt>
                <c:pt idx="881">
                  <c:v>03.06.2024</c:v>
                </c:pt>
                <c:pt idx="882">
                  <c:v>04.06.2024</c:v>
                </c:pt>
                <c:pt idx="883">
                  <c:v>05.06.2024</c:v>
                </c:pt>
                <c:pt idx="884">
                  <c:v>06.06.2024</c:v>
                </c:pt>
                <c:pt idx="885">
                  <c:v>10.06.2024</c:v>
                </c:pt>
                <c:pt idx="886">
                  <c:v>11.06.2024</c:v>
                </c:pt>
                <c:pt idx="887">
                  <c:v>12.06.2024</c:v>
                </c:pt>
                <c:pt idx="888">
                  <c:v>13.06.2024</c:v>
                </c:pt>
                <c:pt idx="889">
                  <c:v>17.06.2024</c:v>
                </c:pt>
                <c:pt idx="890">
                  <c:v>18.06.2024</c:v>
                </c:pt>
                <c:pt idx="891">
                  <c:v>20.06.2024</c:v>
                </c:pt>
                <c:pt idx="892">
                  <c:v>24.06.2024</c:v>
                </c:pt>
                <c:pt idx="893">
                  <c:v>25.06.2024</c:v>
                </c:pt>
                <c:pt idx="894">
                  <c:v>26.06.2024</c:v>
                </c:pt>
                <c:pt idx="895">
                  <c:v>27.06.2024</c:v>
                </c:pt>
                <c:pt idx="896">
                  <c:v>01.07.2024</c:v>
                </c:pt>
                <c:pt idx="897">
                  <c:v>02.07.2024</c:v>
                </c:pt>
                <c:pt idx="898">
                  <c:v>03.07.2024</c:v>
                </c:pt>
                <c:pt idx="899">
                  <c:v>08.07.2024</c:v>
                </c:pt>
                <c:pt idx="900">
                  <c:v>09.07.2024</c:v>
                </c:pt>
                <c:pt idx="901">
                  <c:v>10.07.2024</c:v>
                </c:pt>
                <c:pt idx="902">
                  <c:v>11.07.2024</c:v>
                </c:pt>
                <c:pt idx="903">
                  <c:v>15.07.2024</c:v>
                </c:pt>
                <c:pt idx="904">
                  <c:v>16.07.2024</c:v>
                </c:pt>
                <c:pt idx="905">
                  <c:v>17.07.2024</c:v>
                </c:pt>
                <c:pt idx="906">
                  <c:v>18.07.2024</c:v>
                </c:pt>
                <c:pt idx="907">
                  <c:v>22.07.2024</c:v>
                </c:pt>
                <c:pt idx="908">
                  <c:v>23.07.2024</c:v>
                </c:pt>
                <c:pt idx="909">
                  <c:v>24.07.2024</c:v>
                </c:pt>
                <c:pt idx="910">
                  <c:v>25.07.2024</c:v>
                </c:pt>
                <c:pt idx="911">
                  <c:v>29.07.2024</c:v>
                </c:pt>
                <c:pt idx="912">
                  <c:v>30.07.2024</c:v>
                </c:pt>
                <c:pt idx="913">
                  <c:v>31.07.2024</c:v>
                </c:pt>
                <c:pt idx="914">
                  <c:v>01.08.2024</c:v>
                </c:pt>
                <c:pt idx="915">
                  <c:v>05.08.2024</c:v>
                </c:pt>
                <c:pt idx="916">
                  <c:v>06.08.2024</c:v>
                </c:pt>
                <c:pt idx="917">
                  <c:v>07.08.2024</c:v>
                </c:pt>
                <c:pt idx="918">
                  <c:v>08.08.2024</c:v>
                </c:pt>
                <c:pt idx="919">
                  <c:v>12.08.2024</c:v>
                </c:pt>
                <c:pt idx="920">
                  <c:v>13.08.2024</c:v>
                </c:pt>
                <c:pt idx="921">
                  <c:v>14.08.2024</c:v>
                </c:pt>
                <c:pt idx="922">
                  <c:v>15.08.2024</c:v>
                </c:pt>
                <c:pt idx="923">
                  <c:v>19.08.2024</c:v>
                </c:pt>
                <c:pt idx="924">
                  <c:v>20.08.2024</c:v>
                </c:pt>
                <c:pt idx="925">
                  <c:v>21.08.2024</c:v>
                </c:pt>
                <c:pt idx="926">
                  <c:v>22.08.2024</c:v>
                </c:pt>
                <c:pt idx="927">
                  <c:v>26.08.2024</c:v>
                </c:pt>
                <c:pt idx="928">
                  <c:v>27.08.2024</c:v>
                </c:pt>
                <c:pt idx="929">
                  <c:v>28.08.2024</c:v>
                </c:pt>
                <c:pt idx="930">
                  <c:v>29.08.2024</c:v>
                </c:pt>
                <c:pt idx="931">
                  <c:v>03.09.2024</c:v>
                </c:pt>
                <c:pt idx="932">
                  <c:v>04.09.2024</c:v>
                </c:pt>
                <c:pt idx="933">
                  <c:v>05.09.2024</c:v>
                </c:pt>
                <c:pt idx="934">
                  <c:v>09.09.2024</c:v>
                </c:pt>
                <c:pt idx="935">
                  <c:v>10.09.2024</c:v>
                </c:pt>
                <c:pt idx="936">
                  <c:v>11.09.2024</c:v>
                </c:pt>
                <c:pt idx="937">
                  <c:v>12.09.2024</c:v>
                </c:pt>
                <c:pt idx="938">
                  <c:v>16.09.2024</c:v>
                </c:pt>
                <c:pt idx="939">
                  <c:v>17.09.2024</c:v>
                </c:pt>
                <c:pt idx="940">
                  <c:v>18.09.2024</c:v>
                </c:pt>
                <c:pt idx="941">
                  <c:v>19.09.2024</c:v>
                </c:pt>
                <c:pt idx="942">
                  <c:v>23.09.2024</c:v>
                </c:pt>
                <c:pt idx="943">
                  <c:v>24.09.2024</c:v>
                </c:pt>
                <c:pt idx="944">
                  <c:v>25.09.2024</c:v>
                </c:pt>
                <c:pt idx="945">
                  <c:v>26.09.2024</c:v>
                </c:pt>
                <c:pt idx="946">
                  <c:v>30.09.2024</c:v>
                </c:pt>
                <c:pt idx="947">
                  <c:v>01.10.2024</c:v>
                </c:pt>
                <c:pt idx="948">
                  <c:v>02.10.2024</c:v>
                </c:pt>
                <c:pt idx="949">
                  <c:v>03.10.2024</c:v>
                </c:pt>
                <c:pt idx="950">
                  <c:v>07.10.2024</c:v>
                </c:pt>
                <c:pt idx="951">
                  <c:v>08.10.2024</c:v>
                </c:pt>
                <c:pt idx="952">
                  <c:v>09.10.2024</c:v>
                </c:pt>
                <c:pt idx="953">
                  <c:v>10.10.2024</c:v>
                </c:pt>
                <c:pt idx="954">
                  <c:v>14.10.2024</c:v>
                </c:pt>
                <c:pt idx="955">
                  <c:v>15.10.2024</c:v>
                </c:pt>
                <c:pt idx="956">
                  <c:v>16.10.2024</c:v>
                </c:pt>
                <c:pt idx="957">
                  <c:v>17.10.2024</c:v>
                </c:pt>
                <c:pt idx="958">
                  <c:v>21.10.2024</c:v>
                </c:pt>
                <c:pt idx="959">
                  <c:v>22.10.2024</c:v>
                </c:pt>
                <c:pt idx="960">
                  <c:v>23.10.2024</c:v>
                </c:pt>
                <c:pt idx="961">
                  <c:v>24.10.2024</c:v>
                </c:pt>
                <c:pt idx="962">
                  <c:v>28.10.2024</c:v>
                </c:pt>
                <c:pt idx="963">
                  <c:v>29.10.2024</c:v>
                </c:pt>
                <c:pt idx="964">
                  <c:v>30.10.2024</c:v>
                </c:pt>
                <c:pt idx="965">
                  <c:v>31.10.2024</c:v>
                </c:pt>
                <c:pt idx="966">
                  <c:v>04.11.2024</c:v>
                </c:pt>
                <c:pt idx="967">
                  <c:v>05.11.2024</c:v>
                </c:pt>
                <c:pt idx="968">
                  <c:v>06.11.2024</c:v>
                </c:pt>
                <c:pt idx="969">
                  <c:v>07.11.2024</c:v>
                </c:pt>
                <c:pt idx="970">
                  <c:v>11.11.2024</c:v>
                </c:pt>
                <c:pt idx="971">
                  <c:v>12.11.2024</c:v>
                </c:pt>
                <c:pt idx="972">
                  <c:v>13.11.2024</c:v>
                </c:pt>
                <c:pt idx="973">
                  <c:v>14.11.2024</c:v>
                </c:pt>
                <c:pt idx="974">
                  <c:v>18.11.2024</c:v>
                </c:pt>
                <c:pt idx="975">
                  <c:v>19.11.2024</c:v>
                </c:pt>
                <c:pt idx="976">
                  <c:v>20.11.2024</c:v>
                </c:pt>
                <c:pt idx="977">
                  <c:v>21.11.2024</c:v>
                </c:pt>
                <c:pt idx="978">
                  <c:v>25.11.2024</c:v>
                </c:pt>
                <c:pt idx="979">
                  <c:v>26.11.2024</c:v>
                </c:pt>
                <c:pt idx="980">
                  <c:v>27.11.2024</c:v>
                </c:pt>
                <c:pt idx="981">
                  <c:v>02.12.2024</c:v>
                </c:pt>
                <c:pt idx="982">
                  <c:v>03.12.2024</c:v>
                </c:pt>
                <c:pt idx="983">
                  <c:v>04.12.2024</c:v>
                </c:pt>
                <c:pt idx="984">
                  <c:v>05.12.2024</c:v>
                </c:pt>
                <c:pt idx="985">
                  <c:v>09.12.2024</c:v>
                </c:pt>
                <c:pt idx="986">
                  <c:v>10.12.2024</c:v>
                </c:pt>
                <c:pt idx="987">
                  <c:v>11.12.2024</c:v>
                </c:pt>
                <c:pt idx="988">
                  <c:v>12.12.2024</c:v>
                </c:pt>
                <c:pt idx="989">
                  <c:v>16.12.2024</c:v>
                </c:pt>
                <c:pt idx="990">
                  <c:v>17.12.2024</c:v>
                </c:pt>
                <c:pt idx="991">
                  <c:v>18.12.2024</c:v>
                </c:pt>
                <c:pt idx="992">
                  <c:v>19.12.2024</c:v>
                </c:pt>
                <c:pt idx="993">
                  <c:v>23.12.2024</c:v>
                </c:pt>
                <c:pt idx="994">
                  <c:v>26.12.2024</c:v>
                </c:pt>
                <c:pt idx="995">
                  <c:v>30.12.2024</c:v>
                </c:pt>
                <c:pt idx="996">
                  <c:v>02.01.2025</c:v>
                </c:pt>
                <c:pt idx="997">
                  <c:v>06.01.2025</c:v>
                </c:pt>
                <c:pt idx="998">
                  <c:v>07.01.2025</c:v>
                </c:pt>
                <c:pt idx="999">
                  <c:v>08.01.2025</c:v>
                </c:pt>
                <c:pt idx="1000">
                  <c:v>09.01.2025</c:v>
                </c:pt>
                <c:pt idx="1001">
                  <c:v>13.01.2025</c:v>
                </c:pt>
                <c:pt idx="1002">
                  <c:v>14.01.2025</c:v>
                </c:pt>
                <c:pt idx="1003">
                  <c:v>15.01.2025</c:v>
                </c:pt>
                <c:pt idx="1004">
                  <c:v>16.01.2025</c:v>
                </c:pt>
                <c:pt idx="1005">
                  <c:v>21.01.2025</c:v>
                </c:pt>
                <c:pt idx="1006">
                  <c:v>22.01.2025</c:v>
                </c:pt>
                <c:pt idx="1007">
                  <c:v>23.01.2025</c:v>
                </c:pt>
                <c:pt idx="1008">
                  <c:v>27.01.2025</c:v>
                </c:pt>
                <c:pt idx="1009">
                  <c:v>28.01.2025</c:v>
                </c:pt>
                <c:pt idx="1010">
                  <c:v>29.01.2025</c:v>
                </c:pt>
                <c:pt idx="1011">
                  <c:v>30.01.2025</c:v>
                </c:pt>
                <c:pt idx="1012">
                  <c:v>03.02.2025</c:v>
                </c:pt>
                <c:pt idx="1013">
                  <c:v>04.02.2025</c:v>
                </c:pt>
                <c:pt idx="1014">
                  <c:v>05.02.2025</c:v>
                </c:pt>
                <c:pt idx="1015">
                  <c:v>06.02.2025</c:v>
                </c:pt>
                <c:pt idx="1016">
                  <c:v>10.02.2025</c:v>
                </c:pt>
                <c:pt idx="1017">
                  <c:v>11.02.2025</c:v>
                </c:pt>
                <c:pt idx="1018">
                  <c:v>12.02.2025</c:v>
                </c:pt>
                <c:pt idx="1019">
                  <c:v>13.02.2025</c:v>
                </c:pt>
                <c:pt idx="1020">
                  <c:v>18.02.2025</c:v>
                </c:pt>
                <c:pt idx="1021">
                  <c:v>19.02.2025</c:v>
                </c:pt>
                <c:pt idx="1022">
                  <c:v>20.02.2025</c:v>
                </c:pt>
                <c:pt idx="1023">
                  <c:v>24.02.2025</c:v>
                </c:pt>
                <c:pt idx="1024">
                  <c:v>25.02.2025</c:v>
                </c:pt>
                <c:pt idx="1025">
                  <c:v>26.02.2025</c:v>
                </c:pt>
                <c:pt idx="1026">
                  <c:v>27.02.2025</c:v>
                </c:pt>
                <c:pt idx="1027">
                  <c:v>03.03.2025</c:v>
                </c:pt>
                <c:pt idx="1028">
                  <c:v>04.03.2025</c:v>
                </c:pt>
                <c:pt idx="1029">
                  <c:v>05.03.2025</c:v>
                </c:pt>
                <c:pt idx="1030">
                  <c:v>06.03.2025</c:v>
                </c:pt>
                <c:pt idx="1031">
                  <c:v>10.03.2025</c:v>
                </c:pt>
                <c:pt idx="1032">
                  <c:v>11.03.2025</c:v>
                </c:pt>
                <c:pt idx="1033">
                  <c:v>12.03.2025</c:v>
                </c:pt>
                <c:pt idx="1034">
                  <c:v>13.03.2025</c:v>
                </c:pt>
                <c:pt idx="1035">
                  <c:v>17.03.2025</c:v>
                </c:pt>
                <c:pt idx="1036">
                  <c:v>18.03.2025</c:v>
                </c:pt>
                <c:pt idx="1037">
                  <c:v>19.03.2025</c:v>
                </c:pt>
                <c:pt idx="1038">
                  <c:v>20.03.2025</c:v>
                </c:pt>
                <c:pt idx="1039">
                  <c:v>24.03.2025</c:v>
                </c:pt>
                <c:pt idx="1040">
                  <c:v>25.03.2025</c:v>
                </c:pt>
                <c:pt idx="1041">
                  <c:v>26.03.2025</c:v>
                </c:pt>
                <c:pt idx="1042">
                  <c:v>27.03.2025</c:v>
                </c:pt>
                <c:pt idx="1043">
                  <c:v>31.03.2025</c:v>
                </c:pt>
                <c:pt idx="1044">
                  <c:v>01.04.2025</c:v>
                </c:pt>
                <c:pt idx="1045">
                  <c:v>02.04.2025</c:v>
                </c:pt>
                <c:pt idx="1046">
                  <c:v>03.04.2025</c:v>
                </c:pt>
                <c:pt idx="1047">
                  <c:v>07.04.2025</c:v>
                </c:pt>
                <c:pt idx="1048">
                  <c:v>08.04.2025</c:v>
                </c:pt>
                <c:pt idx="1049">
                  <c:v>09.04.2025</c:v>
                </c:pt>
                <c:pt idx="1050">
                  <c:v>10.04.2025</c:v>
                </c:pt>
                <c:pt idx="1051">
                  <c:v>14.04.2025</c:v>
                </c:pt>
                <c:pt idx="1052">
                  <c:v>15.04.2025</c:v>
                </c:pt>
                <c:pt idx="1053">
                  <c:v>16.04.2025</c:v>
                </c:pt>
                <c:pt idx="1054">
                  <c:v>21.04.2025</c:v>
                </c:pt>
                <c:pt idx="1055">
                  <c:v>22.04.2025</c:v>
                </c:pt>
                <c:pt idx="1056">
                  <c:v>23.04.2025</c:v>
                </c:pt>
                <c:pt idx="1057">
                  <c:v>24.04.2025</c:v>
                </c:pt>
                <c:pt idx="1058">
                  <c:v>28.04.2025</c:v>
                </c:pt>
                <c:pt idx="1059">
                  <c:v>29.04.2025</c:v>
                </c:pt>
                <c:pt idx="1060">
                  <c:v>30.04.2025</c:v>
                </c:pt>
                <c:pt idx="1061">
                  <c:v>01.05.2025</c:v>
                </c:pt>
                <c:pt idx="1062">
                  <c:v>05.05.2025</c:v>
                </c:pt>
                <c:pt idx="1063">
                  <c:v>06.05.2025</c:v>
                </c:pt>
                <c:pt idx="1064">
                  <c:v>07.05.2025</c:v>
                </c:pt>
                <c:pt idx="1065">
                  <c:v>08.05.2025</c:v>
                </c:pt>
                <c:pt idx="1066">
                  <c:v>12.05.2025</c:v>
                </c:pt>
                <c:pt idx="1067">
                  <c:v>13.05.2025</c:v>
                </c:pt>
                <c:pt idx="1068">
                  <c:v>14.05.2025</c:v>
                </c:pt>
                <c:pt idx="1069">
                  <c:v>15.05.2025</c:v>
                </c:pt>
                <c:pt idx="1070">
                  <c:v>19.05.2025</c:v>
                </c:pt>
                <c:pt idx="1071">
                  <c:v>20.05.2025</c:v>
                </c:pt>
                <c:pt idx="1072">
                  <c:v>21.05.2025</c:v>
                </c:pt>
                <c:pt idx="1073">
                  <c:v>22.05.2025</c:v>
                </c:pt>
                <c:pt idx="1074">
                  <c:v>25.05.2025</c:v>
                </c:pt>
                <c:pt idx="1075">
                  <c:v>27.05.2025</c:v>
                </c:pt>
                <c:pt idx="1076">
                  <c:v>28.05.2025</c:v>
                </c:pt>
                <c:pt idx="1077">
                  <c:v>29.05.2025</c:v>
                </c:pt>
                <c:pt idx="1078">
                  <c:v>02.06.2025</c:v>
                </c:pt>
                <c:pt idx="1079">
                  <c:v>03.06.2025</c:v>
                </c:pt>
                <c:pt idx="1080">
                  <c:v>04.06.2025</c:v>
                </c:pt>
                <c:pt idx="1081">
                  <c:v>05.06.2025</c:v>
                </c:pt>
                <c:pt idx="1082">
                  <c:v>09.06.2025</c:v>
                </c:pt>
                <c:pt idx="1083">
                  <c:v>10.06.2025</c:v>
                </c:pt>
                <c:pt idx="1084">
                  <c:v>11.06.2025</c:v>
                </c:pt>
                <c:pt idx="1085">
                  <c:v>12.06.2025</c:v>
                </c:pt>
                <c:pt idx="1086">
                  <c:v>16.06.2025</c:v>
                </c:pt>
                <c:pt idx="1087">
                  <c:v>17.06.2025</c:v>
                </c:pt>
                <c:pt idx="1088">
                  <c:v>18.06.2025</c:v>
                </c:pt>
                <c:pt idx="1089">
                  <c:v>23.06.2025</c:v>
                </c:pt>
                <c:pt idx="1090">
                  <c:v>24.06.2025</c:v>
                </c:pt>
                <c:pt idx="1091">
                  <c:v>25.06.2025</c:v>
                </c:pt>
                <c:pt idx="1092">
                  <c:v>26.06.2025</c:v>
                </c:pt>
                <c:pt idx="1093">
                  <c:v>30.06.2025</c:v>
                </c:pt>
                <c:pt idx="1094">
                  <c:v>01.07.2025</c:v>
                </c:pt>
                <c:pt idx="1095">
                  <c:v>02.07.2025</c:v>
                </c:pt>
                <c:pt idx="1096">
                  <c:v>03.07.2025</c:v>
                </c:pt>
                <c:pt idx="1097">
                  <c:v>07.07.2025</c:v>
                </c:pt>
                <c:pt idx="1098">
                  <c:v>08.07.2025</c:v>
                </c:pt>
                <c:pt idx="1099">
                  <c:v>09.07.2025</c:v>
                </c:pt>
                <c:pt idx="1100">
                  <c:v>10.07.2025</c:v>
                </c:pt>
                <c:pt idx="1101">
                  <c:v>14.07.2025</c:v>
                </c:pt>
                <c:pt idx="1102">
                  <c:v>15.07.2025</c:v>
                </c:pt>
                <c:pt idx="1103">
                  <c:v>16.07.2025</c:v>
                </c:pt>
                <c:pt idx="1104">
                  <c:v>17.07.2025</c:v>
                </c:pt>
                <c:pt idx="1105">
                  <c:v>21.07.2025</c:v>
                </c:pt>
                <c:pt idx="1106">
                  <c:v>22.07.2025</c:v>
                </c:pt>
                <c:pt idx="1107">
                  <c:v>23.07.2025</c:v>
                </c:pt>
                <c:pt idx="1108">
                  <c:v>24.07.2025</c:v>
                </c:pt>
                <c:pt idx="1109">
                  <c:v>28.07.2025</c:v>
                </c:pt>
                <c:pt idx="1110">
                  <c:v>29.07.2025</c:v>
                </c:pt>
                <c:pt idx="1111">
                  <c:v>30.07.2025</c:v>
                </c:pt>
                <c:pt idx="1112">
                  <c:v>31.07.2025</c:v>
                </c:pt>
                <c:pt idx="1113">
                  <c:v>04.08.2025</c:v>
                </c:pt>
                <c:pt idx="1114">
                  <c:v>05.08.2025</c:v>
                </c:pt>
                <c:pt idx="1115">
                  <c:v>06.08.2025</c:v>
                </c:pt>
                <c:pt idx="1116">
                  <c:v>07.08.2025</c:v>
                </c:pt>
                <c:pt idx="1117">
                  <c:v>11.08.2025</c:v>
                </c:pt>
                <c:pt idx="1118">
                  <c:v>12.08.2025</c:v>
                </c:pt>
                <c:pt idx="1119">
                  <c:v>13.08.2025</c:v>
                </c:pt>
                <c:pt idx="1120">
                  <c:v>14.08.2025</c:v>
                </c:pt>
                <c:pt idx="1121">
                  <c:v>18.08.2025</c:v>
                </c:pt>
                <c:pt idx="1122">
                  <c:v>19.08.2025</c:v>
                </c:pt>
                <c:pt idx="1123">
                  <c:v>20.08.2025</c:v>
                </c:pt>
                <c:pt idx="1124">
                  <c:v>21.08.2025</c:v>
                </c:pt>
                <c:pt idx="1125">
                  <c:v>25.08.2025</c:v>
                </c:pt>
                <c:pt idx="1126">
                  <c:v>26.08.2025</c:v>
                </c:pt>
                <c:pt idx="1127">
                  <c:v>27.08.2025</c:v>
                </c:pt>
                <c:pt idx="1128">
                  <c:v>28.08.2025</c:v>
                </c:pt>
                <c:pt idx="1129">
                  <c:v>31.08.2025</c:v>
                </c:pt>
                <c:pt idx="1130">
                  <c:v>02.09.2025</c:v>
                </c:pt>
                <c:pt idx="1131">
                  <c:v>03.09.2025</c:v>
                </c:pt>
                <c:pt idx="1132">
                  <c:v>04.09.2025</c:v>
                </c:pt>
                <c:pt idx="1133">
                  <c:v>08.09.2025</c:v>
                </c:pt>
                <c:pt idx="1134">
                  <c:v>09.09.2025</c:v>
                </c:pt>
                <c:pt idx="1135">
                  <c:v>10.09.2025</c:v>
                </c:pt>
                <c:pt idx="1136">
                  <c:v>11.09.2025</c:v>
                </c:pt>
                <c:pt idx="1137">
                  <c:v>15.09.2025</c:v>
                </c:pt>
                <c:pt idx="1138">
                  <c:v>16.09.2025</c:v>
                </c:pt>
                <c:pt idx="1139">
                  <c:v>17.09.2025</c:v>
                </c:pt>
                <c:pt idx="1140">
                  <c:v>18.09.2025</c:v>
                </c:pt>
                <c:pt idx="1141">
                  <c:v>22.09.2025</c:v>
                </c:pt>
                <c:pt idx="1142">
                  <c:v>23.09.2025</c:v>
                </c:pt>
                <c:pt idx="1143">
                  <c:v>24.09.2025</c:v>
                </c:pt>
                <c:pt idx="1144">
                  <c:v>25.09.2025</c:v>
                </c:pt>
                <c:pt idx="1145">
                  <c:v>29.09.2025</c:v>
                </c:pt>
                <c:pt idx="1146">
                  <c:v>30.09.2025</c:v>
                </c:pt>
                <c:pt idx="1147">
                  <c:v>01.10.2025</c:v>
                </c:pt>
                <c:pt idx="1148">
                  <c:v>02.10.2025</c:v>
                </c:pt>
                <c:pt idx="1149">
                  <c:v>06.10.2025</c:v>
                </c:pt>
                <c:pt idx="1150">
                  <c:v>07.10.2025</c:v>
                </c:pt>
                <c:pt idx="1151">
                  <c:v>08.10.2025</c:v>
                </c:pt>
                <c:pt idx="1152">
                  <c:v>09.10.2025</c:v>
                </c:pt>
                <c:pt idx="1153">
                  <c:v>13.10.2025</c:v>
                </c:pt>
                <c:pt idx="1154">
                  <c:v>14.10.2025</c:v>
                </c:pt>
                <c:pt idx="1155">
                  <c:v>15.10.2025</c:v>
                </c:pt>
                <c:pt idx="1156">
                  <c:v>16.10.2025</c:v>
                </c:pt>
                <c:pt idx="1157">
                  <c:v>20.10.2025</c:v>
                </c:pt>
                <c:pt idx="1158">
                  <c:v>21.10.2025</c:v>
                </c:pt>
                <c:pt idx="1159">
                  <c:v>22.10.2025</c:v>
                </c:pt>
                <c:pt idx="1160">
                  <c:v>23.10.2025</c:v>
                </c:pt>
                <c:pt idx="1161">
                  <c:v>27.10.2025</c:v>
                </c:pt>
                <c:pt idx="1162">
                  <c:v>28.10.2025</c:v>
                </c:pt>
                <c:pt idx="1163">
                  <c:v>29.10.2025</c:v>
                </c:pt>
                <c:pt idx="1164">
                  <c:v>30.10.2025</c:v>
                </c:pt>
                <c:pt idx="1165">
                  <c:v>03.11.2025</c:v>
                </c:pt>
                <c:pt idx="1166">
                  <c:v>04.11.2025</c:v>
                </c:pt>
                <c:pt idx="1167">
                  <c:v>05.11.2025</c:v>
                </c:pt>
                <c:pt idx="1168">
                  <c:v>06.11.2025</c:v>
                </c:pt>
                <c:pt idx="1169">
                  <c:v>10.11.2025</c:v>
                </c:pt>
                <c:pt idx="1170">
                  <c:v>11.11.2025</c:v>
                </c:pt>
                <c:pt idx="1171">
                  <c:v>12.11.2025</c:v>
                </c:pt>
                <c:pt idx="1172">
                  <c:v>13.11.2025</c:v>
                </c:pt>
                <c:pt idx="1173">
                  <c:v>17.11.2025</c:v>
                </c:pt>
                <c:pt idx="1174">
                  <c:v>18.11.2025</c:v>
                </c:pt>
                <c:pt idx="1175">
                  <c:v>19.11.2025</c:v>
                </c:pt>
                <c:pt idx="1176">
                  <c:v>20.11.2025</c:v>
                </c:pt>
                <c:pt idx="1177">
                  <c:v>24.11.2025</c:v>
                </c:pt>
                <c:pt idx="1178">
                  <c:v>25.11.2025</c:v>
                </c:pt>
                <c:pt idx="1179">
                  <c:v>26.11.2025</c:v>
                </c:pt>
                <c:pt idx="1180">
                  <c:v>01.12.2025</c:v>
                </c:pt>
                <c:pt idx="1181">
                  <c:v>02.12.2025</c:v>
                </c:pt>
                <c:pt idx="1182">
                  <c:v>03.12.2025</c:v>
                </c:pt>
                <c:pt idx="1183">
                  <c:v>04.12.2025</c:v>
                </c:pt>
                <c:pt idx="1184">
                  <c:v>08.12.2025</c:v>
                </c:pt>
                <c:pt idx="1185">
                  <c:v>09.12.2025</c:v>
                </c:pt>
                <c:pt idx="1186">
                  <c:v>10.12.2025</c:v>
                </c:pt>
                <c:pt idx="1187">
                  <c:v>11.12.2025</c:v>
                </c:pt>
                <c:pt idx="1188">
                  <c:v>15.12.2025</c:v>
                </c:pt>
                <c:pt idx="1189">
                  <c:v>16.12.2025</c:v>
                </c:pt>
                <c:pt idx="1190">
                  <c:v>17.12.2025</c:v>
                </c:pt>
                <c:pt idx="1191">
                  <c:v>18.12.2025</c:v>
                </c:pt>
                <c:pt idx="1192">
                  <c:v>22.12.2025</c:v>
                </c:pt>
                <c:pt idx="1193">
                  <c:v>23.12.2025</c:v>
                </c:pt>
                <c:pt idx="1194">
                  <c:v>25.12.2025</c:v>
                </c:pt>
                <c:pt idx="1195">
                  <c:v>29.12.2025</c:v>
                </c:pt>
                <c:pt idx="1196">
                  <c:v>30.12.2025</c:v>
                </c:pt>
              </c:strCache>
            </c:strRef>
          </c:cat>
          <c:val>
            <c:numRef>
              <c:f>Analysis!$B$2:$B$1198</c:f>
              <c:numCache>
                <c:formatCode>#,##0.00</c:formatCode>
                <c:ptCount val="1197"/>
                <c:pt idx="0">
                  <c:v>1528.1</c:v>
                </c:pt>
                <c:pt idx="1">
                  <c:v>1568.8</c:v>
                </c:pt>
                <c:pt idx="2">
                  <c:v>1574.3</c:v>
                </c:pt>
                <c:pt idx="3">
                  <c:v>1560.2</c:v>
                </c:pt>
                <c:pt idx="4">
                  <c:v>1554.3</c:v>
                </c:pt>
                <c:pt idx="5">
                  <c:v>1550.6</c:v>
                </c:pt>
                <c:pt idx="6">
                  <c:v>1544.6</c:v>
                </c:pt>
                <c:pt idx="7">
                  <c:v>1554</c:v>
                </c:pt>
                <c:pt idx="8">
                  <c:v>1550.5</c:v>
                </c:pt>
                <c:pt idx="9">
                  <c:v>1557.9</c:v>
                </c:pt>
                <c:pt idx="10">
                  <c:v>1556.7</c:v>
                </c:pt>
                <c:pt idx="11">
                  <c:v>1565.4</c:v>
                </c:pt>
                <c:pt idx="12">
                  <c:v>1577.4</c:v>
                </c:pt>
                <c:pt idx="13">
                  <c:v>1569.8</c:v>
                </c:pt>
                <c:pt idx="14">
                  <c:v>1570.4</c:v>
                </c:pt>
                <c:pt idx="15">
                  <c:v>1589.2</c:v>
                </c:pt>
                <c:pt idx="16">
                  <c:v>1582.4</c:v>
                </c:pt>
                <c:pt idx="17">
                  <c:v>1555.5</c:v>
                </c:pt>
                <c:pt idx="18">
                  <c:v>1562.8</c:v>
                </c:pt>
                <c:pt idx="19">
                  <c:v>1570</c:v>
                </c:pt>
                <c:pt idx="20">
                  <c:v>1579.5</c:v>
                </c:pt>
                <c:pt idx="21">
                  <c:v>1570.1</c:v>
                </c:pt>
                <c:pt idx="22">
                  <c:v>1571.6</c:v>
                </c:pt>
                <c:pt idx="23">
                  <c:v>1578.8</c:v>
                </c:pt>
                <c:pt idx="24">
                  <c:v>1603.6</c:v>
                </c:pt>
                <c:pt idx="25">
                  <c:v>1611.8</c:v>
                </c:pt>
                <c:pt idx="26">
                  <c:v>1620.5</c:v>
                </c:pt>
                <c:pt idx="27">
                  <c:v>1676.6</c:v>
                </c:pt>
                <c:pt idx="28">
                  <c:v>1650</c:v>
                </c:pt>
                <c:pt idx="29">
                  <c:v>1643.1</c:v>
                </c:pt>
                <c:pt idx="30">
                  <c:v>1642.5</c:v>
                </c:pt>
                <c:pt idx="31">
                  <c:v>1594.8</c:v>
                </c:pt>
                <c:pt idx="32">
                  <c:v>1644.4</c:v>
                </c:pt>
                <c:pt idx="33">
                  <c:v>1643</c:v>
                </c:pt>
                <c:pt idx="34">
                  <c:v>1668</c:v>
                </c:pt>
                <c:pt idx="35">
                  <c:v>1675.7</c:v>
                </c:pt>
                <c:pt idx="36">
                  <c:v>1660.3</c:v>
                </c:pt>
                <c:pt idx="37">
                  <c:v>1642.3</c:v>
                </c:pt>
                <c:pt idx="38">
                  <c:v>1590.3</c:v>
                </c:pt>
                <c:pt idx="39">
                  <c:v>1486.5</c:v>
                </c:pt>
                <c:pt idx="40">
                  <c:v>1525.8</c:v>
                </c:pt>
                <c:pt idx="41">
                  <c:v>1477.9</c:v>
                </c:pt>
                <c:pt idx="42">
                  <c:v>1479.3</c:v>
                </c:pt>
                <c:pt idx="43">
                  <c:v>1567.6</c:v>
                </c:pt>
                <c:pt idx="44">
                  <c:v>1660.8</c:v>
                </c:pt>
                <c:pt idx="45">
                  <c:v>1633.4</c:v>
                </c:pt>
                <c:pt idx="46">
                  <c:v>1651.2</c:v>
                </c:pt>
                <c:pt idx="47">
                  <c:v>1643.2</c:v>
                </c:pt>
                <c:pt idx="48">
                  <c:v>1596.6</c:v>
                </c:pt>
                <c:pt idx="49">
                  <c:v>1591.4</c:v>
                </c:pt>
                <c:pt idx="50">
                  <c:v>1637.7</c:v>
                </c:pt>
                <c:pt idx="51">
                  <c:v>1693.9</c:v>
                </c:pt>
                <c:pt idx="52">
                  <c:v>1683.7</c:v>
                </c:pt>
                <c:pt idx="53">
                  <c:v>1684.3</c:v>
                </c:pt>
                <c:pt idx="54">
                  <c:v>1761.4</c:v>
                </c:pt>
                <c:pt idx="55">
                  <c:v>1768.9</c:v>
                </c:pt>
                <c:pt idx="56">
                  <c:v>1740.2</c:v>
                </c:pt>
                <c:pt idx="57">
                  <c:v>1731.7</c:v>
                </c:pt>
                <c:pt idx="58">
                  <c:v>1711.2</c:v>
                </c:pt>
                <c:pt idx="59">
                  <c:v>1687.8</c:v>
                </c:pt>
                <c:pt idx="60">
                  <c:v>1738.3</c:v>
                </c:pt>
                <c:pt idx="61">
                  <c:v>1745.4</c:v>
                </c:pt>
                <c:pt idx="62">
                  <c:v>1723.8</c:v>
                </c:pt>
                <c:pt idx="63">
                  <c:v>1722.2</c:v>
                </c:pt>
                <c:pt idx="64">
                  <c:v>1713.4</c:v>
                </c:pt>
                <c:pt idx="65">
                  <c:v>1694.2</c:v>
                </c:pt>
                <c:pt idx="66">
                  <c:v>1713.3</c:v>
                </c:pt>
                <c:pt idx="67">
                  <c:v>1710.6</c:v>
                </c:pt>
                <c:pt idx="68">
                  <c:v>1688.5</c:v>
                </c:pt>
                <c:pt idx="69">
                  <c:v>1725.8</c:v>
                </c:pt>
                <c:pt idx="70">
                  <c:v>1698</c:v>
                </c:pt>
                <c:pt idx="71">
                  <c:v>1706.8</c:v>
                </c:pt>
                <c:pt idx="72">
                  <c:v>1716.4</c:v>
                </c:pt>
                <c:pt idx="73">
                  <c:v>1740.9</c:v>
                </c:pt>
                <c:pt idx="74">
                  <c:v>1734.4</c:v>
                </c:pt>
                <c:pt idx="75">
                  <c:v>1745.6</c:v>
                </c:pt>
                <c:pt idx="76">
                  <c:v>1752.1</c:v>
                </c:pt>
                <c:pt idx="77">
                  <c:v>1721.9</c:v>
                </c:pt>
                <c:pt idx="78">
                  <c:v>1705.6</c:v>
                </c:pt>
                <c:pt idx="79">
                  <c:v>1726.8</c:v>
                </c:pt>
                <c:pt idx="80">
                  <c:v>1728.3</c:v>
                </c:pt>
                <c:pt idx="81">
                  <c:v>1750.3</c:v>
                </c:pt>
                <c:pt idx="82">
                  <c:v>1734</c:v>
                </c:pt>
                <c:pt idx="83">
                  <c:v>1704.8</c:v>
                </c:pt>
                <c:pt idx="84">
                  <c:v>1727.4</c:v>
                </c:pt>
                <c:pt idx="85">
                  <c:v>1705.1</c:v>
                </c:pt>
                <c:pt idx="86">
                  <c:v>1721.9</c:v>
                </c:pt>
                <c:pt idx="87">
                  <c:v>1720.7</c:v>
                </c:pt>
                <c:pt idx="88">
                  <c:v>1739.8</c:v>
                </c:pt>
                <c:pt idx="89">
                  <c:v>1727.2</c:v>
                </c:pt>
                <c:pt idx="90">
                  <c:v>1736.5</c:v>
                </c:pt>
                <c:pt idx="91">
                  <c:v>1735.6</c:v>
                </c:pt>
                <c:pt idx="92">
                  <c:v>1731.1</c:v>
                </c:pt>
                <c:pt idx="93">
                  <c:v>1766.4</c:v>
                </c:pt>
                <c:pt idx="94">
                  <c:v>1782</c:v>
                </c:pt>
                <c:pt idx="95">
                  <c:v>1775.1</c:v>
                </c:pt>
                <c:pt idx="96">
                  <c:v>1770.6</c:v>
                </c:pt>
                <c:pt idx="97">
                  <c:v>1781.2</c:v>
                </c:pt>
                <c:pt idx="98">
                  <c:v>1800.5</c:v>
                </c:pt>
                <c:pt idx="99">
                  <c:v>1779.9</c:v>
                </c:pt>
                <c:pt idx="100">
                  <c:v>1790</c:v>
                </c:pt>
                <c:pt idx="101">
                  <c:v>1793.5</c:v>
                </c:pt>
                <c:pt idx="102">
                  <c:v>1809.9</c:v>
                </c:pt>
                <c:pt idx="103">
                  <c:v>1820.6</c:v>
                </c:pt>
                <c:pt idx="104">
                  <c:v>1803.8</c:v>
                </c:pt>
                <c:pt idx="105">
                  <c:v>1814.1</c:v>
                </c:pt>
                <c:pt idx="106">
                  <c:v>1813.4</c:v>
                </c:pt>
                <c:pt idx="107">
                  <c:v>1813.8</c:v>
                </c:pt>
                <c:pt idx="108">
                  <c:v>1800.3</c:v>
                </c:pt>
                <c:pt idx="109">
                  <c:v>1817.4</c:v>
                </c:pt>
                <c:pt idx="110">
                  <c:v>1843.9</c:v>
                </c:pt>
                <c:pt idx="111">
                  <c:v>1865.1</c:v>
                </c:pt>
                <c:pt idx="112">
                  <c:v>1890</c:v>
                </c:pt>
                <c:pt idx="113">
                  <c:v>1931</c:v>
                </c:pt>
                <c:pt idx="114">
                  <c:v>1944.6</c:v>
                </c:pt>
                <c:pt idx="115">
                  <c:v>1953.4</c:v>
                </c:pt>
                <c:pt idx="116">
                  <c:v>1966.8</c:v>
                </c:pt>
                <c:pt idx="117">
                  <c:v>1986.3</c:v>
                </c:pt>
                <c:pt idx="118">
                  <c:v>2021</c:v>
                </c:pt>
                <c:pt idx="119">
                  <c:v>2049.3000000000002</c:v>
                </c:pt>
                <c:pt idx="120">
                  <c:v>2069.4</c:v>
                </c:pt>
                <c:pt idx="121">
                  <c:v>2039.7</c:v>
                </c:pt>
                <c:pt idx="122">
                  <c:v>1946.3</c:v>
                </c:pt>
                <c:pt idx="123">
                  <c:v>1949</c:v>
                </c:pt>
                <c:pt idx="124">
                  <c:v>1970.4</c:v>
                </c:pt>
                <c:pt idx="125">
                  <c:v>1998.7</c:v>
                </c:pt>
                <c:pt idx="126">
                  <c:v>2013.1</c:v>
                </c:pt>
                <c:pt idx="127">
                  <c:v>1970.3</c:v>
                </c:pt>
                <c:pt idx="128">
                  <c:v>1946.5</c:v>
                </c:pt>
                <c:pt idx="129">
                  <c:v>1939.2</c:v>
                </c:pt>
                <c:pt idx="130">
                  <c:v>1923.1</c:v>
                </c:pt>
                <c:pt idx="131">
                  <c:v>1952.5</c:v>
                </c:pt>
                <c:pt idx="132">
                  <c:v>1932.6</c:v>
                </c:pt>
                <c:pt idx="133">
                  <c:v>1978.6</c:v>
                </c:pt>
                <c:pt idx="134">
                  <c:v>1978.9</c:v>
                </c:pt>
                <c:pt idx="135">
                  <c:v>1944.7</c:v>
                </c:pt>
                <c:pt idx="136">
                  <c:v>1937.8</c:v>
                </c:pt>
                <c:pt idx="137">
                  <c:v>1943.2</c:v>
                </c:pt>
                <c:pt idx="138">
                  <c:v>1954.9</c:v>
                </c:pt>
                <c:pt idx="139">
                  <c:v>1964.3</c:v>
                </c:pt>
                <c:pt idx="140">
                  <c:v>1963.7</c:v>
                </c:pt>
                <c:pt idx="141">
                  <c:v>1966.2</c:v>
                </c:pt>
                <c:pt idx="142">
                  <c:v>1970.5</c:v>
                </c:pt>
                <c:pt idx="143">
                  <c:v>1949.9</c:v>
                </c:pt>
                <c:pt idx="144">
                  <c:v>1910.6</c:v>
                </c:pt>
                <c:pt idx="145">
                  <c:v>1907.6</c:v>
                </c:pt>
                <c:pt idx="146">
                  <c:v>1868.4</c:v>
                </c:pt>
                <c:pt idx="147">
                  <c:v>1876.9</c:v>
                </c:pt>
                <c:pt idx="148">
                  <c:v>1882.3</c:v>
                </c:pt>
                <c:pt idx="149">
                  <c:v>1903.2</c:v>
                </c:pt>
                <c:pt idx="150">
                  <c:v>1895.5</c:v>
                </c:pt>
                <c:pt idx="151">
                  <c:v>1916.3</c:v>
                </c:pt>
                <c:pt idx="152">
                  <c:v>1920.1</c:v>
                </c:pt>
                <c:pt idx="153">
                  <c:v>1908.8</c:v>
                </c:pt>
                <c:pt idx="154">
                  <c:v>1890.8</c:v>
                </c:pt>
                <c:pt idx="155">
                  <c:v>1895.1</c:v>
                </c:pt>
                <c:pt idx="156">
                  <c:v>1928.9</c:v>
                </c:pt>
                <c:pt idx="157">
                  <c:v>1894.6</c:v>
                </c:pt>
                <c:pt idx="158">
                  <c:v>1907.3</c:v>
                </c:pt>
                <c:pt idx="159">
                  <c:v>1908.9</c:v>
                </c:pt>
                <c:pt idx="160">
                  <c:v>1911.7</c:v>
                </c:pt>
                <c:pt idx="161">
                  <c:v>1915.4</c:v>
                </c:pt>
                <c:pt idx="162">
                  <c:v>1929.5</c:v>
                </c:pt>
                <c:pt idx="163">
                  <c:v>1904.6</c:v>
                </c:pt>
                <c:pt idx="164">
                  <c:v>1905.7</c:v>
                </c:pt>
                <c:pt idx="165">
                  <c:v>1911.9</c:v>
                </c:pt>
                <c:pt idx="166">
                  <c:v>1879.2</c:v>
                </c:pt>
                <c:pt idx="167">
                  <c:v>1868</c:v>
                </c:pt>
                <c:pt idx="168">
                  <c:v>1892.5</c:v>
                </c:pt>
                <c:pt idx="169">
                  <c:v>1910.4</c:v>
                </c:pt>
                <c:pt idx="170">
                  <c:v>1896.2</c:v>
                </c:pt>
                <c:pt idx="171">
                  <c:v>1946.8</c:v>
                </c:pt>
                <c:pt idx="172">
                  <c:v>1854.4</c:v>
                </c:pt>
                <c:pt idx="173">
                  <c:v>1876.4</c:v>
                </c:pt>
                <c:pt idx="174">
                  <c:v>1861.6</c:v>
                </c:pt>
                <c:pt idx="175">
                  <c:v>1873.3</c:v>
                </c:pt>
                <c:pt idx="176">
                  <c:v>1887.8</c:v>
                </c:pt>
                <c:pt idx="177">
                  <c:v>1885.1</c:v>
                </c:pt>
                <c:pt idx="178">
                  <c:v>1873.9</c:v>
                </c:pt>
                <c:pt idx="179">
                  <c:v>1861.5</c:v>
                </c:pt>
                <c:pt idx="180">
                  <c:v>1837.8</c:v>
                </c:pt>
                <c:pt idx="181">
                  <c:v>1804.6</c:v>
                </c:pt>
                <c:pt idx="182">
                  <c:v>1805.5</c:v>
                </c:pt>
                <c:pt idx="183">
                  <c:v>1780.9</c:v>
                </c:pt>
                <c:pt idx="184">
                  <c:v>1818.9</c:v>
                </c:pt>
                <c:pt idx="185">
                  <c:v>1830.2</c:v>
                </c:pt>
                <c:pt idx="186">
                  <c:v>1841.1</c:v>
                </c:pt>
                <c:pt idx="187">
                  <c:v>1866</c:v>
                </c:pt>
                <c:pt idx="188">
                  <c:v>1874.9</c:v>
                </c:pt>
                <c:pt idx="189">
                  <c:v>1838.5</c:v>
                </c:pt>
                <c:pt idx="190">
                  <c:v>1837.4</c:v>
                </c:pt>
                <c:pt idx="191">
                  <c:v>1832.1</c:v>
                </c:pt>
                <c:pt idx="192">
                  <c:v>1855.3</c:v>
                </c:pt>
                <c:pt idx="193">
                  <c:v>1859.1</c:v>
                </c:pt>
                <c:pt idx="194">
                  <c:v>1890.4</c:v>
                </c:pt>
                <c:pt idx="195">
                  <c:v>1882.8</c:v>
                </c:pt>
                <c:pt idx="196">
                  <c:v>1870.3</c:v>
                </c:pt>
                <c:pt idx="197">
                  <c:v>1878.1</c:v>
                </c:pt>
                <c:pt idx="198">
                  <c:v>1880.4</c:v>
                </c:pt>
                <c:pt idx="199">
                  <c:v>1882.9</c:v>
                </c:pt>
                <c:pt idx="200">
                  <c:v>1893.4</c:v>
                </c:pt>
                <c:pt idx="201">
                  <c:v>1946.6</c:v>
                </c:pt>
                <c:pt idx="202">
                  <c:v>1954.4</c:v>
                </c:pt>
                <c:pt idx="203">
                  <c:v>1908.6</c:v>
                </c:pt>
                <c:pt idx="204">
                  <c:v>1913.6</c:v>
                </c:pt>
                <c:pt idx="205">
                  <c:v>1850.8</c:v>
                </c:pt>
                <c:pt idx="206">
                  <c:v>1844.2</c:v>
                </c:pt>
                <c:pt idx="207">
                  <c:v>1854.9</c:v>
                </c:pt>
                <c:pt idx="208">
                  <c:v>1851.4</c:v>
                </c:pt>
                <c:pt idx="209">
                  <c:v>1840.2</c:v>
                </c:pt>
                <c:pt idx="210">
                  <c:v>1866.5</c:v>
                </c:pt>
                <c:pt idx="211">
                  <c:v>1865.9</c:v>
                </c:pt>
                <c:pt idx="212">
                  <c:v>1855.2</c:v>
                </c:pt>
                <c:pt idx="213">
                  <c:v>1850.9</c:v>
                </c:pt>
                <c:pt idx="214">
                  <c:v>1844.9</c:v>
                </c:pt>
                <c:pt idx="215">
                  <c:v>1841.2</c:v>
                </c:pt>
                <c:pt idx="216">
                  <c:v>1863.9</c:v>
                </c:pt>
                <c:pt idx="217">
                  <c:v>1833.4</c:v>
                </c:pt>
                <c:pt idx="218">
                  <c:v>1835.1</c:v>
                </c:pt>
                <c:pt idx="219">
                  <c:v>1791.2</c:v>
                </c:pt>
                <c:pt idx="220">
                  <c:v>1834.2</c:v>
                </c:pt>
                <c:pt idx="221">
                  <c:v>1837.5</c:v>
                </c:pt>
                <c:pt idx="222">
                  <c:v>1842.7</c:v>
                </c:pt>
                <c:pt idx="223">
                  <c:v>1826.8</c:v>
                </c:pt>
                <c:pt idx="224">
                  <c:v>1799</c:v>
                </c:pt>
                <c:pt idx="225">
                  <c:v>1772.8</c:v>
                </c:pt>
                <c:pt idx="226">
                  <c:v>1775</c:v>
                </c:pt>
                <c:pt idx="227">
                  <c:v>1808.4</c:v>
                </c:pt>
                <c:pt idx="228">
                  <c:v>1805.9</c:v>
                </c:pt>
                <c:pt idx="229">
                  <c:v>1797.9</c:v>
                </c:pt>
                <c:pt idx="230">
                  <c:v>1775.4</c:v>
                </c:pt>
                <c:pt idx="231">
                  <c:v>1723</c:v>
                </c:pt>
                <c:pt idx="232">
                  <c:v>1733.6</c:v>
                </c:pt>
                <c:pt idx="233">
                  <c:v>1715.8</c:v>
                </c:pt>
                <c:pt idx="234">
                  <c:v>1700.7</c:v>
                </c:pt>
                <c:pt idx="235">
                  <c:v>1678</c:v>
                </c:pt>
                <c:pt idx="236">
                  <c:v>1716.9</c:v>
                </c:pt>
                <c:pt idx="237">
                  <c:v>1721.8</c:v>
                </c:pt>
                <c:pt idx="238">
                  <c:v>1722.6</c:v>
                </c:pt>
                <c:pt idx="239">
                  <c:v>1729.2</c:v>
                </c:pt>
                <c:pt idx="240">
                  <c:v>1730.9</c:v>
                </c:pt>
                <c:pt idx="241">
                  <c:v>1727.1</c:v>
                </c:pt>
                <c:pt idx="242">
                  <c:v>1732.5</c:v>
                </c:pt>
                <c:pt idx="243">
                  <c:v>1738.1</c:v>
                </c:pt>
                <c:pt idx="244">
                  <c:v>1725.1</c:v>
                </c:pt>
                <c:pt idx="245">
                  <c:v>1733.2</c:v>
                </c:pt>
                <c:pt idx="246">
                  <c:v>1725.1</c:v>
                </c:pt>
                <c:pt idx="247">
                  <c:v>1714.6</c:v>
                </c:pt>
                <c:pt idx="248">
                  <c:v>1686</c:v>
                </c:pt>
                <c:pt idx="249">
                  <c:v>1715.6</c:v>
                </c:pt>
                <c:pt idx="250">
                  <c:v>1728.8</c:v>
                </c:pt>
                <c:pt idx="251">
                  <c:v>1743</c:v>
                </c:pt>
                <c:pt idx="252">
                  <c:v>1741.6</c:v>
                </c:pt>
                <c:pt idx="253">
                  <c:v>1758.2</c:v>
                </c:pt>
                <c:pt idx="254">
                  <c:v>1732.7</c:v>
                </c:pt>
                <c:pt idx="255">
                  <c:v>1747.6</c:v>
                </c:pt>
                <c:pt idx="256">
                  <c:v>1736.3</c:v>
                </c:pt>
                <c:pt idx="257">
                  <c:v>1766.8</c:v>
                </c:pt>
                <c:pt idx="258">
                  <c:v>1770.6</c:v>
                </c:pt>
                <c:pt idx="259">
                  <c:v>1778.4</c:v>
                </c:pt>
                <c:pt idx="260">
                  <c:v>1793.1</c:v>
                </c:pt>
                <c:pt idx="261">
                  <c:v>1782</c:v>
                </c:pt>
                <c:pt idx="262">
                  <c:v>1780.1</c:v>
                </c:pt>
                <c:pt idx="263">
                  <c:v>1778.8</c:v>
                </c:pt>
                <c:pt idx="264">
                  <c:v>1773.9</c:v>
                </c:pt>
                <c:pt idx="265">
                  <c:v>1768.3</c:v>
                </c:pt>
                <c:pt idx="266">
                  <c:v>1791.8</c:v>
                </c:pt>
                <c:pt idx="267">
                  <c:v>1776</c:v>
                </c:pt>
                <c:pt idx="268">
                  <c:v>1784.3</c:v>
                </c:pt>
                <c:pt idx="269">
                  <c:v>1815.7</c:v>
                </c:pt>
                <c:pt idx="270">
                  <c:v>1837.6</c:v>
                </c:pt>
                <c:pt idx="271">
                  <c:v>1836.1</c:v>
                </c:pt>
                <c:pt idx="272">
                  <c:v>1822.8</c:v>
                </c:pt>
                <c:pt idx="273">
                  <c:v>1824</c:v>
                </c:pt>
                <c:pt idx="274">
                  <c:v>1867.6</c:v>
                </c:pt>
                <c:pt idx="275">
                  <c:v>1868</c:v>
                </c:pt>
                <c:pt idx="276">
                  <c:v>1881.5</c:v>
                </c:pt>
                <c:pt idx="277">
                  <c:v>1881.9</c:v>
                </c:pt>
                <c:pt idx="278">
                  <c:v>1884.5</c:v>
                </c:pt>
                <c:pt idx="279">
                  <c:v>1898</c:v>
                </c:pt>
                <c:pt idx="280">
                  <c:v>1903.8</c:v>
                </c:pt>
                <c:pt idx="281">
                  <c:v>1898.5</c:v>
                </c:pt>
                <c:pt idx="282">
                  <c:v>1905</c:v>
                </c:pt>
                <c:pt idx="283">
                  <c:v>1909.9</c:v>
                </c:pt>
                <c:pt idx="284">
                  <c:v>1873.3</c:v>
                </c:pt>
                <c:pt idx="285">
                  <c:v>1898.8</c:v>
                </c:pt>
                <c:pt idx="286">
                  <c:v>1894.4</c:v>
                </c:pt>
                <c:pt idx="287">
                  <c:v>1895.5</c:v>
                </c:pt>
                <c:pt idx="288">
                  <c:v>1896.4</c:v>
                </c:pt>
                <c:pt idx="289">
                  <c:v>1865.9</c:v>
                </c:pt>
                <c:pt idx="290">
                  <c:v>1856.4</c:v>
                </c:pt>
                <c:pt idx="291">
                  <c:v>1861.4</c:v>
                </c:pt>
                <c:pt idx="292">
                  <c:v>1774.8</c:v>
                </c:pt>
                <c:pt idx="293">
                  <c:v>1782.9</c:v>
                </c:pt>
                <c:pt idx="294">
                  <c:v>1777.4</c:v>
                </c:pt>
                <c:pt idx="295">
                  <c:v>1783.4</c:v>
                </c:pt>
                <c:pt idx="296">
                  <c:v>1776.7</c:v>
                </c:pt>
                <c:pt idx="297">
                  <c:v>1780.7</c:v>
                </c:pt>
                <c:pt idx="298">
                  <c:v>1763.6</c:v>
                </c:pt>
                <c:pt idx="299">
                  <c:v>1771.6</c:v>
                </c:pt>
                <c:pt idx="300">
                  <c:v>1776.8</c:v>
                </c:pt>
                <c:pt idx="301">
                  <c:v>1794.2</c:v>
                </c:pt>
                <c:pt idx="302">
                  <c:v>1802.1</c:v>
                </c:pt>
                <c:pt idx="303">
                  <c:v>1800.2</c:v>
                </c:pt>
                <c:pt idx="304">
                  <c:v>1805.9</c:v>
                </c:pt>
                <c:pt idx="305">
                  <c:v>1809.9</c:v>
                </c:pt>
                <c:pt idx="306">
                  <c:v>1825</c:v>
                </c:pt>
                <c:pt idx="307">
                  <c:v>1829</c:v>
                </c:pt>
                <c:pt idx="308">
                  <c:v>1809.2</c:v>
                </c:pt>
                <c:pt idx="309">
                  <c:v>1811.4</c:v>
                </c:pt>
                <c:pt idx="310">
                  <c:v>1803.4</c:v>
                </c:pt>
                <c:pt idx="311">
                  <c:v>1805.4</c:v>
                </c:pt>
                <c:pt idx="312">
                  <c:v>1799.2</c:v>
                </c:pt>
                <c:pt idx="313">
                  <c:v>1799.8</c:v>
                </c:pt>
                <c:pt idx="314">
                  <c:v>1799.7</c:v>
                </c:pt>
                <c:pt idx="315">
                  <c:v>1835.8</c:v>
                </c:pt>
                <c:pt idx="316">
                  <c:v>1822.2</c:v>
                </c:pt>
                <c:pt idx="317">
                  <c:v>1814.1</c:v>
                </c:pt>
                <c:pt idx="318">
                  <c:v>1814.5</c:v>
                </c:pt>
                <c:pt idx="319">
                  <c:v>1808.9</c:v>
                </c:pt>
                <c:pt idx="320">
                  <c:v>1726.5</c:v>
                </c:pt>
                <c:pt idx="321">
                  <c:v>1731.7</c:v>
                </c:pt>
                <c:pt idx="322">
                  <c:v>1753.3</c:v>
                </c:pt>
                <c:pt idx="323">
                  <c:v>1751.8</c:v>
                </c:pt>
                <c:pt idx="324">
                  <c:v>1789.8</c:v>
                </c:pt>
                <c:pt idx="325">
                  <c:v>1787.8</c:v>
                </c:pt>
                <c:pt idx="326">
                  <c:v>1784.4</c:v>
                </c:pt>
                <c:pt idx="327">
                  <c:v>1783.1</c:v>
                </c:pt>
                <c:pt idx="328">
                  <c:v>1806.3</c:v>
                </c:pt>
                <c:pt idx="329">
                  <c:v>1808.5</c:v>
                </c:pt>
                <c:pt idx="330">
                  <c:v>1791</c:v>
                </c:pt>
                <c:pt idx="331">
                  <c:v>1795.2</c:v>
                </c:pt>
                <c:pt idx="332">
                  <c:v>1812.2</c:v>
                </c:pt>
                <c:pt idx="333">
                  <c:v>1818.1</c:v>
                </c:pt>
                <c:pt idx="334">
                  <c:v>1816</c:v>
                </c:pt>
                <c:pt idx="335">
                  <c:v>1811.5</c:v>
                </c:pt>
                <c:pt idx="336">
                  <c:v>1798.5</c:v>
                </c:pt>
                <c:pt idx="337">
                  <c:v>1793.5</c:v>
                </c:pt>
                <c:pt idx="338">
                  <c:v>1800</c:v>
                </c:pt>
                <c:pt idx="339">
                  <c:v>1794.4</c:v>
                </c:pt>
                <c:pt idx="340">
                  <c:v>1807.1</c:v>
                </c:pt>
                <c:pt idx="341">
                  <c:v>1794.8</c:v>
                </c:pt>
                <c:pt idx="342">
                  <c:v>1756.7</c:v>
                </c:pt>
                <c:pt idx="343">
                  <c:v>1763.8</c:v>
                </c:pt>
                <c:pt idx="344">
                  <c:v>1778.2</c:v>
                </c:pt>
                <c:pt idx="345">
                  <c:v>1778.8</c:v>
                </c:pt>
                <c:pt idx="346">
                  <c:v>1749.8</c:v>
                </c:pt>
                <c:pt idx="347">
                  <c:v>1752</c:v>
                </c:pt>
                <c:pt idx="348">
                  <c:v>1737.5</c:v>
                </c:pt>
                <c:pt idx="349">
                  <c:v>1722.9</c:v>
                </c:pt>
                <c:pt idx="350">
                  <c:v>1757</c:v>
                </c:pt>
                <c:pt idx="351">
                  <c:v>1767.6</c:v>
                </c:pt>
                <c:pt idx="352">
                  <c:v>1760.9</c:v>
                </c:pt>
                <c:pt idx="353">
                  <c:v>1761.8</c:v>
                </c:pt>
                <c:pt idx="354">
                  <c:v>1759.2</c:v>
                </c:pt>
                <c:pt idx="355">
                  <c:v>1755.7</c:v>
                </c:pt>
                <c:pt idx="356">
                  <c:v>1759.3</c:v>
                </c:pt>
                <c:pt idx="357">
                  <c:v>1794.7</c:v>
                </c:pt>
                <c:pt idx="358">
                  <c:v>1797.9</c:v>
                </c:pt>
                <c:pt idx="359">
                  <c:v>1765.7</c:v>
                </c:pt>
                <c:pt idx="360">
                  <c:v>1770.5</c:v>
                </c:pt>
                <c:pt idx="361">
                  <c:v>1784.9</c:v>
                </c:pt>
                <c:pt idx="362">
                  <c:v>1781.9</c:v>
                </c:pt>
                <c:pt idx="363">
                  <c:v>1806.8</c:v>
                </c:pt>
                <c:pt idx="364">
                  <c:v>1793.4</c:v>
                </c:pt>
                <c:pt idx="365">
                  <c:v>1798.8</c:v>
                </c:pt>
                <c:pt idx="366">
                  <c:v>1802.6</c:v>
                </c:pt>
                <c:pt idx="367">
                  <c:v>1795.8</c:v>
                </c:pt>
                <c:pt idx="368">
                  <c:v>1789.4</c:v>
                </c:pt>
                <c:pt idx="369">
                  <c:v>1763.9</c:v>
                </c:pt>
                <c:pt idx="370">
                  <c:v>1793.5</c:v>
                </c:pt>
                <c:pt idx="371">
                  <c:v>1828</c:v>
                </c:pt>
                <c:pt idx="372">
                  <c:v>1830.8</c:v>
                </c:pt>
                <c:pt idx="373">
                  <c:v>1848.3</c:v>
                </c:pt>
                <c:pt idx="374">
                  <c:v>1863.9</c:v>
                </c:pt>
                <c:pt idx="375">
                  <c:v>1866.6</c:v>
                </c:pt>
                <c:pt idx="376">
                  <c:v>1854.1</c:v>
                </c:pt>
                <c:pt idx="377">
                  <c:v>1870.2</c:v>
                </c:pt>
                <c:pt idx="378">
                  <c:v>1861.4</c:v>
                </c:pt>
                <c:pt idx="379">
                  <c:v>1806.3</c:v>
                </c:pt>
                <c:pt idx="380">
                  <c:v>1783.8</c:v>
                </c:pt>
                <c:pt idx="381">
                  <c:v>1784.3</c:v>
                </c:pt>
                <c:pt idx="382">
                  <c:v>1785.2</c:v>
                </c:pt>
                <c:pt idx="383">
                  <c:v>1776.5</c:v>
                </c:pt>
                <c:pt idx="384">
                  <c:v>1784.3</c:v>
                </c:pt>
                <c:pt idx="385">
                  <c:v>1762.7</c:v>
                </c:pt>
                <c:pt idx="386">
                  <c:v>1779.5</c:v>
                </c:pt>
                <c:pt idx="387">
                  <c:v>1784.7</c:v>
                </c:pt>
                <c:pt idx="388">
                  <c:v>1785.5</c:v>
                </c:pt>
                <c:pt idx="389">
                  <c:v>1776.7</c:v>
                </c:pt>
                <c:pt idx="390">
                  <c:v>1788.3</c:v>
                </c:pt>
                <c:pt idx="391">
                  <c:v>1772.3</c:v>
                </c:pt>
                <c:pt idx="392">
                  <c:v>1764.5</c:v>
                </c:pt>
                <c:pt idx="393">
                  <c:v>1798.2</c:v>
                </c:pt>
                <c:pt idx="394">
                  <c:v>1794.6</c:v>
                </c:pt>
                <c:pt idx="395">
                  <c:v>1788.7</c:v>
                </c:pt>
                <c:pt idx="396">
                  <c:v>1802.2</c:v>
                </c:pt>
                <c:pt idx="397">
                  <c:v>1808.8</c:v>
                </c:pt>
                <c:pt idx="398">
                  <c:v>1810.9</c:v>
                </c:pt>
                <c:pt idx="399">
                  <c:v>1805.8</c:v>
                </c:pt>
                <c:pt idx="400">
                  <c:v>1814.1</c:v>
                </c:pt>
                <c:pt idx="401">
                  <c:v>1800.1</c:v>
                </c:pt>
                <c:pt idx="402">
                  <c:v>1814.6</c:v>
                </c:pt>
                <c:pt idx="403">
                  <c:v>1825.1</c:v>
                </c:pt>
                <c:pt idx="404">
                  <c:v>1789.2</c:v>
                </c:pt>
                <c:pt idx="405">
                  <c:v>1798.8</c:v>
                </c:pt>
                <c:pt idx="406">
                  <c:v>1818.5</c:v>
                </c:pt>
                <c:pt idx="407">
                  <c:v>1827.3</c:v>
                </c:pt>
                <c:pt idx="408">
                  <c:v>1821.4</c:v>
                </c:pt>
                <c:pt idx="409">
                  <c:v>1812.4</c:v>
                </c:pt>
                <c:pt idx="410">
                  <c:v>1843.2</c:v>
                </c:pt>
                <c:pt idx="411">
                  <c:v>1842.6</c:v>
                </c:pt>
                <c:pt idx="412">
                  <c:v>1841.7</c:v>
                </c:pt>
                <c:pt idx="413">
                  <c:v>1852.5</c:v>
                </c:pt>
                <c:pt idx="414">
                  <c:v>1829.7</c:v>
                </c:pt>
                <c:pt idx="415">
                  <c:v>1795</c:v>
                </c:pt>
                <c:pt idx="416">
                  <c:v>1796.4</c:v>
                </c:pt>
                <c:pt idx="417">
                  <c:v>1801.5</c:v>
                </c:pt>
                <c:pt idx="418">
                  <c:v>1810.3</c:v>
                </c:pt>
                <c:pt idx="419">
                  <c:v>1804.1</c:v>
                </c:pt>
                <c:pt idx="420">
                  <c:v>1821.8</c:v>
                </c:pt>
                <c:pt idx="421">
                  <c:v>1827.9</c:v>
                </c:pt>
                <c:pt idx="422">
                  <c:v>1836.6</c:v>
                </c:pt>
                <c:pt idx="423">
                  <c:v>1837.4</c:v>
                </c:pt>
                <c:pt idx="424">
                  <c:v>1869.4</c:v>
                </c:pt>
                <c:pt idx="425">
                  <c:v>1856.2</c:v>
                </c:pt>
                <c:pt idx="426">
                  <c:v>1871.5</c:v>
                </c:pt>
                <c:pt idx="427">
                  <c:v>1902</c:v>
                </c:pt>
                <c:pt idx="428">
                  <c:v>1907.4</c:v>
                </c:pt>
                <c:pt idx="429">
                  <c:v>1910.4</c:v>
                </c:pt>
                <c:pt idx="430">
                  <c:v>1926.3</c:v>
                </c:pt>
                <c:pt idx="431">
                  <c:v>1900.7</c:v>
                </c:pt>
                <c:pt idx="432">
                  <c:v>1943.8</c:v>
                </c:pt>
                <c:pt idx="433">
                  <c:v>1922.3</c:v>
                </c:pt>
                <c:pt idx="434">
                  <c:v>1935.9</c:v>
                </c:pt>
                <c:pt idx="435">
                  <c:v>1995.9</c:v>
                </c:pt>
                <c:pt idx="436">
                  <c:v>2043.3</c:v>
                </c:pt>
                <c:pt idx="437">
                  <c:v>1988.2</c:v>
                </c:pt>
                <c:pt idx="438">
                  <c:v>2000.4</c:v>
                </c:pt>
                <c:pt idx="439">
                  <c:v>1960.8</c:v>
                </c:pt>
                <c:pt idx="440">
                  <c:v>1929.7</c:v>
                </c:pt>
                <c:pt idx="441">
                  <c:v>1909.2</c:v>
                </c:pt>
                <c:pt idx="442">
                  <c:v>1943.2</c:v>
                </c:pt>
                <c:pt idx="443">
                  <c:v>1929.5</c:v>
                </c:pt>
                <c:pt idx="444">
                  <c:v>1921.5</c:v>
                </c:pt>
                <c:pt idx="445">
                  <c:v>1937.3</c:v>
                </c:pt>
                <c:pt idx="446">
                  <c:v>1962.2</c:v>
                </c:pt>
                <c:pt idx="447">
                  <c:v>1939.8</c:v>
                </c:pt>
                <c:pt idx="448">
                  <c:v>1918</c:v>
                </c:pt>
                <c:pt idx="449">
                  <c:v>1939</c:v>
                </c:pt>
                <c:pt idx="450">
                  <c:v>1954</c:v>
                </c:pt>
                <c:pt idx="451">
                  <c:v>1930.6</c:v>
                </c:pt>
                <c:pt idx="452">
                  <c:v>1924.1</c:v>
                </c:pt>
                <c:pt idx="453">
                  <c:v>1919.7</c:v>
                </c:pt>
                <c:pt idx="454">
                  <c:v>1934.7</c:v>
                </c:pt>
                <c:pt idx="455">
                  <c:v>1945.1</c:v>
                </c:pt>
                <c:pt idx="456">
                  <c:v>1973.2</c:v>
                </c:pt>
                <c:pt idx="457">
                  <c:v>1981.9</c:v>
                </c:pt>
                <c:pt idx="458">
                  <c:v>1983.6</c:v>
                </c:pt>
                <c:pt idx="459">
                  <c:v>1956.3</c:v>
                </c:pt>
                <c:pt idx="460">
                  <c:v>1952.9</c:v>
                </c:pt>
                <c:pt idx="461">
                  <c:v>1945.4</c:v>
                </c:pt>
                <c:pt idx="462">
                  <c:v>1893.3</c:v>
                </c:pt>
                <c:pt idx="463">
                  <c:v>1901.5</c:v>
                </c:pt>
                <c:pt idx="464">
                  <c:v>1885.8</c:v>
                </c:pt>
                <c:pt idx="465">
                  <c:v>1891.3</c:v>
                </c:pt>
                <c:pt idx="466">
                  <c:v>1863.6</c:v>
                </c:pt>
                <c:pt idx="467">
                  <c:v>1870.6</c:v>
                </c:pt>
                <c:pt idx="468">
                  <c:v>1868.8</c:v>
                </c:pt>
                <c:pt idx="469">
                  <c:v>1875.7</c:v>
                </c:pt>
                <c:pt idx="470">
                  <c:v>1858.6</c:v>
                </c:pt>
                <c:pt idx="471">
                  <c:v>1841</c:v>
                </c:pt>
                <c:pt idx="472">
                  <c:v>1853.7</c:v>
                </c:pt>
                <c:pt idx="473">
                  <c:v>1824.6</c:v>
                </c:pt>
                <c:pt idx="474">
                  <c:v>1814</c:v>
                </c:pt>
                <c:pt idx="475">
                  <c:v>1818.9</c:v>
                </c:pt>
                <c:pt idx="476">
                  <c:v>1815.9</c:v>
                </c:pt>
                <c:pt idx="477">
                  <c:v>1841.2</c:v>
                </c:pt>
                <c:pt idx="478">
                  <c:v>1847.8</c:v>
                </c:pt>
                <c:pt idx="479">
                  <c:v>1865.4</c:v>
                </c:pt>
                <c:pt idx="480">
                  <c:v>1846.3</c:v>
                </c:pt>
                <c:pt idx="481">
                  <c:v>1847.6</c:v>
                </c:pt>
                <c:pt idx="482">
                  <c:v>1845.2</c:v>
                </c:pt>
                <c:pt idx="483">
                  <c:v>1845.8</c:v>
                </c:pt>
                <c:pt idx="484">
                  <c:v>1868.4</c:v>
                </c:pt>
                <c:pt idx="485">
                  <c:v>1840.8</c:v>
                </c:pt>
                <c:pt idx="486">
                  <c:v>1849.2</c:v>
                </c:pt>
                <c:pt idx="487">
                  <c:v>1853.6</c:v>
                </c:pt>
                <c:pt idx="488">
                  <c:v>1850.1</c:v>
                </c:pt>
                <c:pt idx="489">
                  <c:v>1829.2</c:v>
                </c:pt>
                <c:pt idx="490">
                  <c:v>1810.5</c:v>
                </c:pt>
                <c:pt idx="491">
                  <c:v>1816.3</c:v>
                </c:pt>
                <c:pt idx="492">
                  <c:v>1846.6</c:v>
                </c:pt>
                <c:pt idx="493">
                  <c:v>1835.4</c:v>
                </c:pt>
                <c:pt idx="494">
                  <c:v>1835.2</c:v>
                </c:pt>
                <c:pt idx="495">
                  <c:v>1826.3</c:v>
                </c:pt>
                <c:pt idx="496">
                  <c:v>1821</c:v>
                </c:pt>
                <c:pt idx="497">
                  <c:v>1817.5</c:v>
                </c:pt>
                <c:pt idx="498">
                  <c:v>1817.5</c:v>
                </c:pt>
                <c:pt idx="499">
                  <c:v>1807.3</c:v>
                </c:pt>
                <c:pt idx="500">
                  <c:v>1763.9</c:v>
                </c:pt>
                <c:pt idx="501">
                  <c:v>1736.5</c:v>
                </c:pt>
                <c:pt idx="502">
                  <c:v>1739.7</c:v>
                </c:pt>
                <c:pt idx="503">
                  <c:v>1731.7</c:v>
                </c:pt>
                <c:pt idx="504">
                  <c:v>1724.8</c:v>
                </c:pt>
                <c:pt idx="505">
                  <c:v>1735.5</c:v>
                </c:pt>
                <c:pt idx="506">
                  <c:v>1705.8</c:v>
                </c:pt>
                <c:pt idx="507">
                  <c:v>1710.2</c:v>
                </c:pt>
                <c:pt idx="508">
                  <c:v>1710.7</c:v>
                </c:pt>
                <c:pt idx="509">
                  <c:v>1700.2</c:v>
                </c:pt>
                <c:pt idx="510">
                  <c:v>1713.4</c:v>
                </c:pt>
                <c:pt idx="511">
                  <c:v>1719.1</c:v>
                </c:pt>
                <c:pt idx="512">
                  <c:v>1717.7</c:v>
                </c:pt>
                <c:pt idx="513">
                  <c:v>1719.1</c:v>
                </c:pt>
                <c:pt idx="514">
                  <c:v>1754.4</c:v>
                </c:pt>
                <c:pt idx="515">
                  <c:v>1772.7</c:v>
                </c:pt>
                <c:pt idx="516">
                  <c:v>1774.8</c:v>
                </c:pt>
                <c:pt idx="517">
                  <c:v>1760.9</c:v>
                </c:pt>
                <c:pt idx="518">
                  <c:v>1791.2</c:v>
                </c:pt>
                <c:pt idx="519">
                  <c:v>1789.6</c:v>
                </c:pt>
                <c:pt idx="520">
                  <c:v>1796.8</c:v>
                </c:pt>
                <c:pt idx="521">
                  <c:v>1798.5</c:v>
                </c:pt>
                <c:pt idx="522">
                  <c:v>1792.1</c:v>
                </c:pt>
                <c:pt idx="523">
                  <c:v>1783.3</c:v>
                </c:pt>
                <c:pt idx="524">
                  <c:v>1774.9</c:v>
                </c:pt>
                <c:pt idx="525">
                  <c:v>1761.9</c:v>
                </c:pt>
                <c:pt idx="526">
                  <c:v>1756.5</c:v>
                </c:pt>
                <c:pt idx="527">
                  <c:v>1734.4</c:v>
                </c:pt>
                <c:pt idx="528">
                  <c:v>1747.3</c:v>
                </c:pt>
                <c:pt idx="529">
                  <c:v>1747.8</c:v>
                </c:pt>
                <c:pt idx="530">
                  <c:v>1757.8</c:v>
                </c:pt>
                <c:pt idx="531">
                  <c:v>1736.7</c:v>
                </c:pt>
                <c:pt idx="532">
                  <c:v>1726.9</c:v>
                </c:pt>
                <c:pt idx="533">
                  <c:v>1716.9</c:v>
                </c:pt>
                <c:pt idx="534">
                  <c:v>1699.6</c:v>
                </c:pt>
                <c:pt idx="535">
                  <c:v>1703.4</c:v>
                </c:pt>
                <c:pt idx="536">
                  <c:v>1718.2</c:v>
                </c:pt>
                <c:pt idx="537">
                  <c:v>1710.6</c:v>
                </c:pt>
                <c:pt idx="538">
                  <c:v>1730.8</c:v>
                </c:pt>
                <c:pt idx="539">
                  <c:v>1707.1</c:v>
                </c:pt>
                <c:pt idx="540">
                  <c:v>1698.2</c:v>
                </c:pt>
                <c:pt idx="541">
                  <c:v>1666.8</c:v>
                </c:pt>
                <c:pt idx="542">
                  <c:v>1667.6</c:v>
                </c:pt>
                <c:pt idx="543">
                  <c:v>1661</c:v>
                </c:pt>
                <c:pt idx="544">
                  <c:v>1665.8</c:v>
                </c:pt>
                <c:pt idx="545">
                  <c:v>1671.4</c:v>
                </c:pt>
                <c:pt idx="546">
                  <c:v>1623.6</c:v>
                </c:pt>
                <c:pt idx="547">
                  <c:v>1626.5</c:v>
                </c:pt>
                <c:pt idx="548">
                  <c:v>1660.3</c:v>
                </c:pt>
                <c:pt idx="549">
                  <c:v>1663.6</c:v>
                </c:pt>
                <c:pt idx="550">
                  <c:v>1697.2</c:v>
                </c:pt>
                <c:pt idx="551">
                  <c:v>1725.5</c:v>
                </c:pt>
                <c:pt idx="552">
                  <c:v>1715.6</c:v>
                </c:pt>
                <c:pt idx="553">
                  <c:v>1715.5</c:v>
                </c:pt>
                <c:pt idx="554">
                  <c:v>1670.1</c:v>
                </c:pt>
                <c:pt idx="555">
                  <c:v>1680.9</c:v>
                </c:pt>
                <c:pt idx="556">
                  <c:v>1672.3</c:v>
                </c:pt>
                <c:pt idx="557">
                  <c:v>1671.8</c:v>
                </c:pt>
                <c:pt idx="558">
                  <c:v>1658.9</c:v>
                </c:pt>
                <c:pt idx="559">
                  <c:v>1650.7</c:v>
                </c:pt>
                <c:pt idx="560">
                  <c:v>1629</c:v>
                </c:pt>
                <c:pt idx="561">
                  <c:v>1631.8</c:v>
                </c:pt>
                <c:pt idx="562">
                  <c:v>1649.2</c:v>
                </c:pt>
                <c:pt idx="563">
                  <c:v>1653.3</c:v>
                </c:pt>
                <c:pt idx="564">
                  <c:v>1664.4</c:v>
                </c:pt>
                <c:pt idx="565">
                  <c:v>1660.3</c:v>
                </c:pt>
                <c:pt idx="566">
                  <c:v>1640.7</c:v>
                </c:pt>
                <c:pt idx="567">
                  <c:v>1649.7</c:v>
                </c:pt>
                <c:pt idx="568">
                  <c:v>1650</c:v>
                </c:pt>
                <c:pt idx="569">
                  <c:v>1630.9</c:v>
                </c:pt>
                <c:pt idx="570">
                  <c:v>1680.5</c:v>
                </c:pt>
                <c:pt idx="571">
                  <c:v>1716</c:v>
                </c:pt>
                <c:pt idx="572">
                  <c:v>1713.7</c:v>
                </c:pt>
                <c:pt idx="573">
                  <c:v>1753.7</c:v>
                </c:pt>
                <c:pt idx="574">
                  <c:v>1776.9</c:v>
                </c:pt>
                <c:pt idx="575">
                  <c:v>1776.8</c:v>
                </c:pt>
                <c:pt idx="576">
                  <c:v>1775.8</c:v>
                </c:pt>
                <c:pt idx="577">
                  <c:v>1763</c:v>
                </c:pt>
                <c:pt idx="578">
                  <c:v>1739.6</c:v>
                </c:pt>
                <c:pt idx="579">
                  <c:v>1739.9</c:v>
                </c:pt>
                <c:pt idx="580">
                  <c:v>1745.6</c:v>
                </c:pt>
                <c:pt idx="581">
                  <c:v>1740.3</c:v>
                </c:pt>
                <c:pt idx="582">
                  <c:v>1756.3</c:v>
                </c:pt>
                <c:pt idx="583">
                  <c:v>1753.2</c:v>
                </c:pt>
                <c:pt idx="584">
                  <c:v>1808.2</c:v>
                </c:pt>
                <c:pt idx="585">
                  <c:v>1774.3</c:v>
                </c:pt>
                <c:pt idx="586">
                  <c:v>1775.5</c:v>
                </c:pt>
                <c:pt idx="587">
                  <c:v>1791</c:v>
                </c:pt>
                <c:pt idx="588">
                  <c:v>1794.2</c:v>
                </c:pt>
                <c:pt idx="589">
                  <c:v>1785</c:v>
                </c:pt>
                <c:pt idx="590">
                  <c:v>1818.3</c:v>
                </c:pt>
                <c:pt idx="591">
                  <c:v>1811.5</c:v>
                </c:pt>
                <c:pt idx="592">
                  <c:v>1780.6</c:v>
                </c:pt>
                <c:pt idx="593">
                  <c:v>1791</c:v>
                </c:pt>
                <c:pt idx="594">
                  <c:v>1818.6</c:v>
                </c:pt>
                <c:pt idx="595">
                  <c:v>1818.5</c:v>
                </c:pt>
                <c:pt idx="596">
                  <c:v>1788.5</c:v>
                </c:pt>
                <c:pt idx="597">
                  <c:v>1816.3</c:v>
                </c:pt>
                <c:pt idx="598">
                  <c:v>1808.8</c:v>
                </c:pt>
                <c:pt idx="599">
                  <c:v>1826</c:v>
                </c:pt>
                <c:pt idx="600">
                  <c:v>1846.1</c:v>
                </c:pt>
                <c:pt idx="601">
                  <c:v>1859</c:v>
                </c:pt>
                <c:pt idx="602">
                  <c:v>1840.6</c:v>
                </c:pt>
                <c:pt idx="603">
                  <c:v>1877.8</c:v>
                </c:pt>
                <c:pt idx="604">
                  <c:v>1876.5</c:v>
                </c:pt>
                <c:pt idx="605">
                  <c:v>1878.9</c:v>
                </c:pt>
                <c:pt idx="606">
                  <c:v>1898.8</c:v>
                </c:pt>
                <c:pt idx="607">
                  <c:v>1909.9</c:v>
                </c:pt>
                <c:pt idx="608">
                  <c:v>1907</c:v>
                </c:pt>
                <c:pt idx="609">
                  <c:v>1923.9</c:v>
                </c:pt>
                <c:pt idx="610">
                  <c:v>1928.6</c:v>
                </c:pt>
                <c:pt idx="611">
                  <c:v>1935.4</c:v>
                </c:pt>
                <c:pt idx="612">
                  <c:v>1942.6</c:v>
                </c:pt>
                <c:pt idx="613">
                  <c:v>1930</c:v>
                </c:pt>
                <c:pt idx="614">
                  <c:v>1930.2</c:v>
                </c:pt>
                <c:pt idx="615">
                  <c:v>1936.6</c:v>
                </c:pt>
                <c:pt idx="616">
                  <c:v>1934.3</c:v>
                </c:pt>
                <c:pt idx="617">
                  <c:v>1922.2</c:v>
                </c:pt>
                <c:pt idx="618">
                  <c:v>1871.2</c:v>
                </c:pt>
                <c:pt idx="619">
                  <c:v>1876.5</c:v>
                </c:pt>
                <c:pt idx="620">
                  <c:v>1882.2</c:v>
                </c:pt>
                <c:pt idx="621">
                  <c:v>1870</c:v>
                </c:pt>
                <c:pt idx="622">
                  <c:v>1855.1</c:v>
                </c:pt>
                <c:pt idx="623">
                  <c:v>1857</c:v>
                </c:pt>
                <c:pt idx="624">
                  <c:v>1837</c:v>
                </c:pt>
                <c:pt idx="625">
                  <c:v>1843.4</c:v>
                </c:pt>
                <c:pt idx="626">
                  <c:v>1834.2</c:v>
                </c:pt>
                <c:pt idx="627">
                  <c:v>1833.3</c:v>
                </c:pt>
                <c:pt idx="628">
                  <c:v>1818.8</c:v>
                </c:pt>
                <c:pt idx="629">
                  <c:v>1824.9</c:v>
                </c:pt>
                <c:pt idx="630">
                  <c:v>1836.7</c:v>
                </c:pt>
                <c:pt idx="631">
                  <c:v>1845.4</c:v>
                </c:pt>
                <c:pt idx="632">
                  <c:v>1840.5</c:v>
                </c:pt>
                <c:pt idx="633">
                  <c:v>1854.6</c:v>
                </c:pt>
                <c:pt idx="634">
                  <c:v>1820</c:v>
                </c:pt>
                <c:pt idx="635">
                  <c:v>1818.6</c:v>
                </c:pt>
                <c:pt idx="636">
                  <c:v>1834.6</c:v>
                </c:pt>
                <c:pt idx="637">
                  <c:v>1916.5</c:v>
                </c:pt>
                <c:pt idx="638">
                  <c:v>1910.9</c:v>
                </c:pt>
                <c:pt idx="639">
                  <c:v>1931.3</c:v>
                </c:pt>
                <c:pt idx="640">
                  <c:v>1923</c:v>
                </c:pt>
                <c:pt idx="641">
                  <c:v>1982.8</c:v>
                </c:pt>
                <c:pt idx="642">
                  <c:v>1941.1</c:v>
                </c:pt>
                <c:pt idx="643">
                  <c:v>1949.6</c:v>
                </c:pt>
                <c:pt idx="644">
                  <c:v>1995.9</c:v>
                </c:pt>
                <c:pt idx="645">
                  <c:v>1953.8</c:v>
                </c:pt>
                <c:pt idx="646">
                  <c:v>1973.5</c:v>
                </c:pt>
                <c:pt idx="647">
                  <c:v>1966.9</c:v>
                </c:pt>
                <c:pt idx="648">
                  <c:v>1988.5</c:v>
                </c:pt>
                <c:pt idx="649">
                  <c:v>1991.3</c:v>
                </c:pt>
                <c:pt idx="650">
                  <c:v>2029.4</c:v>
                </c:pt>
                <c:pt idx="651">
                  <c:v>2026.8</c:v>
                </c:pt>
                <c:pt idx="652">
                  <c:v>1994.8</c:v>
                </c:pt>
                <c:pt idx="653">
                  <c:v>2010</c:v>
                </c:pt>
                <c:pt idx="654">
                  <c:v>2015.7</c:v>
                </c:pt>
                <c:pt idx="655">
                  <c:v>2045.8</c:v>
                </c:pt>
                <c:pt idx="656">
                  <c:v>1997.6</c:v>
                </c:pt>
                <c:pt idx="657">
                  <c:v>2010.3</c:v>
                </c:pt>
                <c:pt idx="658">
                  <c:v>1998</c:v>
                </c:pt>
                <c:pt idx="659">
                  <c:v>2009.8</c:v>
                </c:pt>
                <c:pt idx="660">
                  <c:v>1990.6</c:v>
                </c:pt>
                <c:pt idx="661">
                  <c:v>1995.1</c:v>
                </c:pt>
                <c:pt idx="662">
                  <c:v>1986.9</c:v>
                </c:pt>
                <c:pt idx="663">
                  <c:v>1999</c:v>
                </c:pt>
                <c:pt idx="664">
                  <c:v>1992.2</c:v>
                </c:pt>
                <c:pt idx="665">
                  <c:v>2023.3</c:v>
                </c:pt>
                <c:pt idx="666">
                  <c:v>2037</c:v>
                </c:pt>
                <c:pt idx="667">
                  <c:v>2055.6999999999998</c:v>
                </c:pt>
                <c:pt idx="668">
                  <c:v>2033.2</c:v>
                </c:pt>
                <c:pt idx="669">
                  <c:v>2042.9</c:v>
                </c:pt>
                <c:pt idx="670">
                  <c:v>2037.1</c:v>
                </c:pt>
                <c:pt idx="671">
                  <c:v>2020.5</c:v>
                </c:pt>
                <c:pt idx="672">
                  <c:v>2022.7</c:v>
                </c:pt>
                <c:pt idx="673">
                  <c:v>1993</c:v>
                </c:pt>
                <c:pt idx="674">
                  <c:v>1984.9</c:v>
                </c:pt>
                <c:pt idx="675">
                  <c:v>1959.8</c:v>
                </c:pt>
                <c:pt idx="676">
                  <c:v>1977.2</c:v>
                </c:pt>
                <c:pt idx="677">
                  <c:v>1974.5</c:v>
                </c:pt>
                <c:pt idx="678">
                  <c:v>1964.6</c:v>
                </c:pt>
                <c:pt idx="679">
                  <c:v>1943.7</c:v>
                </c:pt>
                <c:pt idx="680">
                  <c:v>1968.1</c:v>
                </c:pt>
                <c:pt idx="681">
                  <c:v>1973.1</c:v>
                </c:pt>
                <c:pt idx="682">
                  <c:v>1986.5</c:v>
                </c:pt>
                <c:pt idx="683">
                  <c:v>1965.7</c:v>
                </c:pt>
                <c:pt idx="684">
                  <c:v>1972.9</c:v>
                </c:pt>
                <c:pt idx="685">
                  <c:v>1949.9</c:v>
                </c:pt>
                <c:pt idx="686">
                  <c:v>1969.9</c:v>
                </c:pt>
                <c:pt idx="687">
                  <c:v>1960.9</c:v>
                </c:pt>
                <c:pt idx="688">
                  <c:v>1949.9</c:v>
                </c:pt>
                <c:pt idx="689">
                  <c:v>1960.1</c:v>
                </c:pt>
                <c:pt idx="690">
                  <c:v>1961.8</c:v>
                </c:pt>
                <c:pt idx="691">
                  <c:v>1938.9</c:v>
                </c:pt>
                <c:pt idx="692">
                  <c:v>1936.1</c:v>
                </c:pt>
                <c:pt idx="693">
                  <c:v>1915</c:v>
                </c:pt>
                <c:pt idx="694">
                  <c:v>1925.1</c:v>
                </c:pt>
                <c:pt idx="695">
                  <c:v>1915.1</c:v>
                </c:pt>
                <c:pt idx="696">
                  <c:v>1913.4</c:v>
                </c:pt>
                <c:pt idx="697">
                  <c:v>1917.9</c:v>
                </c:pt>
                <c:pt idx="698">
                  <c:v>1929.5</c:v>
                </c:pt>
                <c:pt idx="699">
                  <c:v>1927.1</c:v>
                </c:pt>
                <c:pt idx="700">
                  <c:v>1915.4</c:v>
                </c:pt>
                <c:pt idx="701">
                  <c:v>1931</c:v>
                </c:pt>
                <c:pt idx="702">
                  <c:v>1937.1</c:v>
                </c:pt>
                <c:pt idx="703">
                  <c:v>1961.7</c:v>
                </c:pt>
                <c:pt idx="704">
                  <c:v>1963.8</c:v>
                </c:pt>
                <c:pt idx="705">
                  <c:v>1956.4</c:v>
                </c:pt>
                <c:pt idx="706">
                  <c:v>1980.8</c:v>
                </c:pt>
                <c:pt idx="707">
                  <c:v>1980.8</c:v>
                </c:pt>
                <c:pt idx="708">
                  <c:v>1970.9</c:v>
                </c:pt>
                <c:pt idx="709">
                  <c:v>1962.2</c:v>
                </c:pt>
                <c:pt idx="710">
                  <c:v>1963.7</c:v>
                </c:pt>
                <c:pt idx="711">
                  <c:v>1970.1</c:v>
                </c:pt>
                <c:pt idx="712">
                  <c:v>1945.7</c:v>
                </c:pt>
                <c:pt idx="713">
                  <c:v>1979.6</c:v>
                </c:pt>
                <c:pt idx="714">
                  <c:v>1949.7</c:v>
                </c:pt>
                <c:pt idx="715">
                  <c:v>1946</c:v>
                </c:pt>
                <c:pt idx="716">
                  <c:v>1939.9</c:v>
                </c:pt>
                <c:pt idx="717">
                  <c:v>1940.7</c:v>
                </c:pt>
                <c:pt idx="718">
                  <c:v>1930.8</c:v>
                </c:pt>
                <c:pt idx="719">
                  <c:v>1921.9</c:v>
                </c:pt>
                <c:pt idx="720">
                  <c:v>1920.1</c:v>
                </c:pt>
                <c:pt idx="721">
                  <c:v>1915.6</c:v>
                </c:pt>
                <c:pt idx="722">
                  <c:v>1906.9</c:v>
                </c:pt>
                <c:pt idx="723">
                  <c:v>1900.2</c:v>
                </c:pt>
                <c:pt idx="724">
                  <c:v>1887.2</c:v>
                </c:pt>
                <c:pt idx="725">
                  <c:v>1895.7</c:v>
                </c:pt>
                <c:pt idx="726">
                  <c:v>1898.6</c:v>
                </c:pt>
                <c:pt idx="727">
                  <c:v>1920.5</c:v>
                </c:pt>
                <c:pt idx="728">
                  <c:v>1919.1</c:v>
                </c:pt>
                <c:pt idx="729">
                  <c:v>1918.5</c:v>
                </c:pt>
                <c:pt idx="730">
                  <c:v>1936.4</c:v>
                </c:pt>
                <c:pt idx="731">
                  <c:v>1954</c:v>
                </c:pt>
                <c:pt idx="732">
                  <c:v>1947</c:v>
                </c:pt>
                <c:pt idx="733">
                  <c:v>1934.3</c:v>
                </c:pt>
                <c:pt idx="734">
                  <c:v>1925.8</c:v>
                </c:pt>
                <c:pt idx="735">
                  <c:v>1924.1</c:v>
                </c:pt>
                <c:pt idx="736">
                  <c:v>1929.2</c:v>
                </c:pt>
                <c:pt idx="737">
                  <c:v>1917.2</c:v>
                </c:pt>
                <c:pt idx="738">
                  <c:v>1914.4</c:v>
                </c:pt>
                <c:pt idx="739">
                  <c:v>1914.4</c:v>
                </c:pt>
                <c:pt idx="740">
                  <c:v>1935.2</c:v>
                </c:pt>
                <c:pt idx="741">
                  <c:v>1935.3</c:v>
                </c:pt>
                <c:pt idx="742">
                  <c:v>1948.6</c:v>
                </c:pt>
                <c:pt idx="743">
                  <c:v>1921.2</c:v>
                </c:pt>
                <c:pt idx="744">
                  <c:v>1918.2</c:v>
                </c:pt>
                <c:pt idx="745">
                  <c:v>1901.6</c:v>
                </c:pt>
                <c:pt idx="746">
                  <c:v>1872.3</c:v>
                </c:pt>
                <c:pt idx="747">
                  <c:v>1869.5</c:v>
                </c:pt>
                <c:pt idx="748">
                  <c:v>1838.2</c:v>
                </c:pt>
                <c:pt idx="749">
                  <c:v>1832.6</c:v>
                </c:pt>
                <c:pt idx="750">
                  <c:v>1826.1</c:v>
                </c:pt>
                <c:pt idx="751">
                  <c:v>1823.2</c:v>
                </c:pt>
                <c:pt idx="752">
                  <c:v>1855.7</c:v>
                </c:pt>
                <c:pt idx="753">
                  <c:v>1866.7</c:v>
                </c:pt>
                <c:pt idx="754">
                  <c:v>1878.4</c:v>
                </c:pt>
                <c:pt idx="755">
                  <c:v>1874.2</c:v>
                </c:pt>
                <c:pt idx="756">
                  <c:v>1925.1</c:v>
                </c:pt>
                <c:pt idx="757">
                  <c:v>1926.4</c:v>
                </c:pt>
                <c:pt idx="758">
                  <c:v>1958.8</c:v>
                </c:pt>
                <c:pt idx="759">
                  <c:v>1971.2</c:v>
                </c:pt>
                <c:pt idx="760">
                  <c:v>1978.2</c:v>
                </c:pt>
                <c:pt idx="761">
                  <c:v>1976.8</c:v>
                </c:pt>
                <c:pt idx="762">
                  <c:v>1985.5</c:v>
                </c:pt>
                <c:pt idx="763">
                  <c:v>1987.9</c:v>
                </c:pt>
                <c:pt idx="764">
                  <c:v>2005.6</c:v>
                </c:pt>
                <c:pt idx="765">
                  <c:v>1994.3</c:v>
                </c:pt>
                <c:pt idx="766">
                  <c:v>1987.5</c:v>
                </c:pt>
                <c:pt idx="767">
                  <c:v>1993.5</c:v>
                </c:pt>
                <c:pt idx="768">
                  <c:v>1988.6</c:v>
                </c:pt>
                <c:pt idx="769">
                  <c:v>1973.5</c:v>
                </c:pt>
                <c:pt idx="770">
                  <c:v>1957.8</c:v>
                </c:pt>
                <c:pt idx="771">
                  <c:v>1969.8</c:v>
                </c:pt>
                <c:pt idx="772">
                  <c:v>1950.2</c:v>
                </c:pt>
                <c:pt idx="773">
                  <c:v>1966.5</c:v>
                </c:pt>
                <c:pt idx="774">
                  <c:v>1964.3</c:v>
                </c:pt>
                <c:pt idx="775">
                  <c:v>1987.3</c:v>
                </c:pt>
                <c:pt idx="776">
                  <c:v>1980.3</c:v>
                </c:pt>
                <c:pt idx="777">
                  <c:v>2001.6</c:v>
                </c:pt>
                <c:pt idx="778">
                  <c:v>1992.8</c:v>
                </c:pt>
                <c:pt idx="779">
                  <c:v>2012.4</c:v>
                </c:pt>
                <c:pt idx="780">
                  <c:v>2040</c:v>
                </c:pt>
                <c:pt idx="781">
                  <c:v>2057.5</c:v>
                </c:pt>
                <c:pt idx="782">
                  <c:v>2047.6</c:v>
                </c:pt>
                <c:pt idx="783">
                  <c:v>2032.9</c:v>
                </c:pt>
                <c:pt idx="784">
                  <c:v>2026.9</c:v>
                </c:pt>
                <c:pt idx="785">
                  <c:v>2038.4</c:v>
                </c:pt>
                <c:pt idx="786">
                  <c:v>2036.9</c:v>
                </c:pt>
                <c:pt idx="787">
                  <c:v>1984.3</c:v>
                </c:pt>
                <c:pt idx="788">
                  <c:v>1983.9</c:v>
                </c:pt>
                <c:pt idx="789">
                  <c:v>1988.1</c:v>
                </c:pt>
                <c:pt idx="790">
                  <c:v>2035.2</c:v>
                </c:pt>
                <c:pt idx="791">
                  <c:v>2030.9</c:v>
                </c:pt>
                <c:pt idx="792">
                  <c:v>2042.6</c:v>
                </c:pt>
                <c:pt idx="793">
                  <c:v>2038.1</c:v>
                </c:pt>
                <c:pt idx="794">
                  <c:v>2041.8</c:v>
                </c:pt>
                <c:pt idx="795">
                  <c:v>2060.4</c:v>
                </c:pt>
                <c:pt idx="796">
                  <c:v>2083.4</c:v>
                </c:pt>
                <c:pt idx="797">
                  <c:v>2083.5</c:v>
                </c:pt>
                <c:pt idx="798">
                  <c:v>2073.4</c:v>
                </c:pt>
                <c:pt idx="799">
                  <c:v>2042.8</c:v>
                </c:pt>
                <c:pt idx="800">
                  <c:v>2050</c:v>
                </c:pt>
                <c:pt idx="801">
                  <c:v>2033.5</c:v>
                </c:pt>
                <c:pt idx="802">
                  <c:v>2033</c:v>
                </c:pt>
                <c:pt idx="803">
                  <c:v>2027.8</c:v>
                </c:pt>
                <c:pt idx="804">
                  <c:v>2019.2</c:v>
                </c:pt>
                <c:pt idx="805">
                  <c:v>2030.2</c:v>
                </c:pt>
                <c:pt idx="806">
                  <c:v>2006.5</c:v>
                </c:pt>
                <c:pt idx="807">
                  <c:v>2021.6</c:v>
                </c:pt>
                <c:pt idx="808">
                  <c:v>2022.2</c:v>
                </c:pt>
                <c:pt idx="809">
                  <c:v>2025.8</c:v>
                </c:pt>
                <c:pt idx="810">
                  <c:v>2016</c:v>
                </c:pt>
                <c:pt idx="811">
                  <c:v>2017.8</c:v>
                </c:pt>
                <c:pt idx="812">
                  <c:v>2025.4</c:v>
                </c:pt>
                <c:pt idx="813">
                  <c:v>2041.1</c:v>
                </c:pt>
                <c:pt idx="814">
                  <c:v>2057.4</c:v>
                </c:pt>
                <c:pt idx="815">
                  <c:v>2061.1999999999998</c:v>
                </c:pt>
                <c:pt idx="816">
                  <c:v>2032.9</c:v>
                </c:pt>
                <c:pt idx="817">
                  <c:v>2041.5</c:v>
                </c:pt>
                <c:pt idx="818">
                  <c:v>2041.8</c:v>
                </c:pt>
                <c:pt idx="819">
                  <c:v>2038.1</c:v>
                </c:pt>
                <c:pt idx="820">
                  <c:v>2023.4</c:v>
                </c:pt>
                <c:pt idx="821">
                  <c:v>1997.7</c:v>
                </c:pt>
                <c:pt idx="822">
                  <c:v>1994.7</c:v>
                </c:pt>
                <c:pt idx="823">
                  <c:v>2005.3</c:v>
                </c:pt>
                <c:pt idx="824">
                  <c:v>2030</c:v>
                </c:pt>
                <c:pt idx="825">
                  <c:v>2024.5</c:v>
                </c:pt>
                <c:pt idx="826">
                  <c:v>2020.8</c:v>
                </c:pt>
                <c:pt idx="827">
                  <c:v>2029.1</c:v>
                </c:pt>
                <c:pt idx="828">
                  <c:v>2034.4</c:v>
                </c:pt>
                <c:pt idx="829">
                  <c:v>2042.7</c:v>
                </c:pt>
                <c:pt idx="830">
                  <c:v>2054.6999999999998</c:v>
                </c:pt>
                <c:pt idx="831">
                  <c:v>2126.3000000000002</c:v>
                </c:pt>
                <c:pt idx="832">
                  <c:v>2141.9</c:v>
                </c:pt>
                <c:pt idx="833">
                  <c:v>2158.1999999999998</c:v>
                </c:pt>
                <c:pt idx="834">
                  <c:v>2165.1999999999998</c:v>
                </c:pt>
                <c:pt idx="835">
                  <c:v>2188.6</c:v>
                </c:pt>
                <c:pt idx="836">
                  <c:v>2166.1</c:v>
                </c:pt>
                <c:pt idx="837">
                  <c:v>2180.8000000000002</c:v>
                </c:pt>
                <c:pt idx="838">
                  <c:v>2167.5</c:v>
                </c:pt>
                <c:pt idx="839">
                  <c:v>2164.3000000000002</c:v>
                </c:pt>
                <c:pt idx="840">
                  <c:v>2159.6999999999998</c:v>
                </c:pt>
                <c:pt idx="841">
                  <c:v>2161</c:v>
                </c:pt>
                <c:pt idx="842">
                  <c:v>2184.6999999999998</c:v>
                </c:pt>
                <c:pt idx="843">
                  <c:v>2176.4</c:v>
                </c:pt>
                <c:pt idx="844">
                  <c:v>2177.1999999999998</c:v>
                </c:pt>
                <c:pt idx="845">
                  <c:v>2201.4</c:v>
                </c:pt>
                <c:pt idx="846">
                  <c:v>2245.9</c:v>
                </c:pt>
                <c:pt idx="847">
                  <c:v>2270.3000000000002</c:v>
                </c:pt>
                <c:pt idx="848">
                  <c:v>2303.3000000000002</c:v>
                </c:pt>
                <c:pt idx="849">
                  <c:v>2296.9</c:v>
                </c:pt>
                <c:pt idx="850">
                  <c:v>2339</c:v>
                </c:pt>
                <c:pt idx="851">
                  <c:v>2350.6</c:v>
                </c:pt>
                <c:pt idx="852">
                  <c:v>2336.6</c:v>
                </c:pt>
                <c:pt idx="853">
                  <c:v>2360.8000000000002</c:v>
                </c:pt>
                <c:pt idx="854">
                  <c:v>2370.9</c:v>
                </c:pt>
                <c:pt idx="855">
                  <c:v>2395.5</c:v>
                </c:pt>
                <c:pt idx="856">
                  <c:v>2376.1999999999998</c:v>
                </c:pt>
                <c:pt idx="857">
                  <c:v>2385.8000000000002</c:v>
                </c:pt>
                <c:pt idx="858">
                  <c:v>2334.6</c:v>
                </c:pt>
                <c:pt idx="859">
                  <c:v>2329.9</c:v>
                </c:pt>
                <c:pt idx="860">
                  <c:v>2326</c:v>
                </c:pt>
                <c:pt idx="861">
                  <c:v>2330.3000000000002</c:v>
                </c:pt>
                <c:pt idx="862">
                  <c:v>2357.6999999999998</c:v>
                </c:pt>
                <c:pt idx="863">
                  <c:v>2302.9</c:v>
                </c:pt>
                <c:pt idx="864">
                  <c:v>2311</c:v>
                </c:pt>
                <c:pt idx="865">
                  <c:v>2309.6</c:v>
                </c:pt>
                <c:pt idx="866">
                  <c:v>2331.1999999999998</c:v>
                </c:pt>
                <c:pt idx="867">
                  <c:v>2324.1999999999998</c:v>
                </c:pt>
                <c:pt idx="868">
                  <c:v>2322.3000000000002</c:v>
                </c:pt>
                <c:pt idx="869">
                  <c:v>2340.3000000000002</c:v>
                </c:pt>
                <c:pt idx="870">
                  <c:v>2343</c:v>
                </c:pt>
                <c:pt idx="871">
                  <c:v>2359.9</c:v>
                </c:pt>
                <c:pt idx="872">
                  <c:v>2394.9</c:v>
                </c:pt>
                <c:pt idx="873">
                  <c:v>2385.5</c:v>
                </c:pt>
                <c:pt idx="874">
                  <c:v>2438.5</c:v>
                </c:pt>
                <c:pt idx="875">
                  <c:v>2425.9</c:v>
                </c:pt>
                <c:pt idx="876">
                  <c:v>2392.9</c:v>
                </c:pt>
                <c:pt idx="877">
                  <c:v>2337.1999999999998</c:v>
                </c:pt>
                <c:pt idx="878">
                  <c:v>2356.5</c:v>
                </c:pt>
                <c:pt idx="879">
                  <c:v>2341.1999999999998</c:v>
                </c:pt>
                <c:pt idx="880">
                  <c:v>2354.6999999999998</c:v>
                </c:pt>
                <c:pt idx="881">
                  <c:v>2357.5</c:v>
                </c:pt>
                <c:pt idx="882">
                  <c:v>2335.6999999999998</c:v>
                </c:pt>
                <c:pt idx="883">
                  <c:v>2363.6</c:v>
                </c:pt>
                <c:pt idx="884">
                  <c:v>2378.9</c:v>
                </c:pt>
                <c:pt idx="885">
                  <c:v>2315.1</c:v>
                </c:pt>
                <c:pt idx="886">
                  <c:v>2314.6</c:v>
                </c:pt>
                <c:pt idx="887">
                  <c:v>2342.6999999999998</c:v>
                </c:pt>
                <c:pt idx="888">
                  <c:v>2305.9</c:v>
                </c:pt>
                <c:pt idx="889">
                  <c:v>2316.9</c:v>
                </c:pt>
                <c:pt idx="890">
                  <c:v>2334.8000000000002</c:v>
                </c:pt>
                <c:pt idx="891">
                  <c:v>2357</c:v>
                </c:pt>
                <c:pt idx="892">
                  <c:v>2332.4</c:v>
                </c:pt>
                <c:pt idx="893">
                  <c:v>2318.4</c:v>
                </c:pt>
                <c:pt idx="894">
                  <c:v>2301</c:v>
                </c:pt>
                <c:pt idx="895">
                  <c:v>2336.6</c:v>
                </c:pt>
                <c:pt idx="896">
                  <c:v>2338.9</c:v>
                </c:pt>
                <c:pt idx="897">
                  <c:v>2333.4</c:v>
                </c:pt>
                <c:pt idx="898">
                  <c:v>2369.4</c:v>
                </c:pt>
                <c:pt idx="899">
                  <c:v>2363.5</c:v>
                </c:pt>
                <c:pt idx="900">
                  <c:v>2367.9</c:v>
                </c:pt>
                <c:pt idx="901">
                  <c:v>2379.6999999999998</c:v>
                </c:pt>
                <c:pt idx="902">
                  <c:v>2421.9</c:v>
                </c:pt>
                <c:pt idx="903">
                  <c:v>2428.9</c:v>
                </c:pt>
                <c:pt idx="904">
                  <c:v>2467.8000000000002</c:v>
                </c:pt>
                <c:pt idx="905">
                  <c:v>2459.9</c:v>
                </c:pt>
                <c:pt idx="906">
                  <c:v>2456.4</c:v>
                </c:pt>
                <c:pt idx="907">
                  <c:v>2394.6999999999998</c:v>
                </c:pt>
                <c:pt idx="908">
                  <c:v>2407.3000000000002</c:v>
                </c:pt>
                <c:pt idx="909">
                  <c:v>2415.6999999999998</c:v>
                </c:pt>
                <c:pt idx="910">
                  <c:v>2353.5</c:v>
                </c:pt>
                <c:pt idx="911">
                  <c:v>2377.8000000000002</c:v>
                </c:pt>
                <c:pt idx="912">
                  <c:v>2417.6</c:v>
                </c:pt>
                <c:pt idx="913">
                  <c:v>2438.5</c:v>
                </c:pt>
                <c:pt idx="914">
                  <c:v>2445.9</c:v>
                </c:pt>
                <c:pt idx="915">
                  <c:v>2411.8000000000002</c:v>
                </c:pt>
                <c:pt idx="916">
                  <c:v>2398.9</c:v>
                </c:pt>
                <c:pt idx="917">
                  <c:v>2400</c:v>
                </c:pt>
                <c:pt idx="918">
                  <c:v>2430.3000000000002</c:v>
                </c:pt>
                <c:pt idx="919">
                  <c:v>2469.9</c:v>
                </c:pt>
                <c:pt idx="920">
                  <c:v>2473.9</c:v>
                </c:pt>
                <c:pt idx="921">
                  <c:v>2446.1999999999998</c:v>
                </c:pt>
                <c:pt idx="922">
                  <c:v>2458.6</c:v>
                </c:pt>
                <c:pt idx="923">
                  <c:v>2506.8000000000002</c:v>
                </c:pt>
                <c:pt idx="924">
                  <c:v>2516.1</c:v>
                </c:pt>
                <c:pt idx="925">
                  <c:v>2512.8000000000002</c:v>
                </c:pt>
                <c:pt idx="926">
                  <c:v>2482.1</c:v>
                </c:pt>
                <c:pt idx="927">
                  <c:v>2520.1999999999998</c:v>
                </c:pt>
                <c:pt idx="928">
                  <c:v>2517.6999999999998</c:v>
                </c:pt>
                <c:pt idx="929">
                  <c:v>2502.6</c:v>
                </c:pt>
                <c:pt idx="930">
                  <c:v>2536.6999999999998</c:v>
                </c:pt>
                <c:pt idx="931">
                  <c:v>2499.6999999999998</c:v>
                </c:pt>
                <c:pt idx="932">
                  <c:v>2502.6999999999998</c:v>
                </c:pt>
                <c:pt idx="933">
                  <c:v>2519.6999999999998</c:v>
                </c:pt>
                <c:pt idx="934">
                  <c:v>2509.3000000000002</c:v>
                </c:pt>
                <c:pt idx="935">
                  <c:v>2519.5</c:v>
                </c:pt>
                <c:pt idx="936">
                  <c:v>2519</c:v>
                </c:pt>
                <c:pt idx="937">
                  <c:v>2557.1</c:v>
                </c:pt>
                <c:pt idx="938">
                  <c:v>2585.1999999999998</c:v>
                </c:pt>
                <c:pt idx="939">
                  <c:v>2568.9</c:v>
                </c:pt>
                <c:pt idx="940">
                  <c:v>2574.9</c:v>
                </c:pt>
                <c:pt idx="941">
                  <c:v>2590.9</c:v>
                </c:pt>
                <c:pt idx="942">
                  <c:v>2628.6</c:v>
                </c:pt>
                <c:pt idx="943">
                  <c:v>2653</c:v>
                </c:pt>
                <c:pt idx="944">
                  <c:v>2660.7</c:v>
                </c:pt>
                <c:pt idx="945">
                  <c:v>2670.4</c:v>
                </c:pt>
                <c:pt idx="946">
                  <c:v>2647.9</c:v>
                </c:pt>
                <c:pt idx="947">
                  <c:v>2678.5</c:v>
                </c:pt>
                <c:pt idx="948">
                  <c:v>2658.1</c:v>
                </c:pt>
                <c:pt idx="949">
                  <c:v>2667.4</c:v>
                </c:pt>
                <c:pt idx="950">
                  <c:v>2654</c:v>
                </c:pt>
                <c:pt idx="951">
                  <c:v>2623.5</c:v>
                </c:pt>
                <c:pt idx="952">
                  <c:v>2614.1</c:v>
                </c:pt>
                <c:pt idx="953">
                  <c:v>2627.4</c:v>
                </c:pt>
                <c:pt idx="954">
                  <c:v>2653.7</c:v>
                </c:pt>
                <c:pt idx="955">
                  <c:v>2667</c:v>
                </c:pt>
                <c:pt idx="956">
                  <c:v>2679.3</c:v>
                </c:pt>
                <c:pt idx="957">
                  <c:v>2695.5</c:v>
                </c:pt>
                <c:pt idx="958">
                  <c:v>2726.8</c:v>
                </c:pt>
                <c:pt idx="959">
                  <c:v>2747.4</c:v>
                </c:pt>
                <c:pt idx="960">
                  <c:v>2717.1</c:v>
                </c:pt>
                <c:pt idx="961">
                  <c:v>2736.5</c:v>
                </c:pt>
                <c:pt idx="962">
                  <c:v>2743.6</c:v>
                </c:pt>
                <c:pt idx="963">
                  <c:v>2768.8</c:v>
                </c:pt>
                <c:pt idx="964">
                  <c:v>2800.8</c:v>
                </c:pt>
                <c:pt idx="965">
                  <c:v>2749.3</c:v>
                </c:pt>
                <c:pt idx="966">
                  <c:v>2746.2</c:v>
                </c:pt>
                <c:pt idx="967">
                  <c:v>2749.7</c:v>
                </c:pt>
                <c:pt idx="968">
                  <c:v>2676.3</c:v>
                </c:pt>
                <c:pt idx="969">
                  <c:v>2705.8</c:v>
                </c:pt>
                <c:pt idx="970">
                  <c:v>2617.6999999999998</c:v>
                </c:pt>
                <c:pt idx="971">
                  <c:v>2606.3000000000002</c:v>
                </c:pt>
                <c:pt idx="972">
                  <c:v>2586.5</c:v>
                </c:pt>
                <c:pt idx="973">
                  <c:v>2572.9</c:v>
                </c:pt>
                <c:pt idx="974">
                  <c:v>2614.6</c:v>
                </c:pt>
                <c:pt idx="975">
                  <c:v>2631</c:v>
                </c:pt>
                <c:pt idx="976">
                  <c:v>2651.7</c:v>
                </c:pt>
                <c:pt idx="977">
                  <c:v>2674.9</c:v>
                </c:pt>
                <c:pt idx="978">
                  <c:v>2618.5</c:v>
                </c:pt>
                <c:pt idx="979">
                  <c:v>2621.3000000000002</c:v>
                </c:pt>
                <c:pt idx="980">
                  <c:v>2652.3</c:v>
                </c:pt>
                <c:pt idx="981">
                  <c:v>2646.5</c:v>
                </c:pt>
                <c:pt idx="982">
                  <c:v>2655.9</c:v>
                </c:pt>
                <c:pt idx="983">
                  <c:v>2664.3</c:v>
                </c:pt>
                <c:pt idx="984">
                  <c:v>2636.1</c:v>
                </c:pt>
                <c:pt idx="985">
                  <c:v>2673.3</c:v>
                </c:pt>
                <c:pt idx="986">
                  <c:v>2705.6</c:v>
                </c:pt>
                <c:pt idx="987">
                  <c:v>2741.5</c:v>
                </c:pt>
                <c:pt idx="988">
                  <c:v>2695.1</c:v>
                </c:pt>
                <c:pt idx="989">
                  <c:v>2657</c:v>
                </c:pt>
                <c:pt idx="990">
                  <c:v>2649.6</c:v>
                </c:pt>
                <c:pt idx="991">
                  <c:v>2640.8</c:v>
                </c:pt>
                <c:pt idx="992">
                  <c:v>2596</c:v>
                </c:pt>
                <c:pt idx="993">
                  <c:v>2615.5</c:v>
                </c:pt>
                <c:pt idx="994">
                  <c:v>2640.3</c:v>
                </c:pt>
                <c:pt idx="995">
                  <c:v>2618.1</c:v>
                </c:pt>
                <c:pt idx="996">
                  <c:v>2669</c:v>
                </c:pt>
                <c:pt idx="997">
                  <c:v>2647.4</c:v>
                </c:pt>
                <c:pt idx="998">
                  <c:v>2665.4</c:v>
                </c:pt>
                <c:pt idx="999">
                  <c:v>2672.4</c:v>
                </c:pt>
                <c:pt idx="1000">
                  <c:v>2690.8</c:v>
                </c:pt>
                <c:pt idx="1001">
                  <c:v>2678.6</c:v>
                </c:pt>
                <c:pt idx="1002">
                  <c:v>2682.3</c:v>
                </c:pt>
                <c:pt idx="1003">
                  <c:v>2717.8</c:v>
                </c:pt>
                <c:pt idx="1004">
                  <c:v>2750.9</c:v>
                </c:pt>
                <c:pt idx="1005">
                  <c:v>2785.6</c:v>
                </c:pt>
                <c:pt idx="1006">
                  <c:v>2797.4</c:v>
                </c:pt>
                <c:pt idx="1007">
                  <c:v>2778.3</c:v>
                </c:pt>
                <c:pt idx="1008">
                  <c:v>2752.4</c:v>
                </c:pt>
                <c:pt idx="1009">
                  <c:v>2781</c:v>
                </c:pt>
                <c:pt idx="1010">
                  <c:v>2781.5</c:v>
                </c:pt>
                <c:pt idx="1011">
                  <c:v>2845.2</c:v>
                </c:pt>
                <c:pt idx="1012">
                  <c:v>2857.1</c:v>
                </c:pt>
                <c:pt idx="1013">
                  <c:v>2875.8</c:v>
                </c:pt>
                <c:pt idx="1014">
                  <c:v>2893</c:v>
                </c:pt>
                <c:pt idx="1015">
                  <c:v>2876.7</c:v>
                </c:pt>
                <c:pt idx="1016">
                  <c:v>2934.4</c:v>
                </c:pt>
                <c:pt idx="1017">
                  <c:v>2932.6</c:v>
                </c:pt>
                <c:pt idx="1018">
                  <c:v>2928.7</c:v>
                </c:pt>
                <c:pt idx="1019">
                  <c:v>2945.4</c:v>
                </c:pt>
                <c:pt idx="1020">
                  <c:v>2949</c:v>
                </c:pt>
                <c:pt idx="1021">
                  <c:v>2936.1</c:v>
                </c:pt>
                <c:pt idx="1022">
                  <c:v>2956.1</c:v>
                </c:pt>
                <c:pt idx="1023">
                  <c:v>2949.7</c:v>
                </c:pt>
                <c:pt idx="1024">
                  <c:v>2906</c:v>
                </c:pt>
                <c:pt idx="1025">
                  <c:v>2917.8</c:v>
                </c:pt>
                <c:pt idx="1026">
                  <c:v>2895.9</c:v>
                </c:pt>
                <c:pt idx="1027">
                  <c:v>2901.1</c:v>
                </c:pt>
                <c:pt idx="1028">
                  <c:v>2920.6</c:v>
                </c:pt>
                <c:pt idx="1029">
                  <c:v>2926</c:v>
                </c:pt>
                <c:pt idx="1030">
                  <c:v>2926.6</c:v>
                </c:pt>
                <c:pt idx="1031">
                  <c:v>2899.4</c:v>
                </c:pt>
                <c:pt idx="1032">
                  <c:v>2920.9</c:v>
                </c:pt>
                <c:pt idx="1033">
                  <c:v>2946.8</c:v>
                </c:pt>
                <c:pt idx="1034">
                  <c:v>2991.3</c:v>
                </c:pt>
                <c:pt idx="1035">
                  <c:v>3034.1</c:v>
                </c:pt>
                <c:pt idx="1036">
                  <c:v>3068.9</c:v>
                </c:pt>
                <c:pt idx="1037">
                  <c:v>3069.1</c:v>
                </c:pt>
                <c:pt idx="1038">
                  <c:v>3071.3</c:v>
                </c:pt>
                <c:pt idx="1039">
                  <c:v>3044</c:v>
                </c:pt>
                <c:pt idx="1040">
                  <c:v>3039.6</c:v>
                </c:pt>
                <c:pt idx="1041">
                  <c:v>3037.3</c:v>
                </c:pt>
                <c:pt idx="1042">
                  <c:v>3075.8</c:v>
                </c:pt>
                <c:pt idx="1043">
                  <c:v>3150.3</c:v>
                </c:pt>
                <c:pt idx="1044">
                  <c:v>3146</c:v>
                </c:pt>
                <c:pt idx="1045">
                  <c:v>3166.2</c:v>
                </c:pt>
                <c:pt idx="1046">
                  <c:v>3121.7</c:v>
                </c:pt>
                <c:pt idx="1047">
                  <c:v>2973.6</c:v>
                </c:pt>
                <c:pt idx="1048">
                  <c:v>2990.2</c:v>
                </c:pt>
                <c:pt idx="1049">
                  <c:v>3079.4</c:v>
                </c:pt>
                <c:pt idx="1050">
                  <c:v>3177.5</c:v>
                </c:pt>
                <c:pt idx="1051">
                  <c:v>3226.3</c:v>
                </c:pt>
                <c:pt idx="1052">
                  <c:v>3240.4</c:v>
                </c:pt>
                <c:pt idx="1053">
                  <c:v>3346.4</c:v>
                </c:pt>
                <c:pt idx="1054">
                  <c:v>3425.3</c:v>
                </c:pt>
                <c:pt idx="1055">
                  <c:v>3419.4</c:v>
                </c:pt>
                <c:pt idx="1056">
                  <c:v>3294.1</c:v>
                </c:pt>
                <c:pt idx="1057">
                  <c:v>3348.6</c:v>
                </c:pt>
                <c:pt idx="1058">
                  <c:v>3333</c:v>
                </c:pt>
                <c:pt idx="1059">
                  <c:v>3333.6</c:v>
                </c:pt>
                <c:pt idx="1060">
                  <c:v>3319.1</c:v>
                </c:pt>
                <c:pt idx="1061">
                  <c:v>3222.2</c:v>
                </c:pt>
                <c:pt idx="1062">
                  <c:v>3322.3</c:v>
                </c:pt>
                <c:pt idx="1063">
                  <c:v>3422.8</c:v>
                </c:pt>
                <c:pt idx="1064">
                  <c:v>3391.9</c:v>
                </c:pt>
                <c:pt idx="1065">
                  <c:v>3306</c:v>
                </c:pt>
                <c:pt idx="1066">
                  <c:v>3228</c:v>
                </c:pt>
                <c:pt idx="1067">
                  <c:v>3247.8</c:v>
                </c:pt>
                <c:pt idx="1068">
                  <c:v>3188.3</c:v>
                </c:pt>
                <c:pt idx="1069">
                  <c:v>3226.6</c:v>
                </c:pt>
                <c:pt idx="1070">
                  <c:v>3261.4</c:v>
                </c:pt>
                <c:pt idx="1071">
                  <c:v>3312.6</c:v>
                </c:pt>
                <c:pt idx="1072">
                  <c:v>3341.9</c:v>
                </c:pt>
                <c:pt idx="1073">
                  <c:v>3323.6</c:v>
                </c:pt>
                <c:pt idx="1074">
                  <c:v>3370.27</c:v>
                </c:pt>
                <c:pt idx="1075">
                  <c:v>3313.7</c:v>
                </c:pt>
                <c:pt idx="1076">
                  <c:v>3308.3</c:v>
                </c:pt>
                <c:pt idx="1077">
                  <c:v>3343.9</c:v>
                </c:pt>
                <c:pt idx="1078">
                  <c:v>3397.2</c:v>
                </c:pt>
                <c:pt idx="1079">
                  <c:v>3377.1</c:v>
                </c:pt>
                <c:pt idx="1080">
                  <c:v>3399.2</c:v>
                </c:pt>
                <c:pt idx="1081">
                  <c:v>3375.1</c:v>
                </c:pt>
                <c:pt idx="1082">
                  <c:v>3354.9</c:v>
                </c:pt>
                <c:pt idx="1083">
                  <c:v>3343.4</c:v>
                </c:pt>
                <c:pt idx="1084">
                  <c:v>3343.7</c:v>
                </c:pt>
                <c:pt idx="1085">
                  <c:v>3402.4</c:v>
                </c:pt>
                <c:pt idx="1086">
                  <c:v>3417.3</c:v>
                </c:pt>
                <c:pt idx="1087">
                  <c:v>3406.9</c:v>
                </c:pt>
                <c:pt idx="1088">
                  <c:v>3408.1</c:v>
                </c:pt>
                <c:pt idx="1089">
                  <c:v>3380.6</c:v>
                </c:pt>
                <c:pt idx="1090">
                  <c:v>3320</c:v>
                </c:pt>
                <c:pt idx="1091">
                  <c:v>3329</c:v>
                </c:pt>
                <c:pt idx="1092">
                  <c:v>3333.9</c:v>
                </c:pt>
                <c:pt idx="1093">
                  <c:v>3307.7</c:v>
                </c:pt>
                <c:pt idx="1094">
                  <c:v>3349.8</c:v>
                </c:pt>
                <c:pt idx="1095">
                  <c:v>3359.7</c:v>
                </c:pt>
                <c:pt idx="1096">
                  <c:v>3342.9</c:v>
                </c:pt>
                <c:pt idx="1097">
                  <c:v>3342.8</c:v>
                </c:pt>
                <c:pt idx="1098">
                  <c:v>3316.9</c:v>
                </c:pt>
                <c:pt idx="1099">
                  <c:v>3321</c:v>
                </c:pt>
                <c:pt idx="1100">
                  <c:v>3325.7</c:v>
                </c:pt>
                <c:pt idx="1101">
                  <c:v>3359.1</c:v>
                </c:pt>
                <c:pt idx="1102">
                  <c:v>3336.7</c:v>
                </c:pt>
                <c:pt idx="1103">
                  <c:v>3359.1</c:v>
                </c:pt>
                <c:pt idx="1104">
                  <c:v>3345.3</c:v>
                </c:pt>
                <c:pt idx="1105">
                  <c:v>3462.9</c:v>
                </c:pt>
                <c:pt idx="1106">
                  <c:v>3501.8</c:v>
                </c:pt>
                <c:pt idx="1107">
                  <c:v>3455.1</c:v>
                </c:pt>
                <c:pt idx="1108">
                  <c:v>3431.1</c:v>
                </c:pt>
                <c:pt idx="1109">
                  <c:v>3354</c:v>
                </c:pt>
                <c:pt idx="1110">
                  <c:v>3368.3</c:v>
                </c:pt>
                <c:pt idx="1111">
                  <c:v>3352.8</c:v>
                </c:pt>
                <c:pt idx="1112">
                  <c:v>3348.6</c:v>
                </c:pt>
                <c:pt idx="1113">
                  <c:v>3426.4</c:v>
                </c:pt>
                <c:pt idx="1114">
                  <c:v>3434.7</c:v>
                </c:pt>
                <c:pt idx="1115">
                  <c:v>3433.4</c:v>
                </c:pt>
                <c:pt idx="1116">
                  <c:v>3453.7</c:v>
                </c:pt>
                <c:pt idx="1117">
                  <c:v>3404.7</c:v>
                </c:pt>
                <c:pt idx="1118">
                  <c:v>3399</c:v>
                </c:pt>
                <c:pt idx="1119">
                  <c:v>3408.3</c:v>
                </c:pt>
                <c:pt idx="1120">
                  <c:v>3383.2</c:v>
                </c:pt>
                <c:pt idx="1121">
                  <c:v>3378</c:v>
                </c:pt>
                <c:pt idx="1122">
                  <c:v>3358.7</c:v>
                </c:pt>
                <c:pt idx="1123">
                  <c:v>3388.5</c:v>
                </c:pt>
                <c:pt idx="1124">
                  <c:v>3381.6</c:v>
                </c:pt>
                <c:pt idx="1125">
                  <c:v>3404.9</c:v>
                </c:pt>
                <c:pt idx="1126">
                  <c:v>3420.1</c:v>
                </c:pt>
                <c:pt idx="1127">
                  <c:v>3435.7</c:v>
                </c:pt>
                <c:pt idx="1128">
                  <c:v>3474.3</c:v>
                </c:pt>
                <c:pt idx="1129">
                  <c:v>3512</c:v>
                </c:pt>
                <c:pt idx="1130">
                  <c:v>3592.2</c:v>
                </c:pt>
                <c:pt idx="1131">
                  <c:v>3635.5</c:v>
                </c:pt>
                <c:pt idx="1132">
                  <c:v>3606.7</c:v>
                </c:pt>
                <c:pt idx="1133">
                  <c:v>3677.4</c:v>
                </c:pt>
                <c:pt idx="1134">
                  <c:v>3682.2</c:v>
                </c:pt>
                <c:pt idx="1135">
                  <c:v>3682</c:v>
                </c:pt>
                <c:pt idx="1136">
                  <c:v>3673.6</c:v>
                </c:pt>
                <c:pt idx="1137">
                  <c:v>3719</c:v>
                </c:pt>
                <c:pt idx="1138">
                  <c:v>3725.1</c:v>
                </c:pt>
                <c:pt idx="1139">
                  <c:v>3717.8</c:v>
                </c:pt>
                <c:pt idx="1140">
                  <c:v>3678.3</c:v>
                </c:pt>
                <c:pt idx="1141">
                  <c:v>3761.6</c:v>
                </c:pt>
                <c:pt idx="1142">
                  <c:v>3801.8</c:v>
                </c:pt>
                <c:pt idx="1143">
                  <c:v>3753.4</c:v>
                </c:pt>
                <c:pt idx="1144">
                  <c:v>3756.5</c:v>
                </c:pt>
                <c:pt idx="1145">
                  <c:v>3855.2</c:v>
                </c:pt>
                <c:pt idx="1146">
                  <c:v>3873.2</c:v>
                </c:pt>
                <c:pt idx="1147">
                  <c:v>3897.5</c:v>
                </c:pt>
                <c:pt idx="1148">
                  <c:v>3868.1</c:v>
                </c:pt>
                <c:pt idx="1149">
                  <c:v>3976.3</c:v>
                </c:pt>
                <c:pt idx="1150">
                  <c:v>4004.4</c:v>
                </c:pt>
                <c:pt idx="1151">
                  <c:v>4070.5</c:v>
                </c:pt>
                <c:pt idx="1152">
                  <c:v>3972.6</c:v>
                </c:pt>
                <c:pt idx="1153">
                  <c:v>4133</c:v>
                </c:pt>
                <c:pt idx="1154">
                  <c:v>4163.3999999999996</c:v>
                </c:pt>
                <c:pt idx="1155">
                  <c:v>4201.6000000000004</c:v>
                </c:pt>
                <c:pt idx="1156">
                  <c:v>4304.6000000000004</c:v>
                </c:pt>
                <c:pt idx="1157">
                  <c:v>4359.3999999999996</c:v>
                </c:pt>
                <c:pt idx="1158">
                  <c:v>4109.1000000000004</c:v>
                </c:pt>
                <c:pt idx="1159">
                  <c:v>4065.4</c:v>
                </c:pt>
                <c:pt idx="1160">
                  <c:v>4145.6000000000004</c:v>
                </c:pt>
                <c:pt idx="1161">
                  <c:v>4005.5</c:v>
                </c:pt>
                <c:pt idx="1162">
                  <c:v>3968.7</c:v>
                </c:pt>
                <c:pt idx="1163">
                  <c:v>3986.2</c:v>
                </c:pt>
                <c:pt idx="1164">
                  <c:v>4015.9</c:v>
                </c:pt>
                <c:pt idx="1165">
                  <c:v>4014</c:v>
                </c:pt>
                <c:pt idx="1166">
                  <c:v>3960.5</c:v>
                </c:pt>
                <c:pt idx="1167">
                  <c:v>3992.9</c:v>
                </c:pt>
                <c:pt idx="1168">
                  <c:v>3991</c:v>
                </c:pt>
                <c:pt idx="1169">
                  <c:v>4122</c:v>
                </c:pt>
                <c:pt idx="1170">
                  <c:v>4116.3</c:v>
                </c:pt>
                <c:pt idx="1171">
                  <c:v>4213.6000000000004</c:v>
                </c:pt>
                <c:pt idx="1172">
                  <c:v>4194.5</c:v>
                </c:pt>
                <c:pt idx="1173">
                  <c:v>4109.8</c:v>
                </c:pt>
                <c:pt idx="1174">
                  <c:v>4101.7</c:v>
                </c:pt>
                <c:pt idx="1175">
                  <c:v>4118.2</c:v>
                </c:pt>
                <c:pt idx="1176">
                  <c:v>4095.7</c:v>
                </c:pt>
                <c:pt idx="1177">
                  <c:v>4113.1000000000004</c:v>
                </c:pt>
                <c:pt idx="1178">
                  <c:v>4159.8</c:v>
                </c:pt>
                <c:pt idx="1179">
                  <c:v>4202.3</c:v>
                </c:pt>
                <c:pt idx="1180">
                  <c:v>4274.8</c:v>
                </c:pt>
                <c:pt idx="1181">
                  <c:v>4220.8</c:v>
                </c:pt>
                <c:pt idx="1182">
                  <c:v>4232.5</c:v>
                </c:pt>
                <c:pt idx="1183">
                  <c:v>4243</c:v>
                </c:pt>
                <c:pt idx="1184">
                  <c:v>4217.7</c:v>
                </c:pt>
                <c:pt idx="1185">
                  <c:v>4236.2</c:v>
                </c:pt>
                <c:pt idx="1186">
                  <c:v>4224.7</c:v>
                </c:pt>
                <c:pt idx="1187">
                  <c:v>4313</c:v>
                </c:pt>
                <c:pt idx="1188">
                  <c:v>4335.2</c:v>
                </c:pt>
                <c:pt idx="1189">
                  <c:v>4332.3</c:v>
                </c:pt>
                <c:pt idx="1190">
                  <c:v>4373.8999999999996</c:v>
                </c:pt>
                <c:pt idx="1191">
                  <c:v>4364.5</c:v>
                </c:pt>
                <c:pt idx="1192">
                  <c:v>4469.3999999999996</c:v>
                </c:pt>
                <c:pt idx="1193">
                  <c:v>4505.7</c:v>
                </c:pt>
                <c:pt idx="1194">
                  <c:v>4527.5</c:v>
                </c:pt>
                <c:pt idx="1195">
                  <c:v>4327</c:v>
                </c:pt>
                <c:pt idx="1196">
                  <c:v>4386.3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E-4B1D-9A63-3AC3F5B3B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457919"/>
        <c:axId val="842055071"/>
      </c:lineChart>
      <c:lineChart>
        <c:grouping val="standard"/>
        <c:varyColors val="0"/>
        <c:ser>
          <c:idx val="1"/>
          <c:order val="1"/>
          <c:tx>
            <c:strRef>
              <c:f>Analysis!$C$1</c:f>
              <c:strCache>
                <c:ptCount val="1"/>
                <c:pt idx="0">
                  <c:v>Silver Close</c:v>
                </c:pt>
              </c:strCache>
            </c:strRef>
          </c:tx>
          <c:spPr>
            <a:ln w="22225" cap="rnd">
              <a:solidFill>
                <a:srgbClr val="E8E8E8">
                  <a:lumMod val="9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Analysis!$A$2:$A$1198</c:f>
              <c:strCache>
                <c:ptCount val="1197"/>
                <c:pt idx="0">
                  <c:v>02.01.2020</c:v>
                </c:pt>
                <c:pt idx="1">
                  <c:v>06.01.2020</c:v>
                </c:pt>
                <c:pt idx="2">
                  <c:v>07.01.2020</c:v>
                </c:pt>
                <c:pt idx="3">
                  <c:v>08.01.2020</c:v>
                </c:pt>
                <c:pt idx="4">
                  <c:v>09.01.2020</c:v>
                </c:pt>
                <c:pt idx="5">
                  <c:v>13.01.2020</c:v>
                </c:pt>
                <c:pt idx="6">
                  <c:v>14.01.2020</c:v>
                </c:pt>
                <c:pt idx="7">
                  <c:v>15.01.2020</c:v>
                </c:pt>
                <c:pt idx="8">
                  <c:v>16.01.2020</c:v>
                </c:pt>
                <c:pt idx="9">
                  <c:v>21.01.2020</c:v>
                </c:pt>
                <c:pt idx="10">
                  <c:v>22.01.2020</c:v>
                </c:pt>
                <c:pt idx="11">
                  <c:v>23.01.2020</c:v>
                </c:pt>
                <c:pt idx="12">
                  <c:v>27.01.2020</c:v>
                </c:pt>
                <c:pt idx="13">
                  <c:v>28.01.2020</c:v>
                </c:pt>
                <c:pt idx="14">
                  <c:v>29.01.2020</c:v>
                </c:pt>
                <c:pt idx="15">
                  <c:v>30.01.2020</c:v>
                </c:pt>
                <c:pt idx="16">
                  <c:v>03.02.2020</c:v>
                </c:pt>
                <c:pt idx="17">
                  <c:v>04.02.2020</c:v>
                </c:pt>
                <c:pt idx="18">
                  <c:v>05.02.2020</c:v>
                </c:pt>
                <c:pt idx="19">
                  <c:v>06.02.2020</c:v>
                </c:pt>
                <c:pt idx="20">
                  <c:v>10.02.2020</c:v>
                </c:pt>
                <c:pt idx="21">
                  <c:v>11.02.2020</c:v>
                </c:pt>
                <c:pt idx="22">
                  <c:v>12.02.2020</c:v>
                </c:pt>
                <c:pt idx="23">
                  <c:v>13.02.2020</c:v>
                </c:pt>
                <c:pt idx="24">
                  <c:v>18.02.2020</c:v>
                </c:pt>
                <c:pt idx="25">
                  <c:v>19.02.2020</c:v>
                </c:pt>
                <c:pt idx="26">
                  <c:v>20.02.2020</c:v>
                </c:pt>
                <c:pt idx="27">
                  <c:v>24.02.2020</c:v>
                </c:pt>
                <c:pt idx="28">
                  <c:v>25.02.2020</c:v>
                </c:pt>
                <c:pt idx="29">
                  <c:v>26.02.2020</c:v>
                </c:pt>
                <c:pt idx="30">
                  <c:v>27.02.2020</c:v>
                </c:pt>
                <c:pt idx="31">
                  <c:v>02.03.2020</c:v>
                </c:pt>
                <c:pt idx="32">
                  <c:v>03.03.2020</c:v>
                </c:pt>
                <c:pt idx="33">
                  <c:v>04.03.2020</c:v>
                </c:pt>
                <c:pt idx="34">
                  <c:v>05.03.2020</c:v>
                </c:pt>
                <c:pt idx="35">
                  <c:v>09.03.2020</c:v>
                </c:pt>
                <c:pt idx="36">
                  <c:v>10.03.2020</c:v>
                </c:pt>
                <c:pt idx="37">
                  <c:v>11.03.2020</c:v>
                </c:pt>
                <c:pt idx="38">
                  <c:v>12.03.2020</c:v>
                </c:pt>
                <c:pt idx="39">
                  <c:v>16.03.2020</c:v>
                </c:pt>
                <c:pt idx="40">
                  <c:v>17.03.2020</c:v>
                </c:pt>
                <c:pt idx="41">
                  <c:v>18.03.2020</c:v>
                </c:pt>
                <c:pt idx="42">
                  <c:v>19.03.2020</c:v>
                </c:pt>
                <c:pt idx="43">
                  <c:v>23.03.2020</c:v>
                </c:pt>
                <c:pt idx="44">
                  <c:v>24.03.2020</c:v>
                </c:pt>
                <c:pt idx="45">
                  <c:v>25.03.2020</c:v>
                </c:pt>
                <c:pt idx="46">
                  <c:v>26.03.2020</c:v>
                </c:pt>
                <c:pt idx="47">
                  <c:v>30.03.2020</c:v>
                </c:pt>
                <c:pt idx="48">
                  <c:v>31.03.2020</c:v>
                </c:pt>
                <c:pt idx="49">
                  <c:v>01.04.2020</c:v>
                </c:pt>
                <c:pt idx="50">
                  <c:v>02.04.2020</c:v>
                </c:pt>
                <c:pt idx="51">
                  <c:v>06.04.2020</c:v>
                </c:pt>
                <c:pt idx="52">
                  <c:v>07.04.2020</c:v>
                </c:pt>
                <c:pt idx="53">
                  <c:v>08.04.2020</c:v>
                </c:pt>
                <c:pt idx="54">
                  <c:v>13.04.2020</c:v>
                </c:pt>
                <c:pt idx="55">
                  <c:v>14.04.2020</c:v>
                </c:pt>
                <c:pt idx="56">
                  <c:v>15.04.2020</c:v>
                </c:pt>
                <c:pt idx="57">
                  <c:v>16.04.2020</c:v>
                </c:pt>
                <c:pt idx="58">
                  <c:v>20.04.2020</c:v>
                </c:pt>
                <c:pt idx="59">
                  <c:v>21.04.2020</c:v>
                </c:pt>
                <c:pt idx="60">
                  <c:v>22.04.2020</c:v>
                </c:pt>
                <c:pt idx="61">
                  <c:v>23.04.2020</c:v>
                </c:pt>
                <c:pt idx="62">
                  <c:v>27.04.2020</c:v>
                </c:pt>
                <c:pt idx="63">
                  <c:v>28.04.2020</c:v>
                </c:pt>
                <c:pt idx="64">
                  <c:v>29.04.2020</c:v>
                </c:pt>
                <c:pt idx="65">
                  <c:v>30.04.2020</c:v>
                </c:pt>
                <c:pt idx="66">
                  <c:v>04.05.2020</c:v>
                </c:pt>
                <c:pt idx="67">
                  <c:v>05.05.2020</c:v>
                </c:pt>
                <c:pt idx="68">
                  <c:v>06.05.2020</c:v>
                </c:pt>
                <c:pt idx="69">
                  <c:v>07.05.2020</c:v>
                </c:pt>
                <c:pt idx="70">
                  <c:v>11.05.2020</c:v>
                </c:pt>
                <c:pt idx="71">
                  <c:v>12.05.2020</c:v>
                </c:pt>
                <c:pt idx="72">
                  <c:v>13.05.2020</c:v>
                </c:pt>
                <c:pt idx="73">
                  <c:v>14.05.2020</c:v>
                </c:pt>
                <c:pt idx="74">
                  <c:v>18.05.2020</c:v>
                </c:pt>
                <c:pt idx="75">
                  <c:v>19.05.2020</c:v>
                </c:pt>
                <c:pt idx="76">
                  <c:v>20.05.2020</c:v>
                </c:pt>
                <c:pt idx="77">
                  <c:v>21.05.2020</c:v>
                </c:pt>
                <c:pt idx="78">
                  <c:v>26.05.2020</c:v>
                </c:pt>
                <c:pt idx="79">
                  <c:v>27.05.2020</c:v>
                </c:pt>
                <c:pt idx="80">
                  <c:v>28.05.2020</c:v>
                </c:pt>
                <c:pt idx="81">
                  <c:v>01.06.2020</c:v>
                </c:pt>
                <c:pt idx="82">
                  <c:v>02.06.2020</c:v>
                </c:pt>
                <c:pt idx="83">
                  <c:v>03.06.2020</c:v>
                </c:pt>
                <c:pt idx="84">
                  <c:v>04.06.2020</c:v>
                </c:pt>
                <c:pt idx="85">
                  <c:v>08.06.2020</c:v>
                </c:pt>
                <c:pt idx="86">
                  <c:v>09.06.2020</c:v>
                </c:pt>
                <c:pt idx="87">
                  <c:v>10.06.2020</c:v>
                </c:pt>
                <c:pt idx="88">
                  <c:v>11.06.2020</c:v>
                </c:pt>
                <c:pt idx="89">
                  <c:v>15.06.2020</c:v>
                </c:pt>
                <c:pt idx="90">
                  <c:v>16.06.2020</c:v>
                </c:pt>
                <c:pt idx="91">
                  <c:v>17.06.2020</c:v>
                </c:pt>
                <c:pt idx="92">
                  <c:v>18.06.2020</c:v>
                </c:pt>
                <c:pt idx="93">
                  <c:v>22.06.2020</c:v>
                </c:pt>
                <c:pt idx="94">
                  <c:v>23.06.2020</c:v>
                </c:pt>
                <c:pt idx="95">
                  <c:v>24.06.2020</c:v>
                </c:pt>
                <c:pt idx="96">
                  <c:v>25.06.2020</c:v>
                </c:pt>
                <c:pt idx="97">
                  <c:v>29.06.2020</c:v>
                </c:pt>
                <c:pt idx="98">
                  <c:v>30.06.2020</c:v>
                </c:pt>
                <c:pt idx="99">
                  <c:v>01.07.2020</c:v>
                </c:pt>
                <c:pt idx="100">
                  <c:v>02.07.2020</c:v>
                </c:pt>
                <c:pt idx="101">
                  <c:v>06.07.2020</c:v>
                </c:pt>
                <c:pt idx="102">
                  <c:v>07.07.2020</c:v>
                </c:pt>
                <c:pt idx="103">
                  <c:v>08.07.2020</c:v>
                </c:pt>
                <c:pt idx="104">
                  <c:v>09.07.2020</c:v>
                </c:pt>
                <c:pt idx="105">
                  <c:v>13.07.2020</c:v>
                </c:pt>
                <c:pt idx="106">
                  <c:v>14.07.2020</c:v>
                </c:pt>
                <c:pt idx="107">
                  <c:v>15.07.2020</c:v>
                </c:pt>
                <c:pt idx="108">
                  <c:v>16.07.2020</c:v>
                </c:pt>
                <c:pt idx="109">
                  <c:v>20.07.2020</c:v>
                </c:pt>
                <c:pt idx="110">
                  <c:v>21.07.2020</c:v>
                </c:pt>
                <c:pt idx="111">
                  <c:v>22.07.2020</c:v>
                </c:pt>
                <c:pt idx="112">
                  <c:v>23.07.2020</c:v>
                </c:pt>
                <c:pt idx="113">
                  <c:v>27.07.2020</c:v>
                </c:pt>
                <c:pt idx="114">
                  <c:v>28.07.2020</c:v>
                </c:pt>
                <c:pt idx="115">
                  <c:v>29.07.2020</c:v>
                </c:pt>
                <c:pt idx="116">
                  <c:v>30.07.2020</c:v>
                </c:pt>
                <c:pt idx="117">
                  <c:v>03.08.2020</c:v>
                </c:pt>
                <c:pt idx="118">
                  <c:v>04.08.2020</c:v>
                </c:pt>
                <c:pt idx="119">
                  <c:v>05.08.2020</c:v>
                </c:pt>
                <c:pt idx="120">
                  <c:v>06.08.2020</c:v>
                </c:pt>
                <c:pt idx="121">
                  <c:v>10.08.2020</c:v>
                </c:pt>
                <c:pt idx="122">
                  <c:v>11.08.2020</c:v>
                </c:pt>
                <c:pt idx="123">
                  <c:v>12.08.2020</c:v>
                </c:pt>
                <c:pt idx="124">
                  <c:v>13.08.2020</c:v>
                </c:pt>
                <c:pt idx="125">
                  <c:v>17.08.2020</c:v>
                </c:pt>
                <c:pt idx="126">
                  <c:v>18.08.2020</c:v>
                </c:pt>
                <c:pt idx="127">
                  <c:v>19.08.2020</c:v>
                </c:pt>
                <c:pt idx="128">
                  <c:v>20.08.2020</c:v>
                </c:pt>
                <c:pt idx="129">
                  <c:v>24.08.2020</c:v>
                </c:pt>
                <c:pt idx="130">
                  <c:v>25.08.2020</c:v>
                </c:pt>
                <c:pt idx="131">
                  <c:v>26.08.2020</c:v>
                </c:pt>
                <c:pt idx="132">
                  <c:v>27.08.2020</c:v>
                </c:pt>
                <c:pt idx="133">
                  <c:v>31.08.2020</c:v>
                </c:pt>
                <c:pt idx="134">
                  <c:v>01.09.2020</c:v>
                </c:pt>
                <c:pt idx="135">
                  <c:v>02.09.2020</c:v>
                </c:pt>
                <c:pt idx="136">
                  <c:v>03.09.2020</c:v>
                </c:pt>
                <c:pt idx="137">
                  <c:v>08.09.2020</c:v>
                </c:pt>
                <c:pt idx="138">
                  <c:v>09.09.2020</c:v>
                </c:pt>
                <c:pt idx="139">
                  <c:v>10.09.2020</c:v>
                </c:pt>
                <c:pt idx="140">
                  <c:v>14.09.2020</c:v>
                </c:pt>
                <c:pt idx="141">
                  <c:v>15.09.2020</c:v>
                </c:pt>
                <c:pt idx="142">
                  <c:v>16.09.2020</c:v>
                </c:pt>
                <c:pt idx="143">
                  <c:v>17.09.2020</c:v>
                </c:pt>
                <c:pt idx="144">
                  <c:v>21.09.2020</c:v>
                </c:pt>
                <c:pt idx="145">
                  <c:v>22.09.2020</c:v>
                </c:pt>
                <c:pt idx="146">
                  <c:v>23.09.2020</c:v>
                </c:pt>
                <c:pt idx="147">
                  <c:v>24.09.2020</c:v>
                </c:pt>
                <c:pt idx="148">
                  <c:v>28.09.2020</c:v>
                </c:pt>
                <c:pt idx="149">
                  <c:v>29.09.2020</c:v>
                </c:pt>
                <c:pt idx="150">
                  <c:v>30.09.2020</c:v>
                </c:pt>
                <c:pt idx="151">
                  <c:v>01.10.2020</c:v>
                </c:pt>
                <c:pt idx="152">
                  <c:v>05.10.2020</c:v>
                </c:pt>
                <c:pt idx="153">
                  <c:v>06.10.2020</c:v>
                </c:pt>
                <c:pt idx="154">
                  <c:v>07.10.2020</c:v>
                </c:pt>
                <c:pt idx="155">
                  <c:v>08.10.2020</c:v>
                </c:pt>
                <c:pt idx="156">
                  <c:v>12.10.2020</c:v>
                </c:pt>
                <c:pt idx="157">
                  <c:v>13.10.2020</c:v>
                </c:pt>
                <c:pt idx="158">
                  <c:v>14.10.2020</c:v>
                </c:pt>
                <c:pt idx="159">
                  <c:v>15.10.2020</c:v>
                </c:pt>
                <c:pt idx="160">
                  <c:v>19.10.2020</c:v>
                </c:pt>
                <c:pt idx="161">
                  <c:v>20.10.2020</c:v>
                </c:pt>
                <c:pt idx="162">
                  <c:v>21.10.2020</c:v>
                </c:pt>
                <c:pt idx="163">
                  <c:v>22.10.2020</c:v>
                </c:pt>
                <c:pt idx="164">
                  <c:v>26.10.2020</c:v>
                </c:pt>
                <c:pt idx="165">
                  <c:v>27.10.2020</c:v>
                </c:pt>
                <c:pt idx="166">
                  <c:v>28.10.2020</c:v>
                </c:pt>
                <c:pt idx="167">
                  <c:v>29.10.2020</c:v>
                </c:pt>
                <c:pt idx="168">
                  <c:v>02.11.2020</c:v>
                </c:pt>
                <c:pt idx="169">
                  <c:v>03.11.2020</c:v>
                </c:pt>
                <c:pt idx="170">
                  <c:v>04.11.2020</c:v>
                </c:pt>
                <c:pt idx="171">
                  <c:v>05.11.2020</c:v>
                </c:pt>
                <c:pt idx="172">
                  <c:v>09.11.2020</c:v>
                </c:pt>
                <c:pt idx="173">
                  <c:v>10.11.2020</c:v>
                </c:pt>
                <c:pt idx="174">
                  <c:v>11.11.2020</c:v>
                </c:pt>
                <c:pt idx="175">
                  <c:v>12.11.2020</c:v>
                </c:pt>
                <c:pt idx="176">
                  <c:v>16.11.2020</c:v>
                </c:pt>
                <c:pt idx="177">
                  <c:v>17.11.2020</c:v>
                </c:pt>
                <c:pt idx="178">
                  <c:v>18.11.2020</c:v>
                </c:pt>
                <c:pt idx="179">
                  <c:v>19.11.2020</c:v>
                </c:pt>
                <c:pt idx="180">
                  <c:v>23.11.2020</c:v>
                </c:pt>
                <c:pt idx="181">
                  <c:v>24.11.2020</c:v>
                </c:pt>
                <c:pt idx="182">
                  <c:v>25.11.2020</c:v>
                </c:pt>
                <c:pt idx="183">
                  <c:v>30.11.2020</c:v>
                </c:pt>
                <c:pt idx="184">
                  <c:v>01.12.2020</c:v>
                </c:pt>
                <c:pt idx="185">
                  <c:v>02.12.2020</c:v>
                </c:pt>
                <c:pt idx="186">
                  <c:v>03.12.2020</c:v>
                </c:pt>
                <c:pt idx="187">
                  <c:v>07.12.2020</c:v>
                </c:pt>
                <c:pt idx="188">
                  <c:v>08.12.2020</c:v>
                </c:pt>
                <c:pt idx="189">
                  <c:v>09.12.2020</c:v>
                </c:pt>
                <c:pt idx="190">
                  <c:v>10.12.2020</c:v>
                </c:pt>
                <c:pt idx="191">
                  <c:v>14.12.2020</c:v>
                </c:pt>
                <c:pt idx="192">
                  <c:v>15.12.2020</c:v>
                </c:pt>
                <c:pt idx="193">
                  <c:v>16.12.2020</c:v>
                </c:pt>
                <c:pt idx="194">
                  <c:v>17.12.2020</c:v>
                </c:pt>
                <c:pt idx="195">
                  <c:v>21.12.2020</c:v>
                </c:pt>
                <c:pt idx="196">
                  <c:v>22.12.2020</c:v>
                </c:pt>
                <c:pt idx="197">
                  <c:v>23.12.2020</c:v>
                </c:pt>
                <c:pt idx="198">
                  <c:v>28.12.2020</c:v>
                </c:pt>
                <c:pt idx="199">
                  <c:v>29.12.2020</c:v>
                </c:pt>
                <c:pt idx="200">
                  <c:v>30.12.2020</c:v>
                </c:pt>
                <c:pt idx="201">
                  <c:v>04.01.2021</c:v>
                </c:pt>
                <c:pt idx="202">
                  <c:v>05.01.2021</c:v>
                </c:pt>
                <c:pt idx="203">
                  <c:v>06.01.2021</c:v>
                </c:pt>
                <c:pt idx="204">
                  <c:v>07.01.2021</c:v>
                </c:pt>
                <c:pt idx="205">
                  <c:v>11.01.2021</c:v>
                </c:pt>
                <c:pt idx="206">
                  <c:v>12.01.2021</c:v>
                </c:pt>
                <c:pt idx="207">
                  <c:v>13.01.2021</c:v>
                </c:pt>
                <c:pt idx="208">
                  <c:v>14.01.2021</c:v>
                </c:pt>
                <c:pt idx="209">
                  <c:v>19.01.2021</c:v>
                </c:pt>
                <c:pt idx="210">
                  <c:v>20.01.2021</c:v>
                </c:pt>
                <c:pt idx="211">
                  <c:v>21.01.2021</c:v>
                </c:pt>
                <c:pt idx="212">
                  <c:v>25.01.2021</c:v>
                </c:pt>
                <c:pt idx="213">
                  <c:v>26.01.2021</c:v>
                </c:pt>
                <c:pt idx="214">
                  <c:v>27.01.2021</c:v>
                </c:pt>
                <c:pt idx="215">
                  <c:v>28.01.2021</c:v>
                </c:pt>
                <c:pt idx="216">
                  <c:v>01.02.2021</c:v>
                </c:pt>
                <c:pt idx="217">
                  <c:v>02.02.2021</c:v>
                </c:pt>
                <c:pt idx="218">
                  <c:v>03.02.2021</c:v>
                </c:pt>
                <c:pt idx="219">
                  <c:v>04.02.2021</c:v>
                </c:pt>
                <c:pt idx="220">
                  <c:v>08.02.2021</c:v>
                </c:pt>
                <c:pt idx="221">
                  <c:v>09.02.2021</c:v>
                </c:pt>
                <c:pt idx="222">
                  <c:v>10.02.2021</c:v>
                </c:pt>
                <c:pt idx="223">
                  <c:v>11.02.2021</c:v>
                </c:pt>
                <c:pt idx="224">
                  <c:v>16.02.2021</c:v>
                </c:pt>
                <c:pt idx="225">
                  <c:v>17.02.2021</c:v>
                </c:pt>
                <c:pt idx="226">
                  <c:v>18.02.2021</c:v>
                </c:pt>
                <c:pt idx="227">
                  <c:v>22.02.2021</c:v>
                </c:pt>
                <c:pt idx="228">
                  <c:v>23.02.2021</c:v>
                </c:pt>
                <c:pt idx="229">
                  <c:v>24.02.2021</c:v>
                </c:pt>
                <c:pt idx="230">
                  <c:v>25.02.2021</c:v>
                </c:pt>
                <c:pt idx="231">
                  <c:v>01.03.2021</c:v>
                </c:pt>
                <c:pt idx="232">
                  <c:v>02.03.2021</c:v>
                </c:pt>
                <c:pt idx="233">
                  <c:v>03.03.2021</c:v>
                </c:pt>
                <c:pt idx="234">
                  <c:v>04.03.2021</c:v>
                </c:pt>
                <c:pt idx="235">
                  <c:v>08.03.2021</c:v>
                </c:pt>
                <c:pt idx="236">
                  <c:v>09.03.2021</c:v>
                </c:pt>
                <c:pt idx="237">
                  <c:v>10.03.2021</c:v>
                </c:pt>
                <c:pt idx="238">
                  <c:v>11.03.2021</c:v>
                </c:pt>
                <c:pt idx="239">
                  <c:v>15.03.2021</c:v>
                </c:pt>
                <c:pt idx="240">
                  <c:v>16.03.2021</c:v>
                </c:pt>
                <c:pt idx="241">
                  <c:v>17.03.2021</c:v>
                </c:pt>
                <c:pt idx="242">
                  <c:v>18.03.2021</c:v>
                </c:pt>
                <c:pt idx="243">
                  <c:v>22.03.2021</c:v>
                </c:pt>
                <c:pt idx="244">
                  <c:v>23.03.2021</c:v>
                </c:pt>
                <c:pt idx="245">
                  <c:v>24.03.2021</c:v>
                </c:pt>
                <c:pt idx="246">
                  <c:v>25.03.2021</c:v>
                </c:pt>
                <c:pt idx="247">
                  <c:v>29.03.2021</c:v>
                </c:pt>
                <c:pt idx="248">
                  <c:v>30.03.2021</c:v>
                </c:pt>
                <c:pt idx="249">
                  <c:v>31.03.2021</c:v>
                </c:pt>
                <c:pt idx="250">
                  <c:v>05.04.2021</c:v>
                </c:pt>
                <c:pt idx="251">
                  <c:v>06.04.2021</c:v>
                </c:pt>
                <c:pt idx="252">
                  <c:v>07.04.2021</c:v>
                </c:pt>
                <c:pt idx="253">
                  <c:v>08.04.2021</c:v>
                </c:pt>
                <c:pt idx="254">
                  <c:v>12.04.2021</c:v>
                </c:pt>
                <c:pt idx="255">
                  <c:v>13.04.2021</c:v>
                </c:pt>
                <c:pt idx="256">
                  <c:v>14.04.2021</c:v>
                </c:pt>
                <c:pt idx="257">
                  <c:v>15.04.2021</c:v>
                </c:pt>
                <c:pt idx="258">
                  <c:v>19.04.2021</c:v>
                </c:pt>
                <c:pt idx="259">
                  <c:v>20.04.2021</c:v>
                </c:pt>
                <c:pt idx="260">
                  <c:v>21.04.2021</c:v>
                </c:pt>
                <c:pt idx="261">
                  <c:v>22.04.2021</c:v>
                </c:pt>
                <c:pt idx="262">
                  <c:v>26.04.2021</c:v>
                </c:pt>
                <c:pt idx="263">
                  <c:v>27.04.2021</c:v>
                </c:pt>
                <c:pt idx="264">
                  <c:v>28.04.2021</c:v>
                </c:pt>
                <c:pt idx="265">
                  <c:v>29.04.2021</c:v>
                </c:pt>
                <c:pt idx="266">
                  <c:v>03.05.2021</c:v>
                </c:pt>
                <c:pt idx="267">
                  <c:v>04.05.2021</c:v>
                </c:pt>
                <c:pt idx="268">
                  <c:v>05.05.2021</c:v>
                </c:pt>
                <c:pt idx="269">
                  <c:v>06.05.2021</c:v>
                </c:pt>
                <c:pt idx="270">
                  <c:v>10.05.2021</c:v>
                </c:pt>
                <c:pt idx="271">
                  <c:v>11.05.2021</c:v>
                </c:pt>
                <c:pt idx="272">
                  <c:v>12.05.2021</c:v>
                </c:pt>
                <c:pt idx="273">
                  <c:v>13.05.2021</c:v>
                </c:pt>
                <c:pt idx="274">
                  <c:v>17.05.2021</c:v>
                </c:pt>
                <c:pt idx="275">
                  <c:v>18.05.2021</c:v>
                </c:pt>
                <c:pt idx="276">
                  <c:v>19.05.2021</c:v>
                </c:pt>
                <c:pt idx="277">
                  <c:v>20.05.2021</c:v>
                </c:pt>
                <c:pt idx="278">
                  <c:v>24.05.2021</c:v>
                </c:pt>
                <c:pt idx="279">
                  <c:v>25.05.2021</c:v>
                </c:pt>
                <c:pt idx="280">
                  <c:v>26.05.2021</c:v>
                </c:pt>
                <c:pt idx="281">
                  <c:v>27.05.2021</c:v>
                </c:pt>
                <c:pt idx="282">
                  <c:v>01.06.2021</c:v>
                </c:pt>
                <c:pt idx="283">
                  <c:v>02.06.2021</c:v>
                </c:pt>
                <c:pt idx="284">
                  <c:v>03.06.2021</c:v>
                </c:pt>
                <c:pt idx="285">
                  <c:v>07.06.2021</c:v>
                </c:pt>
                <c:pt idx="286">
                  <c:v>08.06.2021</c:v>
                </c:pt>
                <c:pt idx="287">
                  <c:v>09.06.2021</c:v>
                </c:pt>
                <c:pt idx="288">
                  <c:v>10.06.2021</c:v>
                </c:pt>
                <c:pt idx="289">
                  <c:v>14.06.2021</c:v>
                </c:pt>
                <c:pt idx="290">
                  <c:v>15.06.2021</c:v>
                </c:pt>
                <c:pt idx="291">
                  <c:v>16.06.2021</c:v>
                </c:pt>
                <c:pt idx="292">
                  <c:v>17.06.2021</c:v>
                </c:pt>
                <c:pt idx="293">
                  <c:v>21.06.2021</c:v>
                </c:pt>
                <c:pt idx="294">
                  <c:v>22.06.2021</c:v>
                </c:pt>
                <c:pt idx="295">
                  <c:v>23.06.2021</c:v>
                </c:pt>
                <c:pt idx="296">
                  <c:v>24.06.2021</c:v>
                </c:pt>
                <c:pt idx="297">
                  <c:v>28.06.2021</c:v>
                </c:pt>
                <c:pt idx="298">
                  <c:v>29.06.2021</c:v>
                </c:pt>
                <c:pt idx="299">
                  <c:v>30.06.2021</c:v>
                </c:pt>
                <c:pt idx="300">
                  <c:v>01.07.2021</c:v>
                </c:pt>
                <c:pt idx="301">
                  <c:v>06.07.2021</c:v>
                </c:pt>
                <c:pt idx="302">
                  <c:v>07.07.2021</c:v>
                </c:pt>
                <c:pt idx="303">
                  <c:v>08.07.2021</c:v>
                </c:pt>
                <c:pt idx="304">
                  <c:v>12.07.2021</c:v>
                </c:pt>
                <c:pt idx="305">
                  <c:v>13.07.2021</c:v>
                </c:pt>
                <c:pt idx="306">
                  <c:v>14.07.2021</c:v>
                </c:pt>
                <c:pt idx="307">
                  <c:v>15.07.2021</c:v>
                </c:pt>
                <c:pt idx="308">
                  <c:v>19.07.2021</c:v>
                </c:pt>
                <c:pt idx="309">
                  <c:v>20.07.2021</c:v>
                </c:pt>
                <c:pt idx="310">
                  <c:v>21.07.2021</c:v>
                </c:pt>
                <c:pt idx="311">
                  <c:v>22.07.2021</c:v>
                </c:pt>
                <c:pt idx="312">
                  <c:v>26.07.2021</c:v>
                </c:pt>
                <c:pt idx="313">
                  <c:v>27.07.2021</c:v>
                </c:pt>
                <c:pt idx="314">
                  <c:v>28.07.2021</c:v>
                </c:pt>
                <c:pt idx="315">
                  <c:v>29.07.2021</c:v>
                </c:pt>
                <c:pt idx="316">
                  <c:v>02.08.2021</c:v>
                </c:pt>
                <c:pt idx="317">
                  <c:v>03.08.2021</c:v>
                </c:pt>
                <c:pt idx="318">
                  <c:v>04.08.2021</c:v>
                </c:pt>
                <c:pt idx="319">
                  <c:v>05.08.2021</c:v>
                </c:pt>
                <c:pt idx="320">
                  <c:v>09.08.2021</c:v>
                </c:pt>
                <c:pt idx="321">
                  <c:v>10.08.2021</c:v>
                </c:pt>
                <c:pt idx="322">
                  <c:v>11.08.2021</c:v>
                </c:pt>
                <c:pt idx="323">
                  <c:v>12.08.2021</c:v>
                </c:pt>
                <c:pt idx="324">
                  <c:v>16.08.2021</c:v>
                </c:pt>
                <c:pt idx="325">
                  <c:v>17.08.2021</c:v>
                </c:pt>
                <c:pt idx="326">
                  <c:v>18.08.2021</c:v>
                </c:pt>
                <c:pt idx="327">
                  <c:v>19.08.2021</c:v>
                </c:pt>
                <c:pt idx="328">
                  <c:v>23.08.2021</c:v>
                </c:pt>
                <c:pt idx="329">
                  <c:v>24.08.2021</c:v>
                </c:pt>
                <c:pt idx="330">
                  <c:v>25.08.2021</c:v>
                </c:pt>
                <c:pt idx="331">
                  <c:v>26.08.2021</c:v>
                </c:pt>
                <c:pt idx="332">
                  <c:v>30.08.2021</c:v>
                </c:pt>
                <c:pt idx="333">
                  <c:v>31.08.2021</c:v>
                </c:pt>
                <c:pt idx="334">
                  <c:v>01.09.2021</c:v>
                </c:pt>
                <c:pt idx="335">
                  <c:v>02.09.2021</c:v>
                </c:pt>
                <c:pt idx="336">
                  <c:v>07.09.2021</c:v>
                </c:pt>
                <c:pt idx="337">
                  <c:v>08.09.2021</c:v>
                </c:pt>
                <c:pt idx="338">
                  <c:v>09.09.2021</c:v>
                </c:pt>
                <c:pt idx="339">
                  <c:v>13.09.2021</c:v>
                </c:pt>
                <c:pt idx="340">
                  <c:v>14.09.2021</c:v>
                </c:pt>
                <c:pt idx="341">
                  <c:v>15.09.2021</c:v>
                </c:pt>
                <c:pt idx="342">
                  <c:v>16.09.2021</c:v>
                </c:pt>
                <c:pt idx="343">
                  <c:v>20.09.2021</c:v>
                </c:pt>
                <c:pt idx="344">
                  <c:v>21.09.2021</c:v>
                </c:pt>
                <c:pt idx="345">
                  <c:v>22.09.2021</c:v>
                </c:pt>
                <c:pt idx="346">
                  <c:v>23.09.2021</c:v>
                </c:pt>
                <c:pt idx="347">
                  <c:v>27.09.2021</c:v>
                </c:pt>
                <c:pt idx="348">
                  <c:v>28.09.2021</c:v>
                </c:pt>
                <c:pt idx="349">
                  <c:v>29.09.2021</c:v>
                </c:pt>
                <c:pt idx="350">
                  <c:v>30.09.2021</c:v>
                </c:pt>
                <c:pt idx="351">
                  <c:v>04.10.2021</c:v>
                </c:pt>
                <c:pt idx="352">
                  <c:v>05.10.2021</c:v>
                </c:pt>
                <c:pt idx="353">
                  <c:v>06.10.2021</c:v>
                </c:pt>
                <c:pt idx="354">
                  <c:v>07.10.2021</c:v>
                </c:pt>
                <c:pt idx="355">
                  <c:v>11.10.2021</c:v>
                </c:pt>
                <c:pt idx="356">
                  <c:v>12.10.2021</c:v>
                </c:pt>
                <c:pt idx="357">
                  <c:v>13.10.2021</c:v>
                </c:pt>
                <c:pt idx="358">
                  <c:v>14.10.2021</c:v>
                </c:pt>
                <c:pt idx="359">
                  <c:v>18.10.2021</c:v>
                </c:pt>
                <c:pt idx="360">
                  <c:v>19.10.2021</c:v>
                </c:pt>
                <c:pt idx="361">
                  <c:v>20.10.2021</c:v>
                </c:pt>
                <c:pt idx="362">
                  <c:v>21.10.2021</c:v>
                </c:pt>
                <c:pt idx="363">
                  <c:v>25.10.2021</c:v>
                </c:pt>
                <c:pt idx="364">
                  <c:v>26.10.2021</c:v>
                </c:pt>
                <c:pt idx="365">
                  <c:v>27.10.2021</c:v>
                </c:pt>
                <c:pt idx="366">
                  <c:v>28.10.2021</c:v>
                </c:pt>
                <c:pt idx="367">
                  <c:v>01.11.2021</c:v>
                </c:pt>
                <c:pt idx="368">
                  <c:v>02.11.2021</c:v>
                </c:pt>
                <c:pt idx="369">
                  <c:v>03.11.2021</c:v>
                </c:pt>
                <c:pt idx="370">
                  <c:v>04.11.2021</c:v>
                </c:pt>
                <c:pt idx="371">
                  <c:v>08.11.2021</c:v>
                </c:pt>
                <c:pt idx="372">
                  <c:v>09.11.2021</c:v>
                </c:pt>
                <c:pt idx="373">
                  <c:v>10.11.2021</c:v>
                </c:pt>
                <c:pt idx="374">
                  <c:v>11.11.2021</c:v>
                </c:pt>
                <c:pt idx="375">
                  <c:v>15.11.2021</c:v>
                </c:pt>
                <c:pt idx="376">
                  <c:v>16.11.2021</c:v>
                </c:pt>
                <c:pt idx="377">
                  <c:v>17.11.2021</c:v>
                </c:pt>
                <c:pt idx="378">
                  <c:v>18.11.2021</c:v>
                </c:pt>
                <c:pt idx="379">
                  <c:v>22.11.2021</c:v>
                </c:pt>
                <c:pt idx="380">
                  <c:v>23.11.2021</c:v>
                </c:pt>
                <c:pt idx="381">
                  <c:v>24.11.2021</c:v>
                </c:pt>
                <c:pt idx="382">
                  <c:v>29.11.2021</c:v>
                </c:pt>
                <c:pt idx="383">
                  <c:v>30.11.2021</c:v>
                </c:pt>
                <c:pt idx="384">
                  <c:v>01.12.2021</c:v>
                </c:pt>
                <c:pt idx="385">
                  <c:v>02.12.2021</c:v>
                </c:pt>
                <c:pt idx="386">
                  <c:v>06.12.2021</c:v>
                </c:pt>
                <c:pt idx="387">
                  <c:v>07.12.2021</c:v>
                </c:pt>
                <c:pt idx="388">
                  <c:v>08.12.2021</c:v>
                </c:pt>
                <c:pt idx="389">
                  <c:v>09.12.2021</c:v>
                </c:pt>
                <c:pt idx="390">
                  <c:v>13.12.2021</c:v>
                </c:pt>
                <c:pt idx="391">
                  <c:v>14.12.2021</c:v>
                </c:pt>
                <c:pt idx="392">
                  <c:v>15.12.2021</c:v>
                </c:pt>
                <c:pt idx="393">
                  <c:v>16.12.2021</c:v>
                </c:pt>
                <c:pt idx="394">
                  <c:v>20.12.2021</c:v>
                </c:pt>
                <c:pt idx="395">
                  <c:v>21.12.2021</c:v>
                </c:pt>
                <c:pt idx="396">
                  <c:v>22.12.2021</c:v>
                </c:pt>
                <c:pt idx="397">
                  <c:v>27.12.2021</c:v>
                </c:pt>
                <c:pt idx="398">
                  <c:v>28.12.2021</c:v>
                </c:pt>
                <c:pt idx="399">
                  <c:v>29.12.2021</c:v>
                </c:pt>
                <c:pt idx="400">
                  <c:v>30.12.2021</c:v>
                </c:pt>
                <c:pt idx="401">
                  <c:v>03.01.2022</c:v>
                </c:pt>
                <c:pt idx="402">
                  <c:v>04.01.2022</c:v>
                </c:pt>
                <c:pt idx="403">
                  <c:v>05.01.2022</c:v>
                </c:pt>
                <c:pt idx="404">
                  <c:v>06.01.2022</c:v>
                </c:pt>
                <c:pt idx="405">
                  <c:v>10.01.2022</c:v>
                </c:pt>
                <c:pt idx="406">
                  <c:v>11.01.2022</c:v>
                </c:pt>
                <c:pt idx="407">
                  <c:v>12.01.2022</c:v>
                </c:pt>
                <c:pt idx="408">
                  <c:v>13.01.2022</c:v>
                </c:pt>
                <c:pt idx="409">
                  <c:v>18.01.2022</c:v>
                </c:pt>
                <c:pt idx="410">
                  <c:v>19.01.2022</c:v>
                </c:pt>
                <c:pt idx="411">
                  <c:v>20.01.2022</c:v>
                </c:pt>
                <c:pt idx="412">
                  <c:v>24.01.2022</c:v>
                </c:pt>
                <c:pt idx="413">
                  <c:v>25.01.2022</c:v>
                </c:pt>
                <c:pt idx="414">
                  <c:v>26.01.2022</c:v>
                </c:pt>
                <c:pt idx="415">
                  <c:v>27.01.2022</c:v>
                </c:pt>
                <c:pt idx="416">
                  <c:v>31.01.2022</c:v>
                </c:pt>
                <c:pt idx="417">
                  <c:v>01.02.2022</c:v>
                </c:pt>
                <c:pt idx="418">
                  <c:v>02.02.2022</c:v>
                </c:pt>
                <c:pt idx="419">
                  <c:v>03.02.2022</c:v>
                </c:pt>
                <c:pt idx="420">
                  <c:v>07.02.2022</c:v>
                </c:pt>
                <c:pt idx="421">
                  <c:v>08.02.2022</c:v>
                </c:pt>
                <c:pt idx="422">
                  <c:v>09.02.2022</c:v>
                </c:pt>
                <c:pt idx="423">
                  <c:v>10.02.2022</c:v>
                </c:pt>
                <c:pt idx="424">
                  <c:v>14.02.2022</c:v>
                </c:pt>
                <c:pt idx="425">
                  <c:v>15.02.2022</c:v>
                </c:pt>
                <c:pt idx="426">
                  <c:v>16.02.2022</c:v>
                </c:pt>
                <c:pt idx="427">
                  <c:v>17.02.2022</c:v>
                </c:pt>
                <c:pt idx="428">
                  <c:v>22.02.2022</c:v>
                </c:pt>
                <c:pt idx="429">
                  <c:v>23.02.2022</c:v>
                </c:pt>
                <c:pt idx="430">
                  <c:v>24.02.2022</c:v>
                </c:pt>
                <c:pt idx="431">
                  <c:v>28.02.2022</c:v>
                </c:pt>
                <c:pt idx="432">
                  <c:v>01.03.2022</c:v>
                </c:pt>
                <c:pt idx="433">
                  <c:v>02.03.2022</c:v>
                </c:pt>
                <c:pt idx="434">
                  <c:v>03.03.2022</c:v>
                </c:pt>
                <c:pt idx="435">
                  <c:v>07.03.2022</c:v>
                </c:pt>
                <c:pt idx="436">
                  <c:v>08.03.2022</c:v>
                </c:pt>
                <c:pt idx="437">
                  <c:v>09.03.2022</c:v>
                </c:pt>
                <c:pt idx="438">
                  <c:v>10.03.2022</c:v>
                </c:pt>
                <c:pt idx="439">
                  <c:v>14.03.2022</c:v>
                </c:pt>
                <c:pt idx="440">
                  <c:v>15.03.2022</c:v>
                </c:pt>
                <c:pt idx="441">
                  <c:v>16.03.2022</c:v>
                </c:pt>
                <c:pt idx="442">
                  <c:v>17.03.2022</c:v>
                </c:pt>
                <c:pt idx="443">
                  <c:v>21.03.2022</c:v>
                </c:pt>
                <c:pt idx="444">
                  <c:v>22.03.2022</c:v>
                </c:pt>
                <c:pt idx="445">
                  <c:v>23.03.2022</c:v>
                </c:pt>
                <c:pt idx="446">
                  <c:v>24.03.2022</c:v>
                </c:pt>
                <c:pt idx="447">
                  <c:v>28.03.2022</c:v>
                </c:pt>
                <c:pt idx="448">
                  <c:v>29.03.2022</c:v>
                </c:pt>
                <c:pt idx="449">
                  <c:v>30.03.2022</c:v>
                </c:pt>
                <c:pt idx="450">
                  <c:v>31.03.2022</c:v>
                </c:pt>
                <c:pt idx="451">
                  <c:v>04.04.2022</c:v>
                </c:pt>
                <c:pt idx="452">
                  <c:v>05.04.2022</c:v>
                </c:pt>
                <c:pt idx="453">
                  <c:v>06.04.2022</c:v>
                </c:pt>
                <c:pt idx="454">
                  <c:v>07.04.2022</c:v>
                </c:pt>
                <c:pt idx="455">
                  <c:v>11.04.2022</c:v>
                </c:pt>
                <c:pt idx="456">
                  <c:v>12.04.2022</c:v>
                </c:pt>
                <c:pt idx="457">
                  <c:v>13.04.2022</c:v>
                </c:pt>
                <c:pt idx="458">
                  <c:v>18.04.2022</c:v>
                </c:pt>
                <c:pt idx="459">
                  <c:v>19.04.2022</c:v>
                </c:pt>
                <c:pt idx="460">
                  <c:v>20.04.2022</c:v>
                </c:pt>
                <c:pt idx="461">
                  <c:v>21.04.2022</c:v>
                </c:pt>
                <c:pt idx="462">
                  <c:v>25.04.2022</c:v>
                </c:pt>
                <c:pt idx="463">
                  <c:v>26.04.2022</c:v>
                </c:pt>
                <c:pt idx="464">
                  <c:v>27.04.2022</c:v>
                </c:pt>
                <c:pt idx="465">
                  <c:v>28.04.2022</c:v>
                </c:pt>
                <c:pt idx="466">
                  <c:v>02.05.2022</c:v>
                </c:pt>
                <c:pt idx="467">
                  <c:v>03.05.2022</c:v>
                </c:pt>
                <c:pt idx="468">
                  <c:v>04.05.2022</c:v>
                </c:pt>
                <c:pt idx="469">
                  <c:v>05.05.2022</c:v>
                </c:pt>
                <c:pt idx="470">
                  <c:v>09.05.2022</c:v>
                </c:pt>
                <c:pt idx="471">
                  <c:v>10.05.2022</c:v>
                </c:pt>
                <c:pt idx="472">
                  <c:v>11.05.2022</c:v>
                </c:pt>
                <c:pt idx="473">
                  <c:v>12.05.2022</c:v>
                </c:pt>
                <c:pt idx="474">
                  <c:v>16.05.2022</c:v>
                </c:pt>
                <c:pt idx="475">
                  <c:v>17.05.2022</c:v>
                </c:pt>
                <c:pt idx="476">
                  <c:v>18.05.2022</c:v>
                </c:pt>
                <c:pt idx="477">
                  <c:v>19.05.2022</c:v>
                </c:pt>
                <c:pt idx="478">
                  <c:v>23.05.2022</c:v>
                </c:pt>
                <c:pt idx="479">
                  <c:v>24.05.2022</c:v>
                </c:pt>
                <c:pt idx="480">
                  <c:v>25.05.2022</c:v>
                </c:pt>
                <c:pt idx="481">
                  <c:v>26.05.2022</c:v>
                </c:pt>
                <c:pt idx="482">
                  <c:v>31.05.2022</c:v>
                </c:pt>
                <c:pt idx="483">
                  <c:v>01.06.2022</c:v>
                </c:pt>
                <c:pt idx="484">
                  <c:v>02.06.2022</c:v>
                </c:pt>
                <c:pt idx="485">
                  <c:v>06.06.2022</c:v>
                </c:pt>
                <c:pt idx="486">
                  <c:v>07.06.2022</c:v>
                </c:pt>
                <c:pt idx="487">
                  <c:v>08.06.2022</c:v>
                </c:pt>
                <c:pt idx="488">
                  <c:v>09.06.2022</c:v>
                </c:pt>
                <c:pt idx="489">
                  <c:v>13.06.2022</c:v>
                </c:pt>
                <c:pt idx="490">
                  <c:v>14.06.2022</c:v>
                </c:pt>
                <c:pt idx="491">
                  <c:v>15.06.2022</c:v>
                </c:pt>
                <c:pt idx="492">
                  <c:v>16.06.2022</c:v>
                </c:pt>
                <c:pt idx="493">
                  <c:v>21.06.2022</c:v>
                </c:pt>
                <c:pt idx="494">
                  <c:v>22.06.2022</c:v>
                </c:pt>
                <c:pt idx="495">
                  <c:v>23.06.2022</c:v>
                </c:pt>
                <c:pt idx="496">
                  <c:v>27.06.2022</c:v>
                </c:pt>
                <c:pt idx="497">
                  <c:v>28.06.2022</c:v>
                </c:pt>
                <c:pt idx="498">
                  <c:v>29.06.2022</c:v>
                </c:pt>
                <c:pt idx="499">
                  <c:v>30.06.2022</c:v>
                </c:pt>
                <c:pt idx="500">
                  <c:v>05.07.2022</c:v>
                </c:pt>
                <c:pt idx="501">
                  <c:v>06.07.2022</c:v>
                </c:pt>
                <c:pt idx="502">
                  <c:v>07.07.2022</c:v>
                </c:pt>
                <c:pt idx="503">
                  <c:v>11.07.2022</c:v>
                </c:pt>
                <c:pt idx="504">
                  <c:v>12.07.2022</c:v>
                </c:pt>
                <c:pt idx="505">
                  <c:v>13.07.2022</c:v>
                </c:pt>
                <c:pt idx="506">
                  <c:v>14.07.2022</c:v>
                </c:pt>
                <c:pt idx="507">
                  <c:v>18.07.2022</c:v>
                </c:pt>
                <c:pt idx="508">
                  <c:v>19.07.2022</c:v>
                </c:pt>
                <c:pt idx="509">
                  <c:v>20.07.2022</c:v>
                </c:pt>
                <c:pt idx="510">
                  <c:v>21.07.2022</c:v>
                </c:pt>
                <c:pt idx="511">
                  <c:v>25.07.2022</c:v>
                </c:pt>
                <c:pt idx="512">
                  <c:v>26.07.2022</c:v>
                </c:pt>
                <c:pt idx="513">
                  <c:v>27.07.2022</c:v>
                </c:pt>
                <c:pt idx="514">
                  <c:v>28.07.2022</c:v>
                </c:pt>
                <c:pt idx="515">
                  <c:v>01.08.2022</c:v>
                </c:pt>
                <c:pt idx="516">
                  <c:v>02.08.2022</c:v>
                </c:pt>
                <c:pt idx="517">
                  <c:v>03.08.2022</c:v>
                </c:pt>
                <c:pt idx="518">
                  <c:v>04.08.2022</c:v>
                </c:pt>
                <c:pt idx="519">
                  <c:v>08.08.2022</c:v>
                </c:pt>
                <c:pt idx="520">
                  <c:v>09.08.2022</c:v>
                </c:pt>
                <c:pt idx="521">
                  <c:v>10.08.2022</c:v>
                </c:pt>
                <c:pt idx="522">
                  <c:v>11.08.2022</c:v>
                </c:pt>
                <c:pt idx="523">
                  <c:v>15.08.2022</c:v>
                </c:pt>
                <c:pt idx="524">
                  <c:v>16.08.2022</c:v>
                </c:pt>
                <c:pt idx="525">
                  <c:v>17.08.2022</c:v>
                </c:pt>
                <c:pt idx="526">
                  <c:v>18.08.2022</c:v>
                </c:pt>
                <c:pt idx="527">
                  <c:v>22.08.2022</c:v>
                </c:pt>
                <c:pt idx="528">
                  <c:v>23.08.2022</c:v>
                </c:pt>
                <c:pt idx="529">
                  <c:v>24.08.2022</c:v>
                </c:pt>
                <c:pt idx="530">
                  <c:v>25.08.2022</c:v>
                </c:pt>
                <c:pt idx="531">
                  <c:v>29.08.2022</c:v>
                </c:pt>
                <c:pt idx="532">
                  <c:v>30.08.2022</c:v>
                </c:pt>
                <c:pt idx="533">
                  <c:v>31.08.2022</c:v>
                </c:pt>
                <c:pt idx="534">
                  <c:v>01.09.2022</c:v>
                </c:pt>
                <c:pt idx="535">
                  <c:v>06.09.2022</c:v>
                </c:pt>
                <c:pt idx="536">
                  <c:v>07.09.2022</c:v>
                </c:pt>
                <c:pt idx="537">
                  <c:v>08.09.2022</c:v>
                </c:pt>
                <c:pt idx="538">
                  <c:v>12.09.2022</c:v>
                </c:pt>
                <c:pt idx="539">
                  <c:v>13.09.2022</c:v>
                </c:pt>
                <c:pt idx="540">
                  <c:v>14.09.2022</c:v>
                </c:pt>
                <c:pt idx="541">
                  <c:v>15.09.2022</c:v>
                </c:pt>
                <c:pt idx="542">
                  <c:v>19.09.2022</c:v>
                </c:pt>
                <c:pt idx="543">
                  <c:v>20.09.2022</c:v>
                </c:pt>
                <c:pt idx="544">
                  <c:v>21.09.2022</c:v>
                </c:pt>
                <c:pt idx="545">
                  <c:v>22.09.2022</c:v>
                </c:pt>
                <c:pt idx="546">
                  <c:v>26.09.2022</c:v>
                </c:pt>
                <c:pt idx="547">
                  <c:v>27.09.2022</c:v>
                </c:pt>
                <c:pt idx="548">
                  <c:v>28.09.2022</c:v>
                </c:pt>
                <c:pt idx="549">
                  <c:v>29.09.2022</c:v>
                </c:pt>
                <c:pt idx="550">
                  <c:v>03.10.2022</c:v>
                </c:pt>
                <c:pt idx="551">
                  <c:v>04.10.2022</c:v>
                </c:pt>
                <c:pt idx="552">
                  <c:v>05.10.2022</c:v>
                </c:pt>
                <c:pt idx="553">
                  <c:v>06.10.2022</c:v>
                </c:pt>
                <c:pt idx="554">
                  <c:v>10.10.2022</c:v>
                </c:pt>
                <c:pt idx="555">
                  <c:v>11.10.2022</c:v>
                </c:pt>
                <c:pt idx="556">
                  <c:v>12.10.2022</c:v>
                </c:pt>
                <c:pt idx="557">
                  <c:v>13.10.2022</c:v>
                </c:pt>
                <c:pt idx="558">
                  <c:v>17.10.2022</c:v>
                </c:pt>
                <c:pt idx="559">
                  <c:v>18.10.2022</c:v>
                </c:pt>
                <c:pt idx="560">
                  <c:v>19.10.2022</c:v>
                </c:pt>
                <c:pt idx="561">
                  <c:v>20.10.2022</c:v>
                </c:pt>
                <c:pt idx="562">
                  <c:v>24.10.2022</c:v>
                </c:pt>
                <c:pt idx="563">
                  <c:v>25.10.2022</c:v>
                </c:pt>
                <c:pt idx="564">
                  <c:v>26.10.2022</c:v>
                </c:pt>
                <c:pt idx="565">
                  <c:v>27.10.2022</c:v>
                </c:pt>
                <c:pt idx="566">
                  <c:v>31.10.2022</c:v>
                </c:pt>
                <c:pt idx="567">
                  <c:v>01.11.2022</c:v>
                </c:pt>
                <c:pt idx="568">
                  <c:v>02.11.2022</c:v>
                </c:pt>
                <c:pt idx="569">
                  <c:v>03.11.2022</c:v>
                </c:pt>
                <c:pt idx="570">
                  <c:v>07.11.2022</c:v>
                </c:pt>
                <c:pt idx="571">
                  <c:v>08.11.2022</c:v>
                </c:pt>
                <c:pt idx="572">
                  <c:v>09.11.2022</c:v>
                </c:pt>
                <c:pt idx="573">
                  <c:v>10.11.2022</c:v>
                </c:pt>
                <c:pt idx="574">
                  <c:v>14.11.2022</c:v>
                </c:pt>
                <c:pt idx="575">
                  <c:v>15.11.2022</c:v>
                </c:pt>
                <c:pt idx="576">
                  <c:v>16.11.2022</c:v>
                </c:pt>
                <c:pt idx="577">
                  <c:v>17.11.2022</c:v>
                </c:pt>
                <c:pt idx="578">
                  <c:v>21.11.2022</c:v>
                </c:pt>
                <c:pt idx="579">
                  <c:v>22.11.2022</c:v>
                </c:pt>
                <c:pt idx="580">
                  <c:v>23.11.2022</c:v>
                </c:pt>
                <c:pt idx="581">
                  <c:v>28.11.2022</c:v>
                </c:pt>
                <c:pt idx="582">
                  <c:v>29.11.2022</c:v>
                </c:pt>
                <c:pt idx="583">
                  <c:v>30.11.2022</c:v>
                </c:pt>
                <c:pt idx="584">
                  <c:v>01.12.2022</c:v>
                </c:pt>
                <c:pt idx="585">
                  <c:v>05.12.2022</c:v>
                </c:pt>
                <c:pt idx="586">
                  <c:v>06.12.2022</c:v>
                </c:pt>
                <c:pt idx="587">
                  <c:v>07.12.2022</c:v>
                </c:pt>
                <c:pt idx="588">
                  <c:v>08.12.2022</c:v>
                </c:pt>
                <c:pt idx="589">
                  <c:v>12.12.2022</c:v>
                </c:pt>
                <c:pt idx="590">
                  <c:v>13.12.2022</c:v>
                </c:pt>
                <c:pt idx="591">
                  <c:v>14.12.2022</c:v>
                </c:pt>
                <c:pt idx="592">
                  <c:v>15.12.2022</c:v>
                </c:pt>
                <c:pt idx="593">
                  <c:v>19.12.2022</c:v>
                </c:pt>
                <c:pt idx="594">
                  <c:v>20.12.2022</c:v>
                </c:pt>
                <c:pt idx="595">
                  <c:v>21.12.2022</c:v>
                </c:pt>
                <c:pt idx="596">
                  <c:v>22.12.2022</c:v>
                </c:pt>
                <c:pt idx="597">
                  <c:v>27.12.2022</c:v>
                </c:pt>
                <c:pt idx="598">
                  <c:v>28.12.2022</c:v>
                </c:pt>
                <c:pt idx="599">
                  <c:v>29.12.2022</c:v>
                </c:pt>
                <c:pt idx="600">
                  <c:v>03.01.2023</c:v>
                </c:pt>
                <c:pt idx="601">
                  <c:v>04.01.2023</c:v>
                </c:pt>
                <c:pt idx="602">
                  <c:v>05.01.2023</c:v>
                </c:pt>
                <c:pt idx="603">
                  <c:v>09.01.2023</c:v>
                </c:pt>
                <c:pt idx="604">
                  <c:v>10.01.2023</c:v>
                </c:pt>
                <c:pt idx="605">
                  <c:v>11.01.2023</c:v>
                </c:pt>
                <c:pt idx="606">
                  <c:v>12.01.2023</c:v>
                </c:pt>
                <c:pt idx="607">
                  <c:v>17.01.2023</c:v>
                </c:pt>
                <c:pt idx="608">
                  <c:v>18.01.2023</c:v>
                </c:pt>
                <c:pt idx="609">
                  <c:v>19.01.2023</c:v>
                </c:pt>
                <c:pt idx="610">
                  <c:v>23.01.2023</c:v>
                </c:pt>
                <c:pt idx="611">
                  <c:v>24.01.2023</c:v>
                </c:pt>
                <c:pt idx="612">
                  <c:v>25.01.2023</c:v>
                </c:pt>
                <c:pt idx="613">
                  <c:v>26.01.2023</c:v>
                </c:pt>
                <c:pt idx="614">
                  <c:v>30.01.2023</c:v>
                </c:pt>
                <c:pt idx="615">
                  <c:v>31.01.2023</c:v>
                </c:pt>
                <c:pt idx="616">
                  <c:v>01.02.2023</c:v>
                </c:pt>
                <c:pt idx="617">
                  <c:v>02.02.2023</c:v>
                </c:pt>
                <c:pt idx="618">
                  <c:v>06.02.2023</c:v>
                </c:pt>
                <c:pt idx="619">
                  <c:v>07.02.2023</c:v>
                </c:pt>
                <c:pt idx="620">
                  <c:v>08.02.2023</c:v>
                </c:pt>
                <c:pt idx="621">
                  <c:v>09.02.2023</c:v>
                </c:pt>
                <c:pt idx="622">
                  <c:v>13.02.2023</c:v>
                </c:pt>
                <c:pt idx="623">
                  <c:v>14.02.2023</c:v>
                </c:pt>
                <c:pt idx="624">
                  <c:v>15.02.2023</c:v>
                </c:pt>
                <c:pt idx="625">
                  <c:v>16.02.2023</c:v>
                </c:pt>
                <c:pt idx="626">
                  <c:v>21.02.2023</c:v>
                </c:pt>
                <c:pt idx="627">
                  <c:v>22.02.2023</c:v>
                </c:pt>
                <c:pt idx="628">
                  <c:v>23.02.2023</c:v>
                </c:pt>
                <c:pt idx="629">
                  <c:v>27.02.2023</c:v>
                </c:pt>
                <c:pt idx="630">
                  <c:v>28.02.2023</c:v>
                </c:pt>
                <c:pt idx="631">
                  <c:v>01.03.2023</c:v>
                </c:pt>
                <c:pt idx="632">
                  <c:v>02.03.2023</c:v>
                </c:pt>
                <c:pt idx="633">
                  <c:v>06.03.2023</c:v>
                </c:pt>
                <c:pt idx="634">
                  <c:v>07.03.2023</c:v>
                </c:pt>
                <c:pt idx="635">
                  <c:v>08.03.2023</c:v>
                </c:pt>
                <c:pt idx="636">
                  <c:v>09.03.2023</c:v>
                </c:pt>
                <c:pt idx="637">
                  <c:v>13.03.2023</c:v>
                </c:pt>
                <c:pt idx="638">
                  <c:v>14.03.2023</c:v>
                </c:pt>
                <c:pt idx="639">
                  <c:v>15.03.2023</c:v>
                </c:pt>
                <c:pt idx="640">
                  <c:v>16.03.2023</c:v>
                </c:pt>
                <c:pt idx="641">
                  <c:v>20.03.2023</c:v>
                </c:pt>
                <c:pt idx="642">
                  <c:v>21.03.2023</c:v>
                </c:pt>
                <c:pt idx="643">
                  <c:v>22.03.2023</c:v>
                </c:pt>
                <c:pt idx="644">
                  <c:v>23.03.2023</c:v>
                </c:pt>
                <c:pt idx="645">
                  <c:v>27.03.2023</c:v>
                </c:pt>
                <c:pt idx="646">
                  <c:v>28.03.2023</c:v>
                </c:pt>
                <c:pt idx="647">
                  <c:v>29.03.2023</c:v>
                </c:pt>
                <c:pt idx="648">
                  <c:v>30.03.2023</c:v>
                </c:pt>
                <c:pt idx="649">
                  <c:v>03.04.2023</c:v>
                </c:pt>
                <c:pt idx="650">
                  <c:v>04.04.2023</c:v>
                </c:pt>
                <c:pt idx="651">
                  <c:v>05.04.2023</c:v>
                </c:pt>
                <c:pt idx="652">
                  <c:v>10.04.2023</c:v>
                </c:pt>
                <c:pt idx="653">
                  <c:v>11.04.2023</c:v>
                </c:pt>
                <c:pt idx="654">
                  <c:v>12.04.2023</c:v>
                </c:pt>
                <c:pt idx="655">
                  <c:v>13.04.2023</c:v>
                </c:pt>
                <c:pt idx="656">
                  <c:v>17.04.2023</c:v>
                </c:pt>
                <c:pt idx="657">
                  <c:v>18.04.2023</c:v>
                </c:pt>
                <c:pt idx="658">
                  <c:v>19.04.2023</c:v>
                </c:pt>
                <c:pt idx="659">
                  <c:v>20.04.2023</c:v>
                </c:pt>
                <c:pt idx="660">
                  <c:v>24.04.2023</c:v>
                </c:pt>
                <c:pt idx="661">
                  <c:v>25.04.2023</c:v>
                </c:pt>
                <c:pt idx="662">
                  <c:v>26.04.2023</c:v>
                </c:pt>
                <c:pt idx="663">
                  <c:v>27.04.2023</c:v>
                </c:pt>
                <c:pt idx="664">
                  <c:v>01.05.2023</c:v>
                </c:pt>
                <c:pt idx="665">
                  <c:v>02.05.2023</c:v>
                </c:pt>
                <c:pt idx="666">
                  <c:v>03.05.2023</c:v>
                </c:pt>
                <c:pt idx="667">
                  <c:v>04.05.2023</c:v>
                </c:pt>
                <c:pt idx="668">
                  <c:v>08.05.2023</c:v>
                </c:pt>
                <c:pt idx="669">
                  <c:v>09.05.2023</c:v>
                </c:pt>
                <c:pt idx="670">
                  <c:v>10.05.2023</c:v>
                </c:pt>
                <c:pt idx="671">
                  <c:v>11.05.2023</c:v>
                </c:pt>
                <c:pt idx="672">
                  <c:v>15.05.2023</c:v>
                </c:pt>
                <c:pt idx="673">
                  <c:v>16.05.2023</c:v>
                </c:pt>
                <c:pt idx="674">
                  <c:v>17.05.2023</c:v>
                </c:pt>
                <c:pt idx="675">
                  <c:v>18.05.2023</c:v>
                </c:pt>
                <c:pt idx="676">
                  <c:v>22.05.2023</c:v>
                </c:pt>
                <c:pt idx="677">
                  <c:v>23.05.2023</c:v>
                </c:pt>
                <c:pt idx="678">
                  <c:v>24.05.2023</c:v>
                </c:pt>
                <c:pt idx="679">
                  <c:v>25.05.2023</c:v>
                </c:pt>
                <c:pt idx="680">
                  <c:v>30.05.2023</c:v>
                </c:pt>
                <c:pt idx="681">
                  <c:v>31.05.2023</c:v>
                </c:pt>
                <c:pt idx="682">
                  <c:v>01.06.2023</c:v>
                </c:pt>
                <c:pt idx="683">
                  <c:v>05.06.2023</c:v>
                </c:pt>
                <c:pt idx="684">
                  <c:v>06.06.2023</c:v>
                </c:pt>
                <c:pt idx="685">
                  <c:v>07.06.2023</c:v>
                </c:pt>
                <c:pt idx="686">
                  <c:v>08.06.2023</c:v>
                </c:pt>
                <c:pt idx="687">
                  <c:v>12.06.2023</c:v>
                </c:pt>
                <c:pt idx="688">
                  <c:v>13.06.2023</c:v>
                </c:pt>
                <c:pt idx="689">
                  <c:v>14.06.2023</c:v>
                </c:pt>
                <c:pt idx="690">
                  <c:v>15.06.2023</c:v>
                </c:pt>
                <c:pt idx="691">
                  <c:v>20.06.2023</c:v>
                </c:pt>
                <c:pt idx="692">
                  <c:v>21.06.2023</c:v>
                </c:pt>
                <c:pt idx="693">
                  <c:v>22.06.2023</c:v>
                </c:pt>
                <c:pt idx="694">
                  <c:v>26.06.2023</c:v>
                </c:pt>
                <c:pt idx="695">
                  <c:v>27.06.2023</c:v>
                </c:pt>
                <c:pt idx="696">
                  <c:v>28.06.2023</c:v>
                </c:pt>
                <c:pt idx="697">
                  <c:v>29.06.2023</c:v>
                </c:pt>
                <c:pt idx="698">
                  <c:v>03.07.2023</c:v>
                </c:pt>
                <c:pt idx="699">
                  <c:v>05.07.2023</c:v>
                </c:pt>
                <c:pt idx="700">
                  <c:v>06.07.2023</c:v>
                </c:pt>
                <c:pt idx="701">
                  <c:v>10.07.2023</c:v>
                </c:pt>
                <c:pt idx="702">
                  <c:v>11.07.2023</c:v>
                </c:pt>
                <c:pt idx="703">
                  <c:v>12.07.2023</c:v>
                </c:pt>
                <c:pt idx="704">
                  <c:v>13.07.2023</c:v>
                </c:pt>
                <c:pt idx="705">
                  <c:v>17.07.2023</c:v>
                </c:pt>
                <c:pt idx="706">
                  <c:v>18.07.2023</c:v>
                </c:pt>
                <c:pt idx="707">
                  <c:v>19.07.2023</c:v>
                </c:pt>
                <c:pt idx="708">
                  <c:v>20.07.2023</c:v>
                </c:pt>
                <c:pt idx="709">
                  <c:v>24.07.2023</c:v>
                </c:pt>
                <c:pt idx="710">
                  <c:v>25.07.2023</c:v>
                </c:pt>
                <c:pt idx="711">
                  <c:v>26.07.2023</c:v>
                </c:pt>
                <c:pt idx="712">
                  <c:v>27.07.2023</c:v>
                </c:pt>
                <c:pt idx="713">
                  <c:v>31.07.2023</c:v>
                </c:pt>
                <c:pt idx="714">
                  <c:v>01.08.2023</c:v>
                </c:pt>
                <c:pt idx="715">
                  <c:v>02.08.2023</c:v>
                </c:pt>
                <c:pt idx="716">
                  <c:v>03.08.2023</c:v>
                </c:pt>
                <c:pt idx="717">
                  <c:v>07.08.2023</c:v>
                </c:pt>
                <c:pt idx="718">
                  <c:v>08.08.2023</c:v>
                </c:pt>
                <c:pt idx="719">
                  <c:v>09.08.2023</c:v>
                </c:pt>
                <c:pt idx="720">
                  <c:v>10.08.2023</c:v>
                </c:pt>
                <c:pt idx="721">
                  <c:v>14.08.2023</c:v>
                </c:pt>
                <c:pt idx="722">
                  <c:v>15.08.2023</c:v>
                </c:pt>
                <c:pt idx="723">
                  <c:v>16.08.2023</c:v>
                </c:pt>
                <c:pt idx="724">
                  <c:v>17.08.2023</c:v>
                </c:pt>
                <c:pt idx="725">
                  <c:v>21.08.2023</c:v>
                </c:pt>
                <c:pt idx="726">
                  <c:v>22.08.2023</c:v>
                </c:pt>
                <c:pt idx="727">
                  <c:v>23.08.2023</c:v>
                </c:pt>
                <c:pt idx="728">
                  <c:v>24.08.2023</c:v>
                </c:pt>
                <c:pt idx="729">
                  <c:v>28.08.2023</c:v>
                </c:pt>
                <c:pt idx="730">
                  <c:v>29.08.2023</c:v>
                </c:pt>
                <c:pt idx="731">
                  <c:v>30.08.2023</c:v>
                </c:pt>
                <c:pt idx="732">
                  <c:v>31.08.2023</c:v>
                </c:pt>
                <c:pt idx="733">
                  <c:v>05.09.2023</c:v>
                </c:pt>
                <c:pt idx="734">
                  <c:v>06.09.2023</c:v>
                </c:pt>
                <c:pt idx="735">
                  <c:v>07.09.2023</c:v>
                </c:pt>
                <c:pt idx="736">
                  <c:v>11.09.2023</c:v>
                </c:pt>
                <c:pt idx="737">
                  <c:v>12.09.2023</c:v>
                </c:pt>
                <c:pt idx="738">
                  <c:v>13.09.2023</c:v>
                </c:pt>
                <c:pt idx="739">
                  <c:v>14.09.2023</c:v>
                </c:pt>
                <c:pt idx="740">
                  <c:v>18.09.2023</c:v>
                </c:pt>
                <c:pt idx="741">
                  <c:v>19.09.2023</c:v>
                </c:pt>
                <c:pt idx="742">
                  <c:v>20.09.2023</c:v>
                </c:pt>
                <c:pt idx="743">
                  <c:v>21.09.2023</c:v>
                </c:pt>
                <c:pt idx="744">
                  <c:v>25.09.2023</c:v>
                </c:pt>
                <c:pt idx="745">
                  <c:v>26.09.2023</c:v>
                </c:pt>
                <c:pt idx="746">
                  <c:v>27.09.2023</c:v>
                </c:pt>
                <c:pt idx="747">
                  <c:v>28.09.2023</c:v>
                </c:pt>
                <c:pt idx="748">
                  <c:v>02.10.2023</c:v>
                </c:pt>
                <c:pt idx="749">
                  <c:v>03.10.2023</c:v>
                </c:pt>
                <c:pt idx="750">
                  <c:v>04.10.2023</c:v>
                </c:pt>
                <c:pt idx="751">
                  <c:v>05.10.2023</c:v>
                </c:pt>
                <c:pt idx="752">
                  <c:v>09.10.2023</c:v>
                </c:pt>
                <c:pt idx="753">
                  <c:v>10.10.2023</c:v>
                </c:pt>
                <c:pt idx="754">
                  <c:v>11.10.2023</c:v>
                </c:pt>
                <c:pt idx="755">
                  <c:v>12.10.2023</c:v>
                </c:pt>
                <c:pt idx="756">
                  <c:v>16.10.2023</c:v>
                </c:pt>
                <c:pt idx="757">
                  <c:v>17.10.2023</c:v>
                </c:pt>
                <c:pt idx="758">
                  <c:v>18.10.2023</c:v>
                </c:pt>
                <c:pt idx="759">
                  <c:v>19.10.2023</c:v>
                </c:pt>
                <c:pt idx="760">
                  <c:v>23.10.2023</c:v>
                </c:pt>
                <c:pt idx="761">
                  <c:v>24.10.2023</c:v>
                </c:pt>
                <c:pt idx="762">
                  <c:v>25.10.2023</c:v>
                </c:pt>
                <c:pt idx="763">
                  <c:v>26.10.2023</c:v>
                </c:pt>
                <c:pt idx="764">
                  <c:v>30.10.2023</c:v>
                </c:pt>
                <c:pt idx="765">
                  <c:v>31.10.2023</c:v>
                </c:pt>
                <c:pt idx="766">
                  <c:v>01.11.2023</c:v>
                </c:pt>
                <c:pt idx="767">
                  <c:v>02.11.2023</c:v>
                </c:pt>
                <c:pt idx="768">
                  <c:v>06.11.2023</c:v>
                </c:pt>
                <c:pt idx="769">
                  <c:v>07.11.2023</c:v>
                </c:pt>
                <c:pt idx="770">
                  <c:v>08.11.2023</c:v>
                </c:pt>
                <c:pt idx="771">
                  <c:v>09.11.2023</c:v>
                </c:pt>
                <c:pt idx="772">
                  <c:v>13.11.2023</c:v>
                </c:pt>
                <c:pt idx="773">
                  <c:v>14.11.2023</c:v>
                </c:pt>
                <c:pt idx="774">
                  <c:v>15.11.2023</c:v>
                </c:pt>
                <c:pt idx="775">
                  <c:v>16.11.2023</c:v>
                </c:pt>
                <c:pt idx="776">
                  <c:v>20.11.2023</c:v>
                </c:pt>
                <c:pt idx="777">
                  <c:v>21.11.2023</c:v>
                </c:pt>
                <c:pt idx="778">
                  <c:v>22.11.2023</c:v>
                </c:pt>
                <c:pt idx="779">
                  <c:v>27.11.2023</c:v>
                </c:pt>
                <c:pt idx="780">
                  <c:v>28.11.2023</c:v>
                </c:pt>
                <c:pt idx="781">
                  <c:v>29.11.2023</c:v>
                </c:pt>
                <c:pt idx="782">
                  <c:v>30.11.2023</c:v>
                </c:pt>
                <c:pt idx="783">
                  <c:v>04.12.2023</c:v>
                </c:pt>
                <c:pt idx="784">
                  <c:v>05.12.2023</c:v>
                </c:pt>
                <c:pt idx="785">
                  <c:v>06.12.2023</c:v>
                </c:pt>
                <c:pt idx="786">
                  <c:v>07.12.2023</c:v>
                </c:pt>
                <c:pt idx="787">
                  <c:v>11.12.2023</c:v>
                </c:pt>
                <c:pt idx="788">
                  <c:v>12.12.2023</c:v>
                </c:pt>
                <c:pt idx="789">
                  <c:v>13.12.2023</c:v>
                </c:pt>
                <c:pt idx="790">
                  <c:v>14.12.2023</c:v>
                </c:pt>
                <c:pt idx="791">
                  <c:v>18.12.2023</c:v>
                </c:pt>
                <c:pt idx="792">
                  <c:v>19.12.2023</c:v>
                </c:pt>
                <c:pt idx="793">
                  <c:v>20.12.2023</c:v>
                </c:pt>
                <c:pt idx="794">
                  <c:v>21.12.2023</c:v>
                </c:pt>
                <c:pt idx="795">
                  <c:v>26.12.2023</c:v>
                </c:pt>
                <c:pt idx="796">
                  <c:v>27.12.2023</c:v>
                </c:pt>
                <c:pt idx="797">
                  <c:v>28.12.2023</c:v>
                </c:pt>
                <c:pt idx="798">
                  <c:v>02.01.2024</c:v>
                </c:pt>
                <c:pt idx="799">
                  <c:v>03.01.2024</c:v>
                </c:pt>
                <c:pt idx="800">
                  <c:v>04.01.2024</c:v>
                </c:pt>
                <c:pt idx="801">
                  <c:v>08.01.2024</c:v>
                </c:pt>
                <c:pt idx="802">
                  <c:v>09.01.2024</c:v>
                </c:pt>
                <c:pt idx="803">
                  <c:v>10.01.2024</c:v>
                </c:pt>
                <c:pt idx="804">
                  <c:v>11.01.2024</c:v>
                </c:pt>
                <c:pt idx="805">
                  <c:v>16.01.2024</c:v>
                </c:pt>
                <c:pt idx="806">
                  <c:v>17.01.2024</c:v>
                </c:pt>
                <c:pt idx="807">
                  <c:v>18.01.2024</c:v>
                </c:pt>
                <c:pt idx="808">
                  <c:v>22.01.2024</c:v>
                </c:pt>
                <c:pt idx="809">
                  <c:v>23.01.2024</c:v>
                </c:pt>
                <c:pt idx="810">
                  <c:v>24.01.2024</c:v>
                </c:pt>
                <c:pt idx="811">
                  <c:v>25.01.2024</c:v>
                </c:pt>
                <c:pt idx="812">
                  <c:v>29.01.2024</c:v>
                </c:pt>
                <c:pt idx="813">
                  <c:v>30.01.2024</c:v>
                </c:pt>
                <c:pt idx="814">
                  <c:v>31.01.2024</c:v>
                </c:pt>
                <c:pt idx="815">
                  <c:v>01.02.2024</c:v>
                </c:pt>
                <c:pt idx="816">
                  <c:v>05.02.2024</c:v>
                </c:pt>
                <c:pt idx="817">
                  <c:v>06.02.2024</c:v>
                </c:pt>
                <c:pt idx="818">
                  <c:v>07.02.2024</c:v>
                </c:pt>
                <c:pt idx="819">
                  <c:v>08.02.2024</c:v>
                </c:pt>
                <c:pt idx="820">
                  <c:v>12.02.2024</c:v>
                </c:pt>
                <c:pt idx="821">
                  <c:v>13.02.2024</c:v>
                </c:pt>
                <c:pt idx="822">
                  <c:v>14.02.2024</c:v>
                </c:pt>
                <c:pt idx="823">
                  <c:v>15.02.2024</c:v>
                </c:pt>
                <c:pt idx="824">
                  <c:v>20.02.2024</c:v>
                </c:pt>
                <c:pt idx="825">
                  <c:v>21.02.2024</c:v>
                </c:pt>
                <c:pt idx="826">
                  <c:v>22.02.2024</c:v>
                </c:pt>
                <c:pt idx="827">
                  <c:v>26.02.2024</c:v>
                </c:pt>
                <c:pt idx="828">
                  <c:v>27.02.2024</c:v>
                </c:pt>
                <c:pt idx="829">
                  <c:v>28.02.2024</c:v>
                </c:pt>
                <c:pt idx="830">
                  <c:v>29.02.2024</c:v>
                </c:pt>
                <c:pt idx="831">
                  <c:v>04.03.2024</c:v>
                </c:pt>
                <c:pt idx="832">
                  <c:v>05.03.2024</c:v>
                </c:pt>
                <c:pt idx="833">
                  <c:v>06.03.2024</c:v>
                </c:pt>
                <c:pt idx="834">
                  <c:v>07.03.2024</c:v>
                </c:pt>
                <c:pt idx="835">
                  <c:v>11.03.2024</c:v>
                </c:pt>
                <c:pt idx="836">
                  <c:v>12.03.2024</c:v>
                </c:pt>
                <c:pt idx="837">
                  <c:v>13.03.2024</c:v>
                </c:pt>
                <c:pt idx="838">
                  <c:v>14.03.2024</c:v>
                </c:pt>
                <c:pt idx="839">
                  <c:v>18.03.2024</c:v>
                </c:pt>
                <c:pt idx="840">
                  <c:v>19.03.2024</c:v>
                </c:pt>
                <c:pt idx="841">
                  <c:v>20.03.2024</c:v>
                </c:pt>
                <c:pt idx="842">
                  <c:v>21.03.2024</c:v>
                </c:pt>
                <c:pt idx="843">
                  <c:v>25.03.2024</c:v>
                </c:pt>
                <c:pt idx="844">
                  <c:v>26.03.2024</c:v>
                </c:pt>
                <c:pt idx="845">
                  <c:v>27.03.2024</c:v>
                </c:pt>
                <c:pt idx="846">
                  <c:v>01.04.2024</c:v>
                </c:pt>
                <c:pt idx="847">
                  <c:v>02.04.2024</c:v>
                </c:pt>
                <c:pt idx="848">
                  <c:v>03.04.2024</c:v>
                </c:pt>
                <c:pt idx="849">
                  <c:v>04.04.2024</c:v>
                </c:pt>
                <c:pt idx="850">
                  <c:v>08.04.2024</c:v>
                </c:pt>
                <c:pt idx="851">
                  <c:v>09.04.2024</c:v>
                </c:pt>
                <c:pt idx="852">
                  <c:v>10.04.2024</c:v>
                </c:pt>
                <c:pt idx="853">
                  <c:v>11.04.2024</c:v>
                </c:pt>
                <c:pt idx="854">
                  <c:v>15.04.2024</c:v>
                </c:pt>
                <c:pt idx="855">
                  <c:v>16.04.2024</c:v>
                </c:pt>
                <c:pt idx="856">
                  <c:v>17.04.2024</c:v>
                </c:pt>
                <c:pt idx="857">
                  <c:v>18.04.2024</c:v>
                </c:pt>
                <c:pt idx="858">
                  <c:v>22.04.2024</c:v>
                </c:pt>
                <c:pt idx="859">
                  <c:v>23.04.2024</c:v>
                </c:pt>
                <c:pt idx="860">
                  <c:v>24.04.2024</c:v>
                </c:pt>
                <c:pt idx="861">
                  <c:v>25.04.2024</c:v>
                </c:pt>
                <c:pt idx="862">
                  <c:v>29.04.2024</c:v>
                </c:pt>
                <c:pt idx="863">
                  <c:v>30.04.2024</c:v>
                </c:pt>
                <c:pt idx="864">
                  <c:v>01.05.2024</c:v>
                </c:pt>
                <c:pt idx="865">
                  <c:v>02.05.2024</c:v>
                </c:pt>
                <c:pt idx="866">
                  <c:v>06.05.2024</c:v>
                </c:pt>
                <c:pt idx="867">
                  <c:v>07.05.2024</c:v>
                </c:pt>
                <c:pt idx="868">
                  <c:v>08.05.2024</c:v>
                </c:pt>
                <c:pt idx="869">
                  <c:v>09.05.2024</c:v>
                </c:pt>
                <c:pt idx="870">
                  <c:v>13.05.2024</c:v>
                </c:pt>
                <c:pt idx="871">
                  <c:v>14.05.2024</c:v>
                </c:pt>
                <c:pt idx="872">
                  <c:v>15.05.2024</c:v>
                </c:pt>
                <c:pt idx="873">
                  <c:v>16.05.2024</c:v>
                </c:pt>
                <c:pt idx="874">
                  <c:v>20.05.2024</c:v>
                </c:pt>
                <c:pt idx="875">
                  <c:v>21.05.2024</c:v>
                </c:pt>
                <c:pt idx="876">
                  <c:v>22.05.2024</c:v>
                </c:pt>
                <c:pt idx="877">
                  <c:v>23.05.2024</c:v>
                </c:pt>
                <c:pt idx="878">
                  <c:v>28.05.2024</c:v>
                </c:pt>
                <c:pt idx="879">
                  <c:v>29.05.2024</c:v>
                </c:pt>
                <c:pt idx="880">
                  <c:v>30.05.2024</c:v>
                </c:pt>
                <c:pt idx="881">
                  <c:v>03.06.2024</c:v>
                </c:pt>
                <c:pt idx="882">
                  <c:v>04.06.2024</c:v>
                </c:pt>
                <c:pt idx="883">
                  <c:v>05.06.2024</c:v>
                </c:pt>
                <c:pt idx="884">
                  <c:v>06.06.2024</c:v>
                </c:pt>
                <c:pt idx="885">
                  <c:v>10.06.2024</c:v>
                </c:pt>
                <c:pt idx="886">
                  <c:v>11.06.2024</c:v>
                </c:pt>
                <c:pt idx="887">
                  <c:v>12.06.2024</c:v>
                </c:pt>
                <c:pt idx="888">
                  <c:v>13.06.2024</c:v>
                </c:pt>
                <c:pt idx="889">
                  <c:v>17.06.2024</c:v>
                </c:pt>
                <c:pt idx="890">
                  <c:v>18.06.2024</c:v>
                </c:pt>
                <c:pt idx="891">
                  <c:v>20.06.2024</c:v>
                </c:pt>
                <c:pt idx="892">
                  <c:v>24.06.2024</c:v>
                </c:pt>
                <c:pt idx="893">
                  <c:v>25.06.2024</c:v>
                </c:pt>
                <c:pt idx="894">
                  <c:v>26.06.2024</c:v>
                </c:pt>
                <c:pt idx="895">
                  <c:v>27.06.2024</c:v>
                </c:pt>
                <c:pt idx="896">
                  <c:v>01.07.2024</c:v>
                </c:pt>
                <c:pt idx="897">
                  <c:v>02.07.2024</c:v>
                </c:pt>
                <c:pt idx="898">
                  <c:v>03.07.2024</c:v>
                </c:pt>
                <c:pt idx="899">
                  <c:v>08.07.2024</c:v>
                </c:pt>
                <c:pt idx="900">
                  <c:v>09.07.2024</c:v>
                </c:pt>
                <c:pt idx="901">
                  <c:v>10.07.2024</c:v>
                </c:pt>
                <c:pt idx="902">
                  <c:v>11.07.2024</c:v>
                </c:pt>
                <c:pt idx="903">
                  <c:v>15.07.2024</c:v>
                </c:pt>
                <c:pt idx="904">
                  <c:v>16.07.2024</c:v>
                </c:pt>
                <c:pt idx="905">
                  <c:v>17.07.2024</c:v>
                </c:pt>
                <c:pt idx="906">
                  <c:v>18.07.2024</c:v>
                </c:pt>
                <c:pt idx="907">
                  <c:v>22.07.2024</c:v>
                </c:pt>
                <c:pt idx="908">
                  <c:v>23.07.2024</c:v>
                </c:pt>
                <c:pt idx="909">
                  <c:v>24.07.2024</c:v>
                </c:pt>
                <c:pt idx="910">
                  <c:v>25.07.2024</c:v>
                </c:pt>
                <c:pt idx="911">
                  <c:v>29.07.2024</c:v>
                </c:pt>
                <c:pt idx="912">
                  <c:v>30.07.2024</c:v>
                </c:pt>
                <c:pt idx="913">
                  <c:v>31.07.2024</c:v>
                </c:pt>
                <c:pt idx="914">
                  <c:v>01.08.2024</c:v>
                </c:pt>
                <c:pt idx="915">
                  <c:v>05.08.2024</c:v>
                </c:pt>
                <c:pt idx="916">
                  <c:v>06.08.2024</c:v>
                </c:pt>
                <c:pt idx="917">
                  <c:v>07.08.2024</c:v>
                </c:pt>
                <c:pt idx="918">
                  <c:v>08.08.2024</c:v>
                </c:pt>
                <c:pt idx="919">
                  <c:v>12.08.2024</c:v>
                </c:pt>
                <c:pt idx="920">
                  <c:v>13.08.2024</c:v>
                </c:pt>
                <c:pt idx="921">
                  <c:v>14.08.2024</c:v>
                </c:pt>
                <c:pt idx="922">
                  <c:v>15.08.2024</c:v>
                </c:pt>
                <c:pt idx="923">
                  <c:v>19.08.2024</c:v>
                </c:pt>
                <c:pt idx="924">
                  <c:v>20.08.2024</c:v>
                </c:pt>
                <c:pt idx="925">
                  <c:v>21.08.2024</c:v>
                </c:pt>
                <c:pt idx="926">
                  <c:v>22.08.2024</c:v>
                </c:pt>
                <c:pt idx="927">
                  <c:v>26.08.2024</c:v>
                </c:pt>
                <c:pt idx="928">
                  <c:v>27.08.2024</c:v>
                </c:pt>
                <c:pt idx="929">
                  <c:v>28.08.2024</c:v>
                </c:pt>
                <c:pt idx="930">
                  <c:v>29.08.2024</c:v>
                </c:pt>
                <c:pt idx="931">
                  <c:v>03.09.2024</c:v>
                </c:pt>
                <c:pt idx="932">
                  <c:v>04.09.2024</c:v>
                </c:pt>
                <c:pt idx="933">
                  <c:v>05.09.2024</c:v>
                </c:pt>
                <c:pt idx="934">
                  <c:v>09.09.2024</c:v>
                </c:pt>
                <c:pt idx="935">
                  <c:v>10.09.2024</c:v>
                </c:pt>
                <c:pt idx="936">
                  <c:v>11.09.2024</c:v>
                </c:pt>
                <c:pt idx="937">
                  <c:v>12.09.2024</c:v>
                </c:pt>
                <c:pt idx="938">
                  <c:v>16.09.2024</c:v>
                </c:pt>
                <c:pt idx="939">
                  <c:v>17.09.2024</c:v>
                </c:pt>
                <c:pt idx="940">
                  <c:v>18.09.2024</c:v>
                </c:pt>
                <c:pt idx="941">
                  <c:v>19.09.2024</c:v>
                </c:pt>
                <c:pt idx="942">
                  <c:v>23.09.2024</c:v>
                </c:pt>
                <c:pt idx="943">
                  <c:v>24.09.2024</c:v>
                </c:pt>
                <c:pt idx="944">
                  <c:v>25.09.2024</c:v>
                </c:pt>
                <c:pt idx="945">
                  <c:v>26.09.2024</c:v>
                </c:pt>
                <c:pt idx="946">
                  <c:v>30.09.2024</c:v>
                </c:pt>
                <c:pt idx="947">
                  <c:v>01.10.2024</c:v>
                </c:pt>
                <c:pt idx="948">
                  <c:v>02.10.2024</c:v>
                </c:pt>
                <c:pt idx="949">
                  <c:v>03.10.2024</c:v>
                </c:pt>
                <c:pt idx="950">
                  <c:v>07.10.2024</c:v>
                </c:pt>
                <c:pt idx="951">
                  <c:v>08.10.2024</c:v>
                </c:pt>
                <c:pt idx="952">
                  <c:v>09.10.2024</c:v>
                </c:pt>
                <c:pt idx="953">
                  <c:v>10.10.2024</c:v>
                </c:pt>
                <c:pt idx="954">
                  <c:v>14.10.2024</c:v>
                </c:pt>
                <c:pt idx="955">
                  <c:v>15.10.2024</c:v>
                </c:pt>
                <c:pt idx="956">
                  <c:v>16.10.2024</c:v>
                </c:pt>
                <c:pt idx="957">
                  <c:v>17.10.2024</c:v>
                </c:pt>
                <c:pt idx="958">
                  <c:v>21.10.2024</c:v>
                </c:pt>
                <c:pt idx="959">
                  <c:v>22.10.2024</c:v>
                </c:pt>
                <c:pt idx="960">
                  <c:v>23.10.2024</c:v>
                </c:pt>
                <c:pt idx="961">
                  <c:v>24.10.2024</c:v>
                </c:pt>
                <c:pt idx="962">
                  <c:v>28.10.2024</c:v>
                </c:pt>
                <c:pt idx="963">
                  <c:v>29.10.2024</c:v>
                </c:pt>
                <c:pt idx="964">
                  <c:v>30.10.2024</c:v>
                </c:pt>
                <c:pt idx="965">
                  <c:v>31.10.2024</c:v>
                </c:pt>
                <c:pt idx="966">
                  <c:v>04.11.2024</c:v>
                </c:pt>
                <c:pt idx="967">
                  <c:v>05.11.2024</c:v>
                </c:pt>
                <c:pt idx="968">
                  <c:v>06.11.2024</c:v>
                </c:pt>
                <c:pt idx="969">
                  <c:v>07.11.2024</c:v>
                </c:pt>
                <c:pt idx="970">
                  <c:v>11.11.2024</c:v>
                </c:pt>
                <c:pt idx="971">
                  <c:v>12.11.2024</c:v>
                </c:pt>
                <c:pt idx="972">
                  <c:v>13.11.2024</c:v>
                </c:pt>
                <c:pt idx="973">
                  <c:v>14.11.2024</c:v>
                </c:pt>
                <c:pt idx="974">
                  <c:v>18.11.2024</c:v>
                </c:pt>
                <c:pt idx="975">
                  <c:v>19.11.2024</c:v>
                </c:pt>
                <c:pt idx="976">
                  <c:v>20.11.2024</c:v>
                </c:pt>
                <c:pt idx="977">
                  <c:v>21.11.2024</c:v>
                </c:pt>
                <c:pt idx="978">
                  <c:v>25.11.2024</c:v>
                </c:pt>
                <c:pt idx="979">
                  <c:v>26.11.2024</c:v>
                </c:pt>
                <c:pt idx="980">
                  <c:v>27.11.2024</c:v>
                </c:pt>
                <c:pt idx="981">
                  <c:v>02.12.2024</c:v>
                </c:pt>
                <c:pt idx="982">
                  <c:v>03.12.2024</c:v>
                </c:pt>
                <c:pt idx="983">
                  <c:v>04.12.2024</c:v>
                </c:pt>
                <c:pt idx="984">
                  <c:v>05.12.2024</c:v>
                </c:pt>
                <c:pt idx="985">
                  <c:v>09.12.2024</c:v>
                </c:pt>
                <c:pt idx="986">
                  <c:v>10.12.2024</c:v>
                </c:pt>
                <c:pt idx="987">
                  <c:v>11.12.2024</c:v>
                </c:pt>
                <c:pt idx="988">
                  <c:v>12.12.2024</c:v>
                </c:pt>
                <c:pt idx="989">
                  <c:v>16.12.2024</c:v>
                </c:pt>
                <c:pt idx="990">
                  <c:v>17.12.2024</c:v>
                </c:pt>
                <c:pt idx="991">
                  <c:v>18.12.2024</c:v>
                </c:pt>
                <c:pt idx="992">
                  <c:v>19.12.2024</c:v>
                </c:pt>
                <c:pt idx="993">
                  <c:v>23.12.2024</c:v>
                </c:pt>
                <c:pt idx="994">
                  <c:v>26.12.2024</c:v>
                </c:pt>
                <c:pt idx="995">
                  <c:v>30.12.2024</c:v>
                </c:pt>
                <c:pt idx="996">
                  <c:v>02.01.2025</c:v>
                </c:pt>
                <c:pt idx="997">
                  <c:v>06.01.2025</c:v>
                </c:pt>
                <c:pt idx="998">
                  <c:v>07.01.2025</c:v>
                </c:pt>
                <c:pt idx="999">
                  <c:v>08.01.2025</c:v>
                </c:pt>
                <c:pt idx="1000">
                  <c:v>09.01.2025</c:v>
                </c:pt>
                <c:pt idx="1001">
                  <c:v>13.01.2025</c:v>
                </c:pt>
                <c:pt idx="1002">
                  <c:v>14.01.2025</c:v>
                </c:pt>
                <c:pt idx="1003">
                  <c:v>15.01.2025</c:v>
                </c:pt>
                <c:pt idx="1004">
                  <c:v>16.01.2025</c:v>
                </c:pt>
                <c:pt idx="1005">
                  <c:v>21.01.2025</c:v>
                </c:pt>
                <c:pt idx="1006">
                  <c:v>22.01.2025</c:v>
                </c:pt>
                <c:pt idx="1007">
                  <c:v>23.01.2025</c:v>
                </c:pt>
                <c:pt idx="1008">
                  <c:v>27.01.2025</c:v>
                </c:pt>
                <c:pt idx="1009">
                  <c:v>28.01.2025</c:v>
                </c:pt>
                <c:pt idx="1010">
                  <c:v>29.01.2025</c:v>
                </c:pt>
                <c:pt idx="1011">
                  <c:v>30.01.2025</c:v>
                </c:pt>
                <c:pt idx="1012">
                  <c:v>03.02.2025</c:v>
                </c:pt>
                <c:pt idx="1013">
                  <c:v>04.02.2025</c:v>
                </c:pt>
                <c:pt idx="1014">
                  <c:v>05.02.2025</c:v>
                </c:pt>
                <c:pt idx="1015">
                  <c:v>06.02.2025</c:v>
                </c:pt>
                <c:pt idx="1016">
                  <c:v>10.02.2025</c:v>
                </c:pt>
                <c:pt idx="1017">
                  <c:v>11.02.2025</c:v>
                </c:pt>
                <c:pt idx="1018">
                  <c:v>12.02.2025</c:v>
                </c:pt>
                <c:pt idx="1019">
                  <c:v>13.02.2025</c:v>
                </c:pt>
                <c:pt idx="1020">
                  <c:v>18.02.2025</c:v>
                </c:pt>
                <c:pt idx="1021">
                  <c:v>19.02.2025</c:v>
                </c:pt>
                <c:pt idx="1022">
                  <c:v>20.02.2025</c:v>
                </c:pt>
                <c:pt idx="1023">
                  <c:v>24.02.2025</c:v>
                </c:pt>
                <c:pt idx="1024">
                  <c:v>25.02.2025</c:v>
                </c:pt>
                <c:pt idx="1025">
                  <c:v>26.02.2025</c:v>
                </c:pt>
                <c:pt idx="1026">
                  <c:v>27.02.2025</c:v>
                </c:pt>
                <c:pt idx="1027">
                  <c:v>03.03.2025</c:v>
                </c:pt>
                <c:pt idx="1028">
                  <c:v>04.03.2025</c:v>
                </c:pt>
                <c:pt idx="1029">
                  <c:v>05.03.2025</c:v>
                </c:pt>
                <c:pt idx="1030">
                  <c:v>06.03.2025</c:v>
                </c:pt>
                <c:pt idx="1031">
                  <c:v>10.03.2025</c:v>
                </c:pt>
                <c:pt idx="1032">
                  <c:v>11.03.2025</c:v>
                </c:pt>
                <c:pt idx="1033">
                  <c:v>12.03.2025</c:v>
                </c:pt>
                <c:pt idx="1034">
                  <c:v>13.03.2025</c:v>
                </c:pt>
                <c:pt idx="1035">
                  <c:v>17.03.2025</c:v>
                </c:pt>
                <c:pt idx="1036">
                  <c:v>18.03.2025</c:v>
                </c:pt>
                <c:pt idx="1037">
                  <c:v>19.03.2025</c:v>
                </c:pt>
                <c:pt idx="1038">
                  <c:v>20.03.2025</c:v>
                </c:pt>
                <c:pt idx="1039">
                  <c:v>24.03.2025</c:v>
                </c:pt>
                <c:pt idx="1040">
                  <c:v>25.03.2025</c:v>
                </c:pt>
                <c:pt idx="1041">
                  <c:v>26.03.2025</c:v>
                </c:pt>
                <c:pt idx="1042">
                  <c:v>27.03.2025</c:v>
                </c:pt>
                <c:pt idx="1043">
                  <c:v>31.03.2025</c:v>
                </c:pt>
                <c:pt idx="1044">
                  <c:v>01.04.2025</c:v>
                </c:pt>
                <c:pt idx="1045">
                  <c:v>02.04.2025</c:v>
                </c:pt>
                <c:pt idx="1046">
                  <c:v>03.04.2025</c:v>
                </c:pt>
                <c:pt idx="1047">
                  <c:v>07.04.2025</c:v>
                </c:pt>
                <c:pt idx="1048">
                  <c:v>08.04.2025</c:v>
                </c:pt>
                <c:pt idx="1049">
                  <c:v>09.04.2025</c:v>
                </c:pt>
                <c:pt idx="1050">
                  <c:v>10.04.2025</c:v>
                </c:pt>
                <c:pt idx="1051">
                  <c:v>14.04.2025</c:v>
                </c:pt>
                <c:pt idx="1052">
                  <c:v>15.04.2025</c:v>
                </c:pt>
                <c:pt idx="1053">
                  <c:v>16.04.2025</c:v>
                </c:pt>
                <c:pt idx="1054">
                  <c:v>21.04.2025</c:v>
                </c:pt>
                <c:pt idx="1055">
                  <c:v>22.04.2025</c:v>
                </c:pt>
                <c:pt idx="1056">
                  <c:v>23.04.2025</c:v>
                </c:pt>
                <c:pt idx="1057">
                  <c:v>24.04.2025</c:v>
                </c:pt>
                <c:pt idx="1058">
                  <c:v>28.04.2025</c:v>
                </c:pt>
                <c:pt idx="1059">
                  <c:v>29.04.2025</c:v>
                </c:pt>
                <c:pt idx="1060">
                  <c:v>30.04.2025</c:v>
                </c:pt>
                <c:pt idx="1061">
                  <c:v>01.05.2025</c:v>
                </c:pt>
                <c:pt idx="1062">
                  <c:v>05.05.2025</c:v>
                </c:pt>
                <c:pt idx="1063">
                  <c:v>06.05.2025</c:v>
                </c:pt>
                <c:pt idx="1064">
                  <c:v>07.05.2025</c:v>
                </c:pt>
                <c:pt idx="1065">
                  <c:v>08.05.2025</c:v>
                </c:pt>
                <c:pt idx="1066">
                  <c:v>12.05.2025</c:v>
                </c:pt>
                <c:pt idx="1067">
                  <c:v>13.05.2025</c:v>
                </c:pt>
                <c:pt idx="1068">
                  <c:v>14.05.2025</c:v>
                </c:pt>
                <c:pt idx="1069">
                  <c:v>15.05.2025</c:v>
                </c:pt>
                <c:pt idx="1070">
                  <c:v>19.05.2025</c:v>
                </c:pt>
                <c:pt idx="1071">
                  <c:v>20.05.2025</c:v>
                </c:pt>
                <c:pt idx="1072">
                  <c:v>21.05.2025</c:v>
                </c:pt>
                <c:pt idx="1073">
                  <c:v>22.05.2025</c:v>
                </c:pt>
                <c:pt idx="1074">
                  <c:v>25.05.2025</c:v>
                </c:pt>
                <c:pt idx="1075">
                  <c:v>27.05.2025</c:v>
                </c:pt>
                <c:pt idx="1076">
                  <c:v>28.05.2025</c:v>
                </c:pt>
                <c:pt idx="1077">
                  <c:v>29.05.2025</c:v>
                </c:pt>
                <c:pt idx="1078">
                  <c:v>02.06.2025</c:v>
                </c:pt>
                <c:pt idx="1079">
                  <c:v>03.06.2025</c:v>
                </c:pt>
                <c:pt idx="1080">
                  <c:v>04.06.2025</c:v>
                </c:pt>
                <c:pt idx="1081">
                  <c:v>05.06.2025</c:v>
                </c:pt>
                <c:pt idx="1082">
                  <c:v>09.06.2025</c:v>
                </c:pt>
                <c:pt idx="1083">
                  <c:v>10.06.2025</c:v>
                </c:pt>
                <c:pt idx="1084">
                  <c:v>11.06.2025</c:v>
                </c:pt>
                <c:pt idx="1085">
                  <c:v>12.06.2025</c:v>
                </c:pt>
                <c:pt idx="1086">
                  <c:v>16.06.2025</c:v>
                </c:pt>
                <c:pt idx="1087">
                  <c:v>17.06.2025</c:v>
                </c:pt>
                <c:pt idx="1088">
                  <c:v>18.06.2025</c:v>
                </c:pt>
                <c:pt idx="1089">
                  <c:v>23.06.2025</c:v>
                </c:pt>
                <c:pt idx="1090">
                  <c:v>24.06.2025</c:v>
                </c:pt>
                <c:pt idx="1091">
                  <c:v>25.06.2025</c:v>
                </c:pt>
                <c:pt idx="1092">
                  <c:v>26.06.2025</c:v>
                </c:pt>
                <c:pt idx="1093">
                  <c:v>30.06.2025</c:v>
                </c:pt>
                <c:pt idx="1094">
                  <c:v>01.07.2025</c:v>
                </c:pt>
                <c:pt idx="1095">
                  <c:v>02.07.2025</c:v>
                </c:pt>
                <c:pt idx="1096">
                  <c:v>03.07.2025</c:v>
                </c:pt>
                <c:pt idx="1097">
                  <c:v>07.07.2025</c:v>
                </c:pt>
                <c:pt idx="1098">
                  <c:v>08.07.2025</c:v>
                </c:pt>
                <c:pt idx="1099">
                  <c:v>09.07.2025</c:v>
                </c:pt>
                <c:pt idx="1100">
                  <c:v>10.07.2025</c:v>
                </c:pt>
                <c:pt idx="1101">
                  <c:v>14.07.2025</c:v>
                </c:pt>
                <c:pt idx="1102">
                  <c:v>15.07.2025</c:v>
                </c:pt>
                <c:pt idx="1103">
                  <c:v>16.07.2025</c:v>
                </c:pt>
                <c:pt idx="1104">
                  <c:v>17.07.2025</c:v>
                </c:pt>
                <c:pt idx="1105">
                  <c:v>21.07.2025</c:v>
                </c:pt>
                <c:pt idx="1106">
                  <c:v>22.07.2025</c:v>
                </c:pt>
                <c:pt idx="1107">
                  <c:v>23.07.2025</c:v>
                </c:pt>
                <c:pt idx="1108">
                  <c:v>24.07.2025</c:v>
                </c:pt>
                <c:pt idx="1109">
                  <c:v>28.07.2025</c:v>
                </c:pt>
                <c:pt idx="1110">
                  <c:v>29.07.2025</c:v>
                </c:pt>
                <c:pt idx="1111">
                  <c:v>30.07.2025</c:v>
                </c:pt>
                <c:pt idx="1112">
                  <c:v>31.07.2025</c:v>
                </c:pt>
                <c:pt idx="1113">
                  <c:v>04.08.2025</c:v>
                </c:pt>
                <c:pt idx="1114">
                  <c:v>05.08.2025</c:v>
                </c:pt>
                <c:pt idx="1115">
                  <c:v>06.08.2025</c:v>
                </c:pt>
                <c:pt idx="1116">
                  <c:v>07.08.2025</c:v>
                </c:pt>
                <c:pt idx="1117">
                  <c:v>11.08.2025</c:v>
                </c:pt>
                <c:pt idx="1118">
                  <c:v>12.08.2025</c:v>
                </c:pt>
                <c:pt idx="1119">
                  <c:v>13.08.2025</c:v>
                </c:pt>
                <c:pt idx="1120">
                  <c:v>14.08.2025</c:v>
                </c:pt>
                <c:pt idx="1121">
                  <c:v>18.08.2025</c:v>
                </c:pt>
                <c:pt idx="1122">
                  <c:v>19.08.2025</c:v>
                </c:pt>
                <c:pt idx="1123">
                  <c:v>20.08.2025</c:v>
                </c:pt>
                <c:pt idx="1124">
                  <c:v>21.08.2025</c:v>
                </c:pt>
                <c:pt idx="1125">
                  <c:v>25.08.2025</c:v>
                </c:pt>
                <c:pt idx="1126">
                  <c:v>26.08.2025</c:v>
                </c:pt>
                <c:pt idx="1127">
                  <c:v>27.08.2025</c:v>
                </c:pt>
                <c:pt idx="1128">
                  <c:v>28.08.2025</c:v>
                </c:pt>
                <c:pt idx="1129">
                  <c:v>31.08.2025</c:v>
                </c:pt>
                <c:pt idx="1130">
                  <c:v>02.09.2025</c:v>
                </c:pt>
                <c:pt idx="1131">
                  <c:v>03.09.2025</c:v>
                </c:pt>
                <c:pt idx="1132">
                  <c:v>04.09.2025</c:v>
                </c:pt>
                <c:pt idx="1133">
                  <c:v>08.09.2025</c:v>
                </c:pt>
                <c:pt idx="1134">
                  <c:v>09.09.2025</c:v>
                </c:pt>
                <c:pt idx="1135">
                  <c:v>10.09.2025</c:v>
                </c:pt>
                <c:pt idx="1136">
                  <c:v>11.09.2025</c:v>
                </c:pt>
                <c:pt idx="1137">
                  <c:v>15.09.2025</c:v>
                </c:pt>
                <c:pt idx="1138">
                  <c:v>16.09.2025</c:v>
                </c:pt>
                <c:pt idx="1139">
                  <c:v>17.09.2025</c:v>
                </c:pt>
                <c:pt idx="1140">
                  <c:v>18.09.2025</c:v>
                </c:pt>
                <c:pt idx="1141">
                  <c:v>22.09.2025</c:v>
                </c:pt>
                <c:pt idx="1142">
                  <c:v>23.09.2025</c:v>
                </c:pt>
                <c:pt idx="1143">
                  <c:v>24.09.2025</c:v>
                </c:pt>
                <c:pt idx="1144">
                  <c:v>25.09.2025</c:v>
                </c:pt>
                <c:pt idx="1145">
                  <c:v>29.09.2025</c:v>
                </c:pt>
                <c:pt idx="1146">
                  <c:v>30.09.2025</c:v>
                </c:pt>
                <c:pt idx="1147">
                  <c:v>01.10.2025</c:v>
                </c:pt>
                <c:pt idx="1148">
                  <c:v>02.10.2025</c:v>
                </c:pt>
                <c:pt idx="1149">
                  <c:v>06.10.2025</c:v>
                </c:pt>
                <c:pt idx="1150">
                  <c:v>07.10.2025</c:v>
                </c:pt>
                <c:pt idx="1151">
                  <c:v>08.10.2025</c:v>
                </c:pt>
                <c:pt idx="1152">
                  <c:v>09.10.2025</c:v>
                </c:pt>
                <c:pt idx="1153">
                  <c:v>13.10.2025</c:v>
                </c:pt>
                <c:pt idx="1154">
                  <c:v>14.10.2025</c:v>
                </c:pt>
                <c:pt idx="1155">
                  <c:v>15.10.2025</c:v>
                </c:pt>
                <c:pt idx="1156">
                  <c:v>16.10.2025</c:v>
                </c:pt>
                <c:pt idx="1157">
                  <c:v>20.10.2025</c:v>
                </c:pt>
                <c:pt idx="1158">
                  <c:v>21.10.2025</c:v>
                </c:pt>
                <c:pt idx="1159">
                  <c:v>22.10.2025</c:v>
                </c:pt>
                <c:pt idx="1160">
                  <c:v>23.10.2025</c:v>
                </c:pt>
                <c:pt idx="1161">
                  <c:v>27.10.2025</c:v>
                </c:pt>
                <c:pt idx="1162">
                  <c:v>28.10.2025</c:v>
                </c:pt>
                <c:pt idx="1163">
                  <c:v>29.10.2025</c:v>
                </c:pt>
                <c:pt idx="1164">
                  <c:v>30.10.2025</c:v>
                </c:pt>
                <c:pt idx="1165">
                  <c:v>03.11.2025</c:v>
                </c:pt>
                <c:pt idx="1166">
                  <c:v>04.11.2025</c:v>
                </c:pt>
                <c:pt idx="1167">
                  <c:v>05.11.2025</c:v>
                </c:pt>
                <c:pt idx="1168">
                  <c:v>06.11.2025</c:v>
                </c:pt>
                <c:pt idx="1169">
                  <c:v>10.11.2025</c:v>
                </c:pt>
                <c:pt idx="1170">
                  <c:v>11.11.2025</c:v>
                </c:pt>
                <c:pt idx="1171">
                  <c:v>12.11.2025</c:v>
                </c:pt>
                <c:pt idx="1172">
                  <c:v>13.11.2025</c:v>
                </c:pt>
                <c:pt idx="1173">
                  <c:v>17.11.2025</c:v>
                </c:pt>
                <c:pt idx="1174">
                  <c:v>18.11.2025</c:v>
                </c:pt>
                <c:pt idx="1175">
                  <c:v>19.11.2025</c:v>
                </c:pt>
                <c:pt idx="1176">
                  <c:v>20.11.2025</c:v>
                </c:pt>
                <c:pt idx="1177">
                  <c:v>24.11.2025</c:v>
                </c:pt>
                <c:pt idx="1178">
                  <c:v>25.11.2025</c:v>
                </c:pt>
                <c:pt idx="1179">
                  <c:v>26.11.2025</c:v>
                </c:pt>
                <c:pt idx="1180">
                  <c:v>01.12.2025</c:v>
                </c:pt>
                <c:pt idx="1181">
                  <c:v>02.12.2025</c:v>
                </c:pt>
                <c:pt idx="1182">
                  <c:v>03.12.2025</c:v>
                </c:pt>
                <c:pt idx="1183">
                  <c:v>04.12.2025</c:v>
                </c:pt>
                <c:pt idx="1184">
                  <c:v>08.12.2025</c:v>
                </c:pt>
                <c:pt idx="1185">
                  <c:v>09.12.2025</c:v>
                </c:pt>
                <c:pt idx="1186">
                  <c:v>10.12.2025</c:v>
                </c:pt>
                <c:pt idx="1187">
                  <c:v>11.12.2025</c:v>
                </c:pt>
                <c:pt idx="1188">
                  <c:v>15.12.2025</c:v>
                </c:pt>
                <c:pt idx="1189">
                  <c:v>16.12.2025</c:v>
                </c:pt>
                <c:pt idx="1190">
                  <c:v>17.12.2025</c:v>
                </c:pt>
                <c:pt idx="1191">
                  <c:v>18.12.2025</c:v>
                </c:pt>
                <c:pt idx="1192">
                  <c:v>22.12.2025</c:v>
                </c:pt>
                <c:pt idx="1193">
                  <c:v>23.12.2025</c:v>
                </c:pt>
                <c:pt idx="1194">
                  <c:v>25.12.2025</c:v>
                </c:pt>
                <c:pt idx="1195">
                  <c:v>29.12.2025</c:v>
                </c:pt>
                <c:pt idx="1196">
                  <c:v>30.12.2025</c:v>
                </c:pt>
              </c:strCache>
            </c:strRef>
          </c:cat>
          <c:val>
            <c:numRef>
              <c:f>Analysis!$C$2:$C$1198</c:f>
              <c:numCache>
                <c:formatCode>General</c:formatCode>
                <c:ptCount val="1197"/>
                <c:pt idx="0">
                  <c:v>18.045999999999999</c:v>
                </c:pt>
                <c:pt idx="1">
                  <c:v>18.178999999999998</c:v>
                </c:pt>
                <c:pt idx="2">
                  <c:v>18.393000000000001</c:v>
                </c:pt>
                <c:pt idx="3">
                  <c:v>18.167000000000002</c:v>
                </c:pt>
                <c:pt idx="4">
                  <c:v>17.936</c:v>
                </c:pt>
                <c:pt idx="5">
                  <c:v>17.995999999999999</c:v>
                </c:pt>
                <c:pt idx="6">
                  <c:v>17.742000000000001</c:v>
                </c:pt>
                <c:pt idx="7">
                  <c:v>17.988</c:v>
                </c:pt>
                <c:pt idx="8">
                  <c:v>17.939</c:v>
                </c:pt>
                <c:pt idx="9">
                  <c:v>17.808</c:v>
                </c:pt>
                <c:pt idx="10">
                  <c:v>17.827999999999999</c:v>
                </c:pt>
                <c:pt idx="11">
                  <c:v>17.829000000000001</c:v>
                </c:pt>
                <c:pt idx="12">
                  <c:v>18.056000000000001</c:v>
                </c:pt>
                <c:pt idx="13">
                  <c:v>17.457999999999998</c:v>
                </c:pt>
                <c:pt idx="14">
                  <c:v>17.486999999999998</c:v>
                </c:pt>
                <c:pt idx="15">
                  <c:v>18.032</c:v>
                </c:pt>
                <c:pt idx="16">
                  <c:v>17.712</c:v>
                </c:pt>
                <c:pt idx="17">
                  <c:v>17.600000000000001</c:v>
                </c:pt>
                <c:pt idx="18">
                  <c:v>17.643000000000001</c:v>
                </c:pt>
                <c:pt idx="19">
                  <c:v>17.856999999999999</c:v>
                </c:pt>
                <c:pt idx="20">
                  <c:v>17.826000000000001</c:v>
                </c:pt>
                <c:pt idx="21">
                  <c:v>17.638000000000002</c:v>
                </c:pt>
                <c:pt idx="22">
                  <c:v>17.536999999999999</c:v>
                </c:pt>
                <c:pt idx="23">
                  <c:v>17.66</c:v>
                </c:pt>
                <c:pt idx="24">
                  <c:v>18.192</c:v>
                </c:pt>
                <c:pt idx="25">
                  <c:v>18.359000000000002</c:v>
                </c:pt>
                <c:pt idx="26">
                  <c:v>18.367000000000001</c:v>
                </c:pt>
                <c:pt idx="27">
                  <c:v>18.922999999999998</c:v>
                </c:pt>
                <c:pt idx="28">
                  <c:v>18.228999999999999</c:v>
                </c:pt>
                <c:pt idx="29">
                  <c:v>17.873999999999999</c:v>
                </c:pt>
                <c:pt idx="30">
                  <c:v>17.734999999999999</c:v>
                </c:pt>
                <c:pt idx="31">
                  <c:v>16.739000000000001</c:v>
                </c:pt>
                <c:pt idx="32">
                  <c:v>17.187999999999999</c:v>
                </c:pt>
                <c:pt idx="33">
                  <c:v>17.245999999999999</c:v>
                </c:pt>
                <c:pt idx="34">
                  <c:v>17.393000000000001</c:v>
                </c:pt>
                <c:pt idx="35">
                  <c:v>17.053999999999998</c:v>
                </c:pt>
                <c:pt idx="36">
                  <c:v>16.954999999999998</c:v>
                </c:pt>
                <c:pt idx="37">
                  <c:v>16.776</c:v>
                </c:pt>
                <c:pt idx="38">
                  <c:v>16.004999999999999</c:v>
                </c:pt>
                <c:pt idx="39">
                  <c:v>12.816000000000001</c:v>
                </c:pt>
                <c:pt idx="40">
                  <c:v>12.494999999999999</c:v>
                </c:pt>
                <c:pt idx="41">
                  <c:v>11.772</c:v>
                </c:pt>
                <c:pt idx="42">
                  <c:v>12.134</c:v>
                </c:pt>
                <c:pt idx="43">
                  <c:v>13.260999999999999</c:v>
                </c:pt>
                <c:pt idx="44">
                  <c:v>14.257</c:v>
                </c:pt>
                <c:pt idx="45">
                  <c:v>14.872999999999999</c:v>
                </c:pt>
                <c:pt idx="46">
                  <c:v>14.676</c:v>
                </c:pt>
                <c:pt idx="47">
                  <c:v>14.156000000000001</c:v>
                </c:pt>
                <c:pt idx="48">
                  <c:v>14.18</c:v>
                </c:pt>
                <c:pt idx="49">
                  <c:v>14.007999999999999</c:v>
                </c:pt>
                <c:pt idx="50">
                  <c:v>14.678000000000001</c:v>
                </c:pt>
                <c:pt idx="51">
                  <c:v>15.193</c:v>
                </c:pt>
                <c:pt idx="52">
                  <c:v>15.504</c:v>
                </c:pt>
                <c:pt idx="53">
                  <c:v>15.228999999999999</c:v>
                </c:pt>
                <c:pt idx="54">
                  <c:v>15.561</c:v>
                </c:pt>
                <c:pt idx="55">
                  <c:v>16.154</c:v>
                </c:pt>
                <c:pt idx="56">
                  <c:v>15.529</c:v>
                </c:pt>
                <c:pt idx="57">
                  <c:v>15.646000000000001</c:v>
                </c:pt>
                <c:pt idx="58">
                  <c:v>15.638</c:v>
                </c:pt>
                <c:pt idx="59">
                  <c:v>14.9</c:v>
                </c:pt>
                <c:pt idx="60">
                  <c:v>15.359</c:v>
                </c:pt>
                <c:pt idx="61">
                  <c:v>15.381</c:v>
                </c:pt>
                <c:pt idx="62">
                  <c:v>15.298999999999999</c:v>
                </c:pt>
                <c:pt idx="63">
                  <c:v>15.26</c:v>
                </c:pt>
                <c:pt idx="64">
                  <c:v>15.315</c:v>
                </c:pt>
                <c:pt idx="65">
                  <c:v>14.973000000000001</c:v>
                </c:pt>
                <c:pt idx="66">
                  <c:v>14.795999999999999</c:v>
                </c:pt>
                <c:pt idx="67">
                  <c:v>15.11</c:v>
                </c:pt>
                <c:pt idx="68">
                  <c:v>15.015000000000001</c:v>
                </c:pt>
                <c:pt idx="69">
                  <c:v>15.59</c:v>
                </c:pt>
                <c:pt idx="70">
                  <c:v>15.68</c:v>
                </c:pt>
                <c:pt idx="71">
                  <c:v>15.709</c:v>
                </c:pt>
                <c:pt idx="72">
                  <c:v>15.670999999999999</c:v>
                </c:pt>
                <c:pt idx="73">
                  <c:v>16.155999999999999</c:v>
                </c:pt>
                <c:pt idx="74">
                  <c:v>17.468</c:v>
                </c:pt>
                <c:pt idx="75">
                  <c:v>17.901</c:v>
                </c:pt>
                <c:pt idx="76">
                  <c:v>18.030999999999999</c:v>
                </c:pt>
                <c:pt idx="77">
                  <c:v>17.364000000000001</c:v>
                </c:pt>
                <c:pt idx="78">
                  <c:v>17.594999999999999</c:v>
                </c:pt>
                <c:pt idx="79">
                  <c:v>17.757000000000001</c:v>
                </c:pt>
                <c:pt idx="80">
                  <c:v>18.009</c:v>
                </c:pt>
                <c:pt idx="81">
                  <c:v>18.869</c:v>
                </c:pt>
                <c:pt idx="82">
                  <c:v>18.315000000000001</c:v>
                </c:pt>
                <c:pt idx="83">
                  <c:v>18.013000000000002</c:v>
                </c:pt>
                <c:pt idx="84">
                  <c:v>18.116</c:v>
                </c:pt>
                <c:pt idx="85">
                  <c:v>17.995000000000001</c:v>
                </c:pt>
                <c:pt idx="86">
                  <c:v>17.896000000000001</c:v>
                </c:pt>
                <c:pt idx="87">
                  <c:v>17.884</c:v>
                </c:pt>
                <c:pt idx="88">
                  <c:v>17.97</c:v>
                </c:pt>
                <c:pt idx="89">
                  <c:v>17.484000000000002</c:v>
                </c:pt>
                <c:pt idx="90">
                  <c:v>17.734999999999999</c:v>
                </c:pt>
                <c:pt idx="91">
                  <c:v>17.86</c:v>
                </c:pt>
                <c:pt idx="92">
                  <c:v>17.600999999999999</c:v>
                </c:pt>
                <c:pt idx="93">
                  <c:v>17.992000000000001</c:v>
                </c:pt>
                <c:pt idx="94">
                  <c:v>18.155000000000001</c:v>
                </c:pt>
                <c:pt idx="95">
                  <c:v>17.734000000000002</c:v>
                </c:pt>
                <c:pt idx="96">
                  <c:v>17.968</c:v>
                </c:pt>
                <c:pt idx="97">
                  <c:v>18.064</c:v>
                </c:pt>
                <c:pt idx="98">
                  <c:v>18.637</c:v>
                </c:pt>
                <c:pt idx="99">
                  <c:v>18.218</c:v>
                </c:pt>
                <c:pt idx="100">
                  <c:v>18.321999999999999</c:v>
                </c:pt>
                <c:pt idx="101">
                  <c:v>18.582000000000001</c:v>
                </c:pt>
                <c:pt idx="102">
                  <c:v>18.699000000000002</c:v>
                </c:pt>
                <c:pt idx="103">
                  <c:v>19.161000000000001</c:v>
                </c:pt>
                <c:pt idx="104">
                  <c:v>18.962</c:v>
                </c:pt>
                <c:pt idx="105">
                  <c:v>19.788</c:v>
                </c:pt>
                <c:pt idx="106">
                  <c:v>19.53</c:v>
                </c:pt>
                <c:pt idx="107">
                  <c:v>19.760999999999999</c:v>
                </c:pt>
                <c:pt idx="108">
                  <c:v>19.573</c:v>
                </c:pt>
                <c:pt idx="109">
                  <c:v>20.192</c:v>
                </c:pt>
                <c:pt idx="110">
                  <c:v>21.556999999999999</c:v>
                </c:pt>
                <c:pt idx="111">
                  <c:v>23.143999999999998</c:v>
                </c:pt>
                <c:pt idx="112">
                  <c:v>22.988</c:v>
                </c:pt>
                <c:pt idx="113">
                  <c:v>24.501000000000001</c:v>
                </c:pt>
                <c:pt idx="114">
                  <c:v>24.3</c:v>
                </c:pt>
                <c:pt idx="115">
                  <c:v>24.321000000000002</c:v>
                </c:pt>
                <c:pt idx="116">
                  <c:v>23.45</c:v>
                </c:pt>
                <c:pt idx="117">
                  <c:v>24.504999999999999</c:v>
                </c:pt>
                <c:pt idx="118">
                  <c:v>26.091000000000001</c:v>
                </c:pt>
                <c:pt idx="119">
                  <c:v>26.952999999999999</c:v>
                </c:pt>
                <c:pt idx="120">
                  <c:v>28.47</c:v>
                </c:pt>
                <c:pt idx="121">
                  <c:v>29.311</c:v>
                </c:pt>
                <c:pt idx="122">
                  <c:v>26.1</c:v>
                </c:pt>
                <c:pt idx="123">
                  <c:v>26.023</c:v>
                </c:pt>
                <c:pt idx="124">
                  <c:v>27.762</c:v>
                </c:pt>
                <c:pt idx="125">
                  <c:v>27.716999999999999</c:v>
                </c:pt>
                <c:pt idx="126">
                  <c:v>28.114999999999998</c:v>
                </c:pt>
                <c:pt idx="127">
                  <c:v>27.385000000000002</c:v>
                </c:pt>
                <c:pt idx="128">
                  <c:v>27.192</c:v>
                </c:pt>
                <c:pt idx="129">
                  <c:v>26.661000000000001</c:v>
                </c:pt>
                <c:pt idx="130">
                  <c:v>26.327999999999999</c:v>
                </c:pt>
                <c:pt idx="131">
                  <c:v>27.513999999999999</c:v>
                </c:pt>
                <c:pt idx="132">
                  <c:v>27.09</c:v>
                </c:pt>
                <c:pt idx="133">
                  <c:v>28.53</c:v>
                </c:pt>
                <c:pt idx="134">
                  <c:v>28.574999999999999</c:v>
                </c:pt>
                <c:pt idx="135">
                  <c:v>27.343</c:v>
                </c:pt>
                <c:pt idx="136">
                  <c:v>26.827999999999999</c:v>
                </c:pt>
                <c:pt idx="137">
                  <c:v>26.946999999999999</c:v>
                </c:pt>
                <c:pt idx="138">
                  <c:v>27.041</c:v>
                </c:pt>
                <c:pt idx="139">
                  <c:v>27.248999999999999</c:v>
                </c:pt>
                <c:pt idx="140">
                  <c:v>27.31</c:v>
                </c:pt>
                <c:pt idx="141">
                  <c:v>27.428999999999998</c:v>
                </c:pt>
                <c:pt idx="142">
                  <c:v>27.443000000000001</c:v>
                </c:pt>
                <c:pt idx="143">
                  <c:v>27.065999999999999</c:v>
                </c:pt>
                <c:pt idx="144">
                  <c:v>24.356000000000002</c:v>
                </c:pt>
                <c:pt idx="145">
                  <c:v>24.488</c:v>
                </c:pt>
                <c:pt idx="146">
                  <c:v>23.068999999999999</c:v>
                </c:pt>
                <c:pt idx="147">
                  <c:v>23.161999999999999</c:v>
                </c:pt>
                <c:pt idx="148">
                  <c:v>23.571999999999999</c:v>
                </c:pt>
                <c:pt idx="149">
                  <c:v>24.445</c:v>
                </c:pt>
                <c:pt idx="150">
                  <c:v>23.494</c:v>
                </c:pt>
                <c:pt idx="151">
                  <c:v>24.254000000000001</c:v>
                </c:pt>
                <c:pt idx="152">
                  <c:v>24.56</c:v>
                </c:pt>
                <c:pt idx="153">
                  <c:v>23.920999999999999</c:v>
                </c:pt>
                <c:pt idx="154">
                  <c:v>23.896000000000001</c:v>
                </c:pt>
                <c:pt idx="155">
                  <c:v>23.876000000000001</c:v>
                </c:pt>
                <c:pt idx="156">
                  <c:v>25.271000000000001</c:v>
                </c:pt>
                <c:pt idx="157">
                  <c:v>24.129000000000001</c:v>
                </c:pt>
                <c:pt idx="158">
                  <c:v>24.395</c:v>
                </c:pt>
                <c:pt idx="159">
                  <c:v>24.224</c:v>
                </c:pt>
                <c:pt idx="160">
                  <c:v>24.698</c:v>
                </c:pt>
                <c:pt idx="161">
                  <c:v>24.98</c:v>
                </c:pt>
                <c:pt idx="162">
                  <c:v>25.241</c:v>
                </c:pt>
                <c:pt idx="163">
                  <c:v>24.709</c:v>
                </c:pt>
                <c:pt idx="164">
                  <c:v>24.42</c:v>
                </c:pt>
                <c:pt idx="165">
                  <c:v>24.57</c:v>
                </c:pt>
                <c:pt idx="166">
                  <c:v>23.359000000000002</c:v>
                </c:pt>
                <c:pt idx="167">
                  <c:v>23.408000000000001</c:v>
                </c:pt>
                <c:pt idx="168">
                  <c:v>24.073</c:v>
                </c:pt>
                <c:pt idx="169">
                  <c:v>24.373999999999999</c:v>
                </c:pt>
                <c:pt idx="170">
                  <c:v>23.933</c:v>
                </c:pt>
                <c:pt idx="171">
                  <c:v>25.231999999999999</c:v>
                </c:pt>
                <c:pt idx="172">
                  <c:v>23.736000000000001</c:v>
                </c:pt>
                <c:pt idx="173">
                  <c:v>24.501999999999999</c:v>
                </c:pt>
                <c:pt idx="174">
                  <c:v>24.306000000000001</c:v>
                </c:pt>
                <c:pt idx="175">
                  <c:v>24.35</c:v>
                </c:pt>
                <c:pt idx="176">
                  <c:v>24.837</c:v>
                </c:pt>
                <c:pt idx="177">
                  <c:v>24.686</c:v>
                </c:pt>
                <c:pt idx="178">
                  <c:v>24.48</c:v>
                </c:pt>
                <c:pt idx="179">
                  <c:v>24.085000000000001</c:v>
                </c:pt>
                <c:pt idx="180">
                  <c:v>23.675000000000001</c:v>
                </c:pt>
                <c:pt idx="181">
                  <c:v>23.33</c:v>
                </c:pt>
                <c:pt idx="182">
                  <c:v>23.387</c:v>
                </c:pt>
                <c:pt idx="183">
                  <c:v>22.582999999999998</c:v>
                </c:pt>
                <c:pt idx="184">
                  <c:v>24.08</c:v>
                </c:pt>
                <c:pt idx="185">
                  <c:v>24.065999999999999</c:v>
                </c:pt>
                <c:pt idx="186">
                  <c:v>24.12</c:v>
                </c:pt>
                <c:pt idx="187">
                  <c:v>24.776</c:v>
                </c:pt>
                <c:pt idx="188">
                  <c:v>24.710999999999999</c:v>
                </c:pt>
                <c:pt idx="189">
                  <c:v>23.963000000000001</c:v>
                </c:pt>
                <c:pt idx="190">
                  <c:v>24.073</c:v>
                </c:pt>
                <c:pt idx="191">
                  <c:v>24.021999999999998</c:v>
                </c:pt>
                <c:pt idx="192">
                  <c:v>24.614000000000001</c:v>
                </c:pt>
                <c:pt idx="193">
                  <c:v>25.018000000000001</c:v>
                </c:pt>
                <c:pt idx="194">
                  <c:v>26.15</c:v>
                </c:pt>
                <c:pt idx="195">
                  <c:v>26.34</c:v>
                </c:pt>
                <c:pt idx="196">
                  <c:v>25.5</c:v>
                </c:pt>
                <c:pt idx="197">
                  <c:v>25.885000000000002</c:v>
                </c:pt>
                <c:pt idx="198">
                  <c:v>26.51</c:v>
                </c:pt>
                <c:pt idx="199">
                  <c:v>26.183</c:v>
                </c:pt>
                <c:pt idx="200">
                  <c:v>26.573</c:v>
                </c:pt>
                <c:pt idx="201">
                  <c:v>27.364000000000001</c:v>
                </c:pt>
                <c:pt idx="202">
                  <c:v>27.64</c:v>
                </c:pt>
                <c:pt idx="203">
                  <c:v>27.042000000000002</c:v>
                </c:pt>
                <c:pt idx="204">
                  <c:v>27.260999999999999</c:v>
                </c:pt>
                <c:pt idx="205">
                  <c:v>25.283999999999999</c:v>
                </c:pt>
                <c:pt idx="206">
                  <c:v>25.434999999999999</c:v>
                </c:pt>
                <c:pt idx="207">
                  <c:v>25.571999999999999</c:v>
                </c:pt>
                <c:pt idx="208">
                  <c:v>25.802</c:v>
                </c:pt>
                <c:pt idx="209">
                  <c:v>25.32</c:v>
                </c:pt>
                <c:pt idx="210">
                  <c:v>25.765999999999998</c:v>
                </c:pt>
                <c:pt idx="211">
                  <c:v>25.853999999999999</c:v>
                </c:pt>
                <c:pt idx="212">
                  <c:v>25.484000000000002</c:v>
                </c:pt>
                <c:pt idx="213">
                  <c:v>25.538</c:v>
                </c:pt>
                <c:pt idx="214">
                  <c:v>25.388999999999999</c:v>
                </c:pt>
                <c:pt idx="215">
                  <c:v>25.945</c:v>
                </c:pt>
                <c:pt idx="216">
                  <c:v>29.440999999999999</c:v>
                </c:pt>
                <c:pt idx="217">
                  <c:v>26.425999999999998</c:v>
                </c:pt>
                <c:pt idx="218">
                  <c:v>26.914000000000001</c:v>
                </c:pt>
                <c:pt idx="219">
                  <c:v>26.260999999999999</c:v>
                </c:pt>
                <c:pt idx="220">
                  <c:v>27.588999999999999</c:v>
                </c:pt>
                <c:pt idx="221">
                  <c:v>27.427</c:v>
                </c:pt>
                <c:pt idx="222">
                  <c:v>27.108000000000001</c:v>
                </c:pt>
                <c:pt idx="223">
                  <c:v>27.071999999999999</c:v>
                </c:pt>
                <c:pt idx="224">
                  <c:v>27.341000000000001</c:v>
                </c:pt>
                <c:pt idx="225">
                  <c:v>27.335000000000001</c:v>
                </c:pt>
                <c:pt idx="226">
                  <c:v>27.097999999999999</c:v>
                </c:pt>
                <c:pt idx="227">
                  <c:v>28.111000000000001</c:v>
                </c:pt>
                <c:pt idx="228">
                  <c:v>27.716999999999999</c:v>
                </c:pt>
                <c:pt idx="229">
                  <c:v>27.893999999999998</c:v>
                </c:pt>
                <c:pt idx="230">
                  <c:v>27.684999999999999</c:v>
                </c:pt>
                <c:pt idx="231">
                  <c:v>26.678000000000001</c:v>
                </c:pt>
                <c:pt idx="232">
                  <c:v>26.879000000000001</c:v>
                </c:pt>
                <c:pt idx="233">
                  <c:v>26.387</c:v>
                </c:pt>
                <c:pt idx="234">
                  <c:v>25.460999999999999</c:v>
                </c:pt>
                <c:pt idx="235">
                  <c:v>25.268999999999998</c:v>
                </c:pt>
                <c:pt idx="236">
                  <c:v>26.183</c:v>
                </c:pt>
                <c:pt idx="237">
                  <c:v>26.13</c:v>
                </c:pt>
                <c:pt idx="238">
                  <c:v>26.193000000000001</c:v>
                </c:pt>
                <c:pt idx="239">
                  <c:v>26.288</c:v>
                </c:pt>
                <c:pt idx="240">
                  <c:v>26.003</c:v>
                </c:pt>
                <c:pt idx="241">
                  <c:v>26.058</c:v>
                </c:pt>
                <c:pt idx="242">
                  <c:v>26.350999999999999</c:v>
                </c:pt>
                <c:pt idx="243">
                  <c:v>25.768999999999998</c:v>
                </c:pt>
                <c:pt idx="244">
                  <c:v>25.227</c:v>
                </c:pt>
                <c:pt idx="245">
                  <c:v>25.231000000000002</c:v>
                </c:pt>
                <c:pt idx="246">
                  <c:v>25.047000000000001</c:v>
                </c:pt>
                <c:pt idx="247">
                  <c:v>24.771000000000001</c:v>
                </c:pt>
                <c:pt idx="248">
                  <c:v>24.157</c:v>
                </c:pt>
                <c:pt idx="249">
                  <c:v>24.552</c:v>
                </c:pt>
                <c:pt idx="250">
                  <c:v>24.800999999999998</c:v>
                </c:pt>
                <c:pt idx="251">
                  <c:v>25.247</c:v>
                </c:pt>
                <c:pt idx="252">
                  <c:v>25.266999999999999</c:v>
                </c:pt>
                <c:pt idx="253">
                  <c:v>25.603999999999999</c:v>
                </c:pt>
                <c:pt idx="254">
                  <c:v>24.882000000000001</c:v>
                </c:pt>
                <c:pt idx="255">
                  <c:v>25.442</c:v>
                </c:pt>
                <c:pt idx="256">
                  <c:v>25.539000000000001</c:v>
                </c:pt>
                <c:pt idx="257">
                  <c:v>25.978999999999999</c:v>
                </c:pt>
                <c:pt idx="258">
                  <c:v>25.852</c:v>
                </c:pt>
                <c:pt idx="259">
                  <c:v>25.853999999999999</c:v>
                </c:pt>
                <c:pt idx="260">
                  <c:v>26.585999999999999</c:v>
                </c:pt>
                <c:pt idx="261">
                  <c:v>26.2</c:v>
                </c:pt>
                <c:pt idx="262">
                  <c:v>26.228000000000002</c:v>
                </c:pt>
                <c:pt idx="263">
                  <c:v>26.43</c:v>
                </c:pt>
                <c:pt idx="264">
                  <c:v>26.102</c:v>
                </c:pt>
                <c:pt idx="265">
                  <c:v>26.085000000000001</c:v>
                </c:pt>
                <c:pt idx="266">
                  <c:v>26.96</c:v>
                </c:pt>
                <c:pt idx="267">
                  <c:v>26.558</c:v>
                </c:pt>
                <c:pt idx="268">
                  <c:v>26.521999999999998</c:v>
                </c:pt>
                <c:pt idx="269">
                  <c:v>27.477</c:v>
                </c:pt>
                <c:pt idx="270">
                  <c:v>27.492000000000001</c:v>
                </c:pt>
                <c:pt idx="271">
                  <c:v>27.667000000000002</c:v>
                </c:pt>
                <c:pt idx="272">
                  <c:v>27.244</c:v>
                </c:pt>
                <c:pt idx="273">
                  <c:v>27.059000000000001</c:v>
                </c:pt>
                <c:pt idx="274">
                  <c:v>28.274000000000001</c:v>
                </c:pt>
                <c:pt idx="275">
                  <c:v>28.332999999999998</c:v>
                </c:pt>
                <c:pt idx="276">
                  <c:v>28.024999999999999</c:v>
                </c:pt>
                <c:pt idx="277">
                  <c:v>28.067</c:v>
                </c:pt>
                <c:pt idx="278">
                  <c:v>27.905000000000001</c:v>
                </c:pt>
                <c:pt idx="279">
                  <c:v>28.056000000000001</c:v>
                </c:pt>
                <c:pt idx="280">
                  <c:v>27.876999999999999</c:v>
                </c:pt>
                <c:pt idx="281">
                  <c:v>27.954999999999998</c:v>
                </c:pt>
                <c:pt idx="282">
                  <c:v>28.119</c:v>
                </c:pt>
                <c:pt idx="283">
                  <c:v>28.22</c:v>
                </c:pt>
                <c:pt idx="284">
                  <c:v>27.492000000000001</c:v>
                </c:pt>
                <c:pt idx="285">
                  <c:v>28.033000000000001</c:v>
                </c:pt>
                <c:pt idx="286">
                  <c:v>27.747</c:v>
                </c:pt>
                <c:pt idx="287">
                  <c:v>28.016999999999999</c:v>
                </c:pt>
                <c:pt idx="288">
                  <c:v>28.047000000000001</c:v>
                </c:pt>
                <c:pt idx="289">
                  <c:v>28.053999999999998</c:v>
                </c:pt>
                <c:pt idx="290">
                  <c:v>27.71</c:v>
                </c:pt>
                <c:pt idx="291">
                  <c:v>27.827999999999999</c:v>
                </c:pt>
                <c:pt idx="292">
                  <c:v>25.873000000000001</c:v>
                </c:pt>
                <c:pt idx="293">
                  <c:v>26.042999999999999</c:v>
                </c:pt>
                <c:pt idx="294">
                  <c:v>25.876000000000001</c:v>
                </c:pt>
                <c:pt idx="295">
                  <c:v>26.132000000000001</c:v>
                </c:pt>
                <c:pt idx="296">
                  <c:v>26.068999999999999</c:v>
                </c:pt>
                <c:pt idx="297">
                  <c:v>26.239000000000001</c:v>
                </c:pt>
                <c:pt idx="298">
                  <c:v>25.901</c:v>
                </c:pt>
                <c:pt idx="299">
                  <c:v>26.193999999999999</c:v>
                </c:pt>
                <c:pt idx="300">
                  <c:v>26.1</c:v>
                </c:pt>
                <c:pt idx="301">
                  <c:v>26.173999999999999</c:v>
                </c:pt>
                <c:pt idx="302">
                  <c:v>26.129000000000001</c:v>
                </c:pt>
                <c:pt idx="303">
                  <c:v>25.986999999999998</c:v>
                </c:pt>
                <c:pt idx="304">
                  <c:v>26.239000000000001</c:v>
                </c:pt>
                <c:pt idx="305">
                  <c:v>26.14</c:v>
                </c:pt>
                <c:pt idx="306">
                  <c:v>26.271000000000001</c:v>
                </c:pt>
                <c:pt idx="307">
                  <c:v>26.393999999999998</c:v>
                </c:pt>
                <c:pt idx="308">
                  <c:v>25.143999999999998</c:v>
                </c:pt>
                <c:pt idx="309">
                  <c:v>24.995000000000001</c:v>
                </c:pt>
                <c:pt idx="310">
                  <c:v>25.254999999999999</c:v>
                </c:pt>
                <c:pt idx="311">
                  <c:v>25.381</c:v>
                </c:pt>
                <c:pt idx="312">
                  <c:v>25.318000000000001</c:v>
                </c:pt>
                <c:pt idx="313">
                  <c:v>24.649000000000001</c:v>
                </c:pt>
                <c:pt idx="314">
                  <c:v>24.876999999999999</c:v>
                </c:pt>
                <c:pt idx="315">
                  <c:v>25.798999999999999</c:v>
                </c:pt>
                <c:pt idx="316">
                  <c:v>25.59</c:v>
                </c:pt>
                <c:pt idx="317">
                  <c:v>25.594999999999999</c:v>
                </c:pt>
                <c:pt idx="318">
                  <c:v>25.474</c:v>
                </c:pt>
                <c:pt idx="319">
                  <c:v>25.303000000000001</c:v>
                </c:pt>
                <c:pt idx="320">
                  <c:v>23.279</c:v>
                </c:pt>
                <c:pt idx="321">
                  <c:v>23.402000000000001</c:v>
                </c:pt>
                <c:pt idx="322">
                  <c:v>23.495999999999999</c:v>
                </c:pt>
                <c:pt idx="323">
                  <c:v>23.122</c:v>
                </c:pt>
                <c:pt idx="324">
                  <c:v>23.798999999999999</c:v>
                </c:pt>
                <c:pt idx="325">
                  <c:v>23.666</c:v>
                </c:pt>
                <c:pt idx="326">
                  <c:v>23.43</c:v>
                </c:pt>
                <c:pt idx="327">
                  <c:v>23.239000000000001</c:v>
                </c:pt>
                <c:pt idx="328">
                  <c:v>23.666</c:v>
                </c:pt>
                <c:pt idx="329">
                  <c:v>23.908999999999999</c:v>
                </c:pt>
                <c:pt idx="330">
                  <c:v>23.795000000000002</c:v>
                </c:pt>
                <c:pt idx="331">
                  <c:v>23.567</c:v>
                </c:pt>
                <c:pt idx="332">
                  <c:v>23.992000000000001</c:v>
                </c:pt>
                <c:pt idx="333">
                  <c:v>23.991</c:v>
                </c:pt>
                <c:pt idx="334">
                  <c:v>24.201000000000001</c:v>
                </c:pt>
                <c:pt idx="335">
                  <c:v>23.9</c:v>
                </c:pt>
                <c:pt idx="336">
                  <c:v>24.356999999999999</c:v>
                </c:pt>
                <c:pt idx="337">
                  <c:v>24.036000000000001</c:v>
                </c:pt>
                <c:pt idx="338">
                  <c:v>24.155999999999999</c:v>
                </c:pt>
                <c:pt idx="339">
                  <c:v>23.774999999999999</c:v>
                </c:pt>
                <c:pt idx="340">
                  <c:v>23.863</c:v>
                </c:pt>
                <c:pt idx="341">
                  <c:v>23.779</c:v>
                </c:pt>
                <c:pt idx="342">
                  <c:v>22.774000000000001</c:v>
                </c:pt>
                <c:pt idx="343">
                  <c:v>22.184999999999999</c:v>
                </c:pt>
                <c:pt idx="344">
                  <c:v>22.593</c:v>
                </c:pt>
                <c:pt idx="345">
                  <c:v>22.89</c:v>
                </c:pt>
                <c:pt idx="346">
                  <c:v>22.663</c:v>
                </c:pt>
                <c:pt idx="347">
                  <c:v>22.684999999999999</c:v>
                </c:pt>
                <c:pt idx="348">
                  <c:v>22.46</c:v>
                </c:pt>
                <c:pt idx="349">
                  <c:v>21.484999999999999</c:v>
                </c:pt>
                <c:pt idx="350">
                  <c:v>22.047000000000001</c:v>
                </c:pt>
                <c:pt idx="351">
                  <c:v>22.643999999999998</c:v>
                </c:pt>
                <c:pt idx="352">
                  <c:v>22.608000000000001</c:v>
                </c:pt>
                <c:pt idx="353">
                  <c:v>22.532</c:v>
                </c:pt>
                <c:pt idx="354">
                  <c:v>22.658000000000001</c:v>
                </c:pt>
                <c:pt idx="355">
                  <c:v>22.664999999999999</c:v>
                </c:pt>
                <c:pt idx="356">
                  <c:v>22.513999999999999</c:v>
                </c:pt>
                <c:pt idx="357">
                  <c:v>23.17</c:v>
                </c:pt>
                <c:pt idx="358">
                  <c:v>23.477</c:v>
                </c:pt>
                <c:pt idx="359">
                  <c:v>23.263999999999999</c:v>
                </c:pt>
                <c:pt idx="360">
                  <c:v>23.882999999999999</c:v>
                </c:pt>
                <c:pt idx="361">
                  <c:v>24.445</c:v>
                </c:pt>
                <c:pt idx="362">
                  <c:v>24.17</c:v>
                </c:pt>
                <c:pt idx="363">
                  <c:v>24.591999999999999</c:v>
                </c:pt>
                <c:pt idx="364">
                  <c:v>24.088000000000001</c:v>
                </c:pt>
                <c:pt idx="365">
                  <c:v>24.190999999999999</c:v>
                </c:pt>
                <c:pt idx="366">
                  <c:v>24.138999999999999</c:v>
                </c:pt>
                <c:pt idx="367">
                  <c:v>24.091000000000001</c:v>
                </c:pt>
                <c:pt idx="368">
                  <c:v>23.524000000000001</c:v>
                </c:pt>
                <c:pt idx="369">
                  <c:v>23.251000000000001</c:v>
                </c:pt>
                <c:pt idx="370">
                  <c:v>23.93</c:v>
                </c:pt>
                <c:pt idx="371">
                  <c:v>24.561</c:v>
                </c:pt>
                <c:pt idx="372">
                  <c:v>24.337</c:v>
                </c:pt>
                <c:pt idx="373">
                  <c:v>24.791</c:v>
                </c:pt>
                <c:pt idx="374">
                  <c:v>25.32</c:v>
                </c:pt>
                <c:pt idx="375">
                  <c:v>25.123999999999999</c:v>
                </c:pt>
                <c:pt idx="376">
                  <c:v>24.963000000000001</c:v>
                </c:pt>
                <c:pt idx="377">
                  <c:v>25.184999999999999</c:v>
                </c:pt>
                <c:pt idx="378">
                  <c:v>24.919</c:v>
                </c:pt>
                <c:pt idx="379">
                  <c:v>24.318000000000001</c:v>
                </c:pt>
                <c:pt idx="380">
                  <c:v>23.452000000000002</c:v>
                </c:pt>
                <c:pt idx="381">
                  <c:v>23.513999999999999</c:v>
                </c:pt>
                <c:pt idx="382">
                  <c:v>22.835999999999999</c:v>
                </c:pt>
                <c:pt idx="383">
                  <c:v>22.798999999999999</c:v>
                </c:pt>
                <c:pt idx="384">
                  <c:v>22.324000000000002</c:v>
                </c:pt>
                <c:pt idx="385">
                  <c:v>22.303999999999998</c:v>
                </c:pt>
                <c:pt idx="386">
                  <c:v>22.251999999999999</c:v>
                </c:pt>
                <c:pt idx="387">
                  <c:v>22.512</c:v>
                </c:pt>
                <c:pt idx="388">
                  <c:v>22.422000000000001</c:v>
                </c:pt>
                <c:pt idx="389">
                  <c:v>22.001000000000001</c:v>
                </c:pt>
                <c:pt idx="390">
                  <c:v>22.315000000000001</c:v>
                </c:pt>
                <c:pt idx="391">
                  <c:v>21.908999999999999</c:v>
                </c:pt>
                <c:pt idx="392">
                  <c:v>21.53</c:v>
                </c:pt>
                <c:pt idx="393">
                  <c:v>22.471</c:v>
                </c:pt>
                <c:pt idx="394">
                  <c:v>22.280999999999999</c:v>
                </c:pt>
                <c:pt idx="395">
                  <c:v>22.513000000000002</c:v>
                </c:pt>
                <c:pt idx="396">
                  <c:v>22.803999999999998</c:v>
                </c:pt>
                <c:pt idx="397">
                  <c:v>22.981000000000002</c:v>
                </c:pt>
                <c:pt idx="398">
                  <c:v>23.113</c:v>
                </c:pt>
                <c:pt idx="399">
                  <c:v>22.85</c:v>
                </c:pt>
                <c:pt idx="400">
                  <c:v>23.06</c:v>
                </c:pt>
                <c:pt idx="401">
                  <c:v>22.81</c:v>
                </c:pt>
                <c:pt idx="402">
                  <c:v>23.056000000000001</c:v>
                </c:pt>
                <c:pt idx="403">
                  <c:v>23.17</c:v>
                </c:pt>
                <c:pt idx="404">
                  <c:v>22.19</c:v>
                </c:pt>
                <c:pt idx="405">
                  <c:v>22.462</c:v>
                </c:pt>
                <c:pt idx="406">
                  <c:v>22.812000000000001</c:v>
                </c:pt>
                <c:pt idx="407">
                  <c:v>23.207000000000001</c:v>
                </c:pt>
                <c:pt idx="408">
                  <c:v>23.161999999999999</c:v>
                </c:pt>
                <c:pt idx="409">
                  <c:v>23.492000000000001</c:v>
                </c:pt>
                <c:pt idx="410">
                  <c:v>24.231000000000002</c:v>
                </c:pt>
                <c:pt idx="411">
                  <c:v>24.716000000000001</c:v>
                </c:pt>
                <c:pt idx="412">
                  <c:v>23.8</c:v>
                </c:pt>
                <c:pt idx="413">
                  <c:v>23.896000000000001</c:v>
                </c:pt>
                <c:pt idx="414">
                  <c:v>23.806999999999999</c:v>
                </c:pt>
                <c:pt idx="415">
                  <c:v>22.675999999999998</c:v>
                </c:pt>
                <c:pt idx="416">
                  <c:v>22.419</c:v>
                </c:pt>
                <c:pt idx="417">
                  <c:v>22.617999999999999</c:v>
                </c:pt>
                <c:pt idx="418">
                  <c:v>22.73</c:v>
                </c:pt>
                <c:pt idx="419">
                  <c:v>22.396999999999998</c:v>
                </c:pt>
                <c:pt idx="420">
                  <c:v>23.097999999999999</c:v>
                </c:pt>
                <c:pt idx="421">
                  <c:v>23.221</c:v>
                </c:pt>
                <c:pt idx="422">
                  <c:v>23.361999999999998</c:v>
                </c:pt>
                <c:pt idx="423">
                  <c:v>23.545000000000002</c:v>
                </c:pt>
                <c:pt idx="424">
                  <c:v>23.876999999999999</c:v>
                </c:pt>
                <c:pt idx="425">
                  <c:v>23.369</c:v>
                </c:pt>
                <c:pt idx="426">
                  <c:v>23.632999999999999</c:v>
                </c:pt>
                <c:pt idx="427">
                  <c:v>23.902999999999999</c:v>
                </c:pt>
                <c:pt idx="428">
                  <c:v>24.331</c:v>
                </c:pt>
                <c:pt idx="429">
                  <c:v>24.574000000000002</c:v>
                </c:pt>
                <c:pt idx="430">
                  <c:v>24.696999999999999</c:v>
                </c:pt>
                <c:pt idx="431">
                  <c:v>24.366</c:v>
                </c:pt>
                <c:pt idx="432">
                  <c:v>25.541</c:v>
                </c:pt>
                <c:pt idx="433">
                  <c:v>25.19</c:v>
                </c:pt>
                <c:pt idx="434">
                  <c:v>25.212</c:v>
                </c:pt>
                <c:pt idx="435">
                  <c:v>25.72</c:v>
                </c:pt>
                <c:pt idx="436">
                  <c:v>26.895</c:v>
                </c:pt>
                <c:pt idx="437">
                  <c:v>25.815999999999999</c:v>
                </c:pt>
                <c:pt idx="438">
                  <c:v>26.256</c:v>
                </c:pt>
                <c:pt idx="439">
                  <c:v>25.297999999999998</c:v>
                </c:pt>
                <c:pt idx="440">
                  <c:v>25.158000000000001</c:v>
                </c:pt>
                <c:pt idx="441">
                  <c:v>24.71</c:v>
                </c:pt>
                <c:pt idx="442">
                  <c:v>25.616</c:v>
                </c:pt>
                <c:pt idx="443">
                  <c:v>25.312999999999999</c:v>
                </c:pt>
                <c:pt idx="444">
                  <c:v>24.904</c:v>
                </c:pt>
                <c:pt idx="445">
                  <c:v>25.189</c:v>
                </c:pt>
                <c:pt idx="446">
                  <c:v>25.92</c:v>
                </c:pt>
                <c:pt idx="447">
                  <c:v>25.196000000000002</c:v>
                </c:pt>
                <c:pt idx="448">
                  <c:v>24.736000000000001</c:v>
                </c:pt>
                <c:pt idx="449">
                  <c:v>25.146000000000001</c:v>
                </c:pt>
                <c:pt idx="450">
                  <c:v>25.158000000000001</c:v>
                </c:pt>
                <c:pt idx="451">
                  <c:v>24.635999999999999</c:v>
                </c:pt>
                <c:pt idx="452">
                  <c:v>24.588000000000001</c:v>
                </c:pt>
                <c:pt idx="453">
                  <c:v>24.509</c:v>
                </c:pt>
                <c:pt idx="454">
                  <c:v>24.785</c:v>
                </c:pt>
                <c:pt idx="455">
                  <c:v>25.021999999999998</c:v>
                </c:pt>
                <c:pt idx="456">
                  <c:v>25.768999999999998</c:v>
                </c:pt>
                <c:pt idx="457">
                  <c:v>26.06</c:v>
                </c:pt>
                <c:pt idx="458">
                  <c:v>26.181000000000001</c:v>
                </c:pt>
                <c:pt idx="459">
                  <c:v>25.425999999999998</c:v>
                </c:pt>
                <c:pt idx="460">
                  <c:v>25.303000000000001</c:v>
                </c:pt>
                <c:pt idx="461">
                  <c:v>24.657</c:v>
                </c:pt>
                <c:pt idx="462">
                  <c:v>23.698</c:v>
                </c:pt>
                <c:pt idx="463">
                  <c:v>23.571999999999999</c:v>
                </c:pt>
                <c:pt idx="464">
                  <c:v>23.483000000000001</c:v>
                </c:pt>
                <c:pt idx="465">
                  <c:v>23.181000000000001</c:v>
                </c:pt>
                <c:pt idx="466">
                  <c:v>22.584</c:v>
                </c:pt>
                <c:pt idx="467">
                  <c:v>22.664999999999999</c:v>
                </c:pt>
                <c:pt idx="468">
                  <c:v>22.402000000000001</c:v>
                </c:pt>
                <c:pt idx="469">
                  <c:v>22.443000000000001</c:v>
                </c:pt>
                <c:pt idx="470">
                  <c:v>21.82</c:v>
                </c:pt>
                <c:pt idx="471">
                  <c:v>21.423999999999999</c:v>
                </c:pt>
                <c:pt idx="472">
                  <c:v>21.574999999999999</c:v>
                </c:pt>
                <c:pt idx="473">
                  <c:v>20.773</c:v>
                </c:pt>
                <c:pt idx="474">
                  <c:v>21.550999999999998</c:v>
                </c:pt>
                <c:pt idx="475">
                  <c:v>21.75</c:v>
                </c:pt>
                <c:pt idx="476">
                  <c:v>21.544</c:v>
                </c:pt>
                <c:pt idx="477">
                  <c:v>21.908000000000001</c:v>
                </c:pt>
                <c:pt idx="478">
                  <c:v>21.722999999999999</c:v>
                </c:pt>
                <c:pt idx="479">
                  <c:v>22.062999999999999</c:v>
                </c:pt>
                <c:pt idx="480">
                  <c:v>21.87</c:v>
                </c:pt>
                <c:pt idx="481">
                  <c:v>21.965</c:v>
                </c:pt>
                <c:pt idx="482">
                  <c:v>21.736999999999998</c:v>
                </c:pt>
                <c:pt idx="483">
                  <c:v>21.962</c:v>
                </c:pt>
                <c:pt idx="484">
                  <c:v>22.33</c:v>
                </c:pt>
                <c:pt idx="485">
                  <c:v>22.146999999999998</c:v>
                </c:pt>
                <c:pt idx="486">
                  <c:v>22.233000000000001</c:v>
                </c:pt>
                <c:pt idx="487">
                  <c:v>22.148</c:v>
                </c:pt>
                <c:pt idx="488">
                  <c:v>21.864000000000001</c:v>
                </c:pt>
                <c:pt idx="489">
                  <c:v>21.305</c:v>
                </c:pt>
                <c:pt idx="490">
                  <c:v>21</c:v>
                </c:pt>
                <c:pt idx="491">
                  <c:v>21.463000000000001</c:v>
                </c:pt>
                <c:pt idx="492">
                  <c:v>21.928000000000001</c:v>
                </c:pt>
                <c:pt idx="493">
                  <c:v>21.812999999999999</c:v>
                </c:pt>
                <c:pt idx="494">
                  <c:v>21.465</c:v>
                </c:pt>
                <c:pt idx="495">
                  <c:v>21.056000000000001</c:v>
                </c:pt>
                <c:pt idx="496">
                  <c:v>21.178000000000001</c:v>
                </c:pt>
                <c:pt idx="497">
                  <c:v>20.838999999999999</c:v>
                </c:pt>
                <c:pt idx="498">
                  <c:v>20.738</c:v>
                </c:pt>
                <c:pt idx="499">
                  <c:v>20.352</c:v>
                </c:pt>
                <c:pt idx="500">
                  <c:v>19.120999999999999</c:v>
                </c:pt>
                <c:pt idx="501">
                  <c:v>19.158999999999999</c:v>
                </c:pt>
                <c:pt idx="502">
                  <c:v>19.187999999999999</c:v>
                </c:pt>
                <c:pt idx="503">
                  <c:v>19.132000000000001</c:v>
                </c:pt>
                <c:pt idx="504">
                  <c:v>18.957999999999998</c:v>
                </c:pt>
                <c:pt idx="505">
                  <c:v>19.193999999999999</c:v>
                </c:pt>
                <c:pt idx="506">
                  <c:v>18.225000000000001</c:v>
                </c:pt>
                <c:pt idx="507">
                  <c:v>18.84</c:v>
                </c:pt>
                <c:pt idx="508">
                  <c:v>18.713000000000001</c:v>
                </c:pt>
                <c:pt idx="509">
                  <c:v>18.667999999999999</c:v>
                </c:pt>
                <c:pt idx="510">
                  <c:v>18.719000000000001</c:v>
                </c:pt>
                <c:pt idx="511">
                  <c:v>18.327999999999999</c:v>
                </c:pt>
                <c:pt idx="512">
                  <c:v>18.535</c:v>
                </c:pt>
                <c:pt idx="513">
                  <c:v>18.600000000000001</c:v>
                </c:pt>
                <c:pt idx="514">
                  <c:v>19.917999999999999</c:v>
                </c:pt>
                <c:pt idx="515">
                  <c:v>20.411999999999999</c:v>
                </c:pt>
                <c:pt idx="516">
                  <c:v>20.189</c:v>
                </c:pt>
                <c:pt idx="517">
                  <c:v>19.946999999999999</c:v>
                </c:pt>
                <c:pt idx="518">
                  <c:v>20.172999999999998</c:v>
                </c:pt>
                <c:pt idx="519">
                  <c:v>20.664000000000001</c:v>
                </c:pt>
                <c:pt idx="520">
                  <c:v>20.530999999999999</c:v>
                </c:pt>
                <c:pt idx="521">
                  <c:v>20.79</c:v>
                </c:pt>
                <c:pt idx="522">
                  <c:v>20.393999999999998</c:v>
                </c:pt>
                <c:pt idx="523">
                  <c:v>20.317</c:v>
                </c:pt>
                <c:pt idx="524">
                  <c:v>20.128</c:v>
                </c:pt>
                <c:pt idx="525">
                  <c:v>19.776</c:v>
                </c:pt>
                <c:pt idx="526">
                  <c:v>19.507999999999999</c:v>
                </c:pt>
                <c:pt idx="527">
                  <c:v>18.917999999999999</c:v>
                </c:pt>
                <c:pt idx="528">
                  <c:v>19.064</c:v>
                </c:pt>
                <c:pt idx="529">
                  <c:v>18.942</c:v>
                </c:pt>
                <c:pt idx="530">
                  <c:v>19.146999999999998</c:v>
                </c:pt>
                <c:pt idx="531">
                  <c:v>18.602</c:v>
                </c:pt>
                <c:pt idx="532">
                  <c:v>18.244</c:v>
                </c:pt>
                <c:pt idx="533">
                  <c:v>17.849</c:v>
                </c:pt>
                <c:pt idx="534">
                  <c:v>17.632000000000001</c:v>
                </c:pt>
                <c:pt idx="535">
                  <c:v>17.867999999999999</c:v>
                </c:pt>
                <c:pt idx="536">
                  <c:v>18.22</c:v>
                </c:pt>
                <c:pt idx="537">
                  <c:v>18.402000000000001</c:v>
                </c:pt>
                <c:pt idx="538">
                  <c:v>19.815999999999999</c:v>
                </c:pt>
                <c:pt idx="539">
                  <c:v>19.449000000000002</c:v>
                </c:pt>
                <c:pt idx="540">
                  <c:v>19.524999999999999</c:v>
                </c:pt>
                <c:pt idx="541">
                  <c:v>19.227</c:v>
                </c:pt>
                <c:pt idx="542">
                  <c:v>19.318999999999999</c:v>
                </c:pt>
                <c:pt idx="543">
                  <c:v>19.146000000000001</c:v>
                </c:pt>
                <c:pt idx="544">
                  <c:v>19.446999999999999</c:v>
                </c:pt>
                <c:pt idx="545">
                  <c:v>19.587</c:v>
                </c:pt>
                <c:pt idx="546">
                  <c:v>18.452999999999999</c:v>
                </c:pt>
                <c:pt idx="547">
                  <c:v>18.302</c:v>
                </c:pt>
                <c:pt idx="548">
                  <c:v>18.841000000000001</c:v>
                </c:pt>
                <c:pt idx="549">
                  <c:v>18.712</c:v>
                </c:pt>
                <c:pt idx="550">
                  <c:v>20.588999999999999</c:v>
                </c:pt>
                <c:pt idx="551">
                  <c:v>21.099</c:v>
                </c:pt>
                <c:pt idx="552">
                  <c:v>20.544</c:v>
                </c:pt>
                <c:pt idx="553">
                  <c:v>20.66</c:v>
                </c:pt>
                <c:pt idx="554">
                  <c:v>19.614999999999998</c:v>
                </c:pt>
                <c:pt idx="555">
                  <c:v>19.486999999999998</c:v>
                </c:pt>
                <c:pt idx="556">
                  <c:v>18.937999999999999</c:v>
                </c:pt>
                <c:pt idx="557">
                  <c:v>18.917999999999999</c:v>
                </c:pt>
                <c:pt idx="558">
                  <c:v>18.719000000000001</c:v>
                </c:pt>
                <c:pt idx="559">
                  <c:v>18.600000000000001</c:v>
                </c:pt>
                <c:pt idx="560">
                  <c:v>18.359000000000002</c:v>
                </c:pt>
                <c:pt idx="561">
                  <c:v>18.689</c:v>
                </c:pt>
                <c:pt idx="562">
                  <c:v>19.189</c:v>
                </c:pt>
                <c:pt idx="563">
                  <c:v>19.349</c:v>
                </c:pt>
                <c:pt idx="564">
                  <c:v>19.486000000000001</c:v>
                </c:pt>
                <c:pt idx="565">
                  <c:v>19.494</c:v>
                </c:pt>
                <c:pt idx="566">
                  <c:v>19.184000000000001</c:v>
                </c:pt>
                <c:pt idx="567">
                  <c:v>19.728000000000002</c:v>
                </c:pt>
                <c:pt idx="568">
                  <c:v>19.654</c:v>
                </c:pt>
                <c:pt idx="569">
                  <c:v>19.484999999999999</c:v>
                </c:pt>
                <c:pt idx="570">
                  <c:v>20.981000000000002</c:v>
                </c:pt>
                <c:pt idx="571">
                  <c:v>21.567</c:v>
                </c:pt>
                <c:pt idx="572">
                  <c:v>21.381</c:v>
                </c:pt>
                <c:pt idx="573">
                  <c:v>21.771999999999998</c:v>
                </c:pt>
                <c:pt idx="574">
                  <c:v>22.178000000000001</c:v>
                </c:pt>
                <c:pt idx="575">
                  <c:v>21.593</c:v>
                </c:pt>
                <c:pt idx="576">
                  <c:v>21.603999999999999</c:v>
                </c:pt>
                <c:pt idx="577">
                  <c:v>21.053999999999998</c:v>
                </c:pt>
                <c:pt idx="578">
                  <c:v>20.952000000000002</c:v>
                </c:pt>
                <c:pt idx="579">
                  <c:v>21.13</c:v>
                </c:pt>
                <c:pt idx="580">
                  <c:v>21.436</c:v>
                </c:pt>
                <c:pt idx="581">
                  <c:v>21.001999999999999</c:v>
                </c:pt>
                <c:pt idx="582">
                  <c:v>21.391999999999999</c:v>
                </c:pt>
                <c:pt idx="583">
                  <c:v>21.727</c:v>
                </c:pt>
                <c:pt idx="584">
                  <c:v>22.786000000000001</c:v>
                </c:pt>
                <c:pt idx="585">
                  <c:v>22.324000000000002</c:v>
                </c:pt>
                <c:pt idx="586">
                  <c:v>22.256</c:v>
                </c:pt>
                <c:pt idx="587">
                  <c:v>22.837</c:v>
                </c:pt>
                <c:pt idx="588">
                  <c:v>23.157</c:v>
                </c:pt>
                <c:pt idx="589">
                  <c:v>23.314</c:v>
                </c:pt>
                <c:pt idx="590">
                  <c:v>23.908999999999999</c:v>
                </c:pt>
                <c:pt idx="591">
                  <c:v>24.048999999999999</c:v>
                </c:pt>
                <c:pt idx="592">
                  <c:v>23.228999999999999</c:v>
                </c:pt>
                <c:pt idx="593">
                  <c:v>23.117000000000001</c:v>
                </c:pt>
                <c:pt idx="594">
                  <c:v>24.183</c:v>
                </c:pt>
                <c:pt idx="595">
                  <c:v>24.120999999999999</c:v>
                </c:pt>
                <c:pt idx="596">
                  <c:v>23.561</c:v>
                </c:pt>
                <c:pt idx="597">
                  <c:v>24.141999999999999</c:v>
                </c:pt>
                <c:pt idx="598">
                  <c:v>23.756</c:v>
                </c:pt>
                <c:pt idx="599">
                  <c:v>24.25</c:v>
                </c:pt>
                <c:pt idx="600">
                  <c:v>24.236000000000001</c:v>
                </c:pt>
                <c:pt idx="601">
                  <c:v>23.963999999999999</c:v>
                </c:pt>
                <c:pt idx="602">
                  <c:v>23.423999999999999</c:v>
                </c:pt>
                <c:pt idx="603">
                  <c:v>23.870999999999999</c:v>
                </c:pt>
                <c:pt idx="604">
                  <c:v>23.664999999999999</c:v>
                </c:pt>
                <c:pt idx="605">
                  <c:v>23.481000000000002</c:v>
                </c:pt>
                <c:pt idx="606">
                  <c:v>24.004000000000001</c:v>
                </c:pt>
                <c:pt idx="607">
                  <c:v>24.068000000000001</c:v>
                </c:pt>
                <c:pt idx="608">
                  <c:v>23.646999999999998</c:v>
                </c:pt>
                <c:pt idx="609">
                  <c:v>23.87</c:v>
                </c:pt>
                <c:pt idx="610">
                  <c:v>23.553999999999998</c:v>
                </c:pt>
                <c:pt idx="611">
                  <c:v>23.748999999999999</c:v>
                </c:pt>
                <c:pt idx="612">
                  <c:v>23.940999999999999</c:v>
                </c:pt>
                <c:pt idx="613">
                  <c:v>24.02</c:v>
                </c:pt>
                <c:pt idx="614">
                  <c:v>23.821000000000002</c:v>
                </c:pt>
                <c:pt idx="615">
                  <c:v>23.93</c:v>
                </c:pt>
                <c:pt idx="616">
                  <c:v>23.702999999999999</c:v>
                </c:pt>
                <c:pt idx="617">
                  <c:v>23.715</c:v>
                </c:pt>
                <c:pt idx="618">
                  <c:v>22.337</c:v>
                </c:pt>
                <c:pt idx="619">
                  <c:v>22.277000000000001</c:v>
                </c:pt>
                <c:pt idx="620">
                  <c:v>22.52</c:v>
                </c:pt>
                <c:pt idx="621">
                  <c:v>22.241</c:v>
                </c:pt>
                <c:pt idx="622">
                  <c:v>21.942</c:v>
                </c:pt>
                <c:pt idx="623">
                  <c:v>21.960999999999999</c:v>
                </c:pt>
                <c:pt idx="624">
                  <c:v>21.658999999999999</c:v>
                </c:pt>
                <c:pt idx="625">
                  <c:v>21.81</c:v>
                </c:pt>
                <c:pt idx="626">
                  <c:v>21.97</c:v>
                </c:pt>
                <c:pt idx="627">
                  <c:v>21.748000000000001</c:v>
                </c:pt>
                <c:pt idx="628">
                  <c:v>21.376000000000001</c:v>
                </c:pt>
                <c:pt idx="629">
                  <c:v>20.792999999999999</c:v>
                </c:pt>
                <c:pt idx="630">
                  <c:v>21.071000000000002</c:v>
                </c:pt>
                <c:pt idx="631">
                  <c:v>21.094999999999999</c:v>
                </c:pt>
                <c:pt idx="632">
                  <c:v>20.901</c:v>
                </c:pt>
                <c:pt idx="633">
                  <c:v>21.135000000000002</c:v>
                </c:pt>
                <c:pt idx="634">
                  <c:v>20.199000000000002</c:v>
                </c:pt>
                <c:pt idx="635">
                  <c:v>20.151</c:v>
                </c:pt>
                <c:pt idx="636">
                  <c:v>20.164999999999999</c:v>
                </c:pt>
                <c:pt idx="637">
                  <c:v>21.922999999999998</c:v>
                </c:pt>
                <c:pt idx="638">
                  <c:v>22.04</c:v>
                </c:pt>
                <c:pt idx="639">
                  <c:v>21.882000000000001</c:v>
                </c:pt>
                <c:pt idx="640">
                  <c:v>21.692</c:v>
                </c:pt>
                <c:pt idx="641">
                  <c:v>22.646000000000001</c:v>
                </c:pt>
                <c:pt idx="642">
                  <c:v>22.425000000000001</c:v>
                </c:pt>
                <c:pt idx="643">
                  <c:v>22.786000000000001</c:v>
                </c:pt>
                <c:pt idx="644">
                  <c:v>23.256</c:v>
                </c:pt>
                <c:pt idx="645">
                  <c:v>23.145</c:v>
                </c:pt>
                <c:pt idx="646">
                  <c:v>23.42</c:v>
                </c:pt>
                <c:pt idx="647">
                  <c:v>23.466000000000001</c:v>
                </c:pt>
                <c:pt idx="648">
                  <c:v>24.076000000000001</c:v>
                </c:pt>
                <c:pt idx="649">
                  <c:v>24.117999999999999</c:v>
                </c:pt>
                <c:pt idx="650">
                  <c:v>25.201000000000001</c:v>
                </c:pt>
                <c:pt idx="651">
                  <c:v>25.143000000000001</c:v>
                </c:pt>
                <c:pt idx="652">
                  <c:v>25.02</c:v>
                </c:pt>
                <c:pt idx="653">
                  <c:v>25.295999999999999</c:v>
                </c:pt>
                <c:pt idx="654">
                  <c:v>25.562999999999999</c:v>
                </c:pt>
                <c:pt idx="655">
                  <c:v>26.035</c:v>
                </c:pt>
                <c:pt idx="656">
                  <c:v>25.196999999999999</c:v>
                </c:pt>
                <c:pt idx="657">
                  <c:v>25.367999999999999</c:v>
                </c:pt>
                <c:pt idx="658">
                  <c:v>25.471</c:v>
                </c:pt>
                <c:pt idx="659">
                  <c:v>25.478000000000002</c:v>
                </c:pt>
                <c:pt idx="660">
                  <c:v>25.411000000000001</c:v>
                </c:pt>
                <c:pt idx="661">
                  <c:v>24.978000000000002</c:v>
                </c:pt>
                <c:pt idx="662">
                  <c:v>24.972000000000001</c:v>
                </c:pt>
                <c:pt idx="663">
                  <c:v>25.209</c:v>
                </c:pt>
                <c:pt idx="664">
                  <c:v>25.23</c:v>
                </c:pt>
                <c:pt idx="665">
                  <c:v>25.619</c:v>
                </c:pt>
                <c:pt idx="666">
                  <c:v>25.681000000000001</c:v>
                </c:pt>
                <c:pt idx="667">
                  <c:v>26.227</c:v>
                </c:pt>
                <c:pt idx="668">
                  <c:v>25.834</c:v>
                </c:pt>
                <c:pt idx="669">
                  <c:v>25.898</c:v>
                </c:pt>
                <c:pt idx="670">
                  <c:v>25.658000000000001</c:v>
                </c:pt>
                <c:pt idx="671">
                  <c:v>24.423999999999999</c:v>
                </c:pt>
                <c:pt idx="672">
                  <c:v>24.291</c:v>
                </c:pt>
                <c:pt idx="673">
                  <c:v>23.893000000000001</c:v>
                </c:pt>
                <c:pt idx="674">
                  <c:v>23.896999999999998</c:v>
                </c:pt>
                <c:pt idx="675">
                  <c:v>23.632999999999999</c:v>
                </c:pt>
                <c:pt idx="676">
                  <c:v>23.861000000000001</c:v>
                </c:pt>
                <c:pt idx="677">
                  <c:v>23.623999999999999</c:v>
                </c:pt>
                <c:pt idx="678">
                  <c:v>23.24</c:v>
                </c:pt>
                <c:pt idx="679">
                  <c:v>22.91</c:v>
                </c:pt>
                <c:pt idx="680">
                  <c:v>23.353000000000002</c:v>
                </c:pt>
                <c:pt idx="681">
                  <c:v>23.696000000000002</c:v>
                </c:pt>
                <c:pt idx="682">
                  <c:v>24.096</c:v>
                </c:pt>
                <c:pt idx="683">
                  <c:v>23.742999999999999</c:v>
                </c:pt>
                <c:pt idx="684">
                  <c:v>23.779</c:v>
                </c:pt>
                <c:pt idx="685">
                  <c:v>23.638000000000002</c:v>
                </c:pt>
                <c:pt idx="686">
                  <c:v>24.454999999999998</c:v>
                </c:pt>
                <c:pt idx="687">
                  <c:v>24.164999999999999</c:v>
                </c:pt>
                <c:pt idx="688">
                  <c:v>23.928999999999998</c:v>
                </c:pt>
                <c:pt idx="689">
                  <c:v>24.212</c:v>
                </c:pt>
                <c:pt idx="690">
                  <c:v>24.044</c:v>
                </c:pt>
                <c:pt idx="691">
                  <c:v>23.334</c:v>
                </c:pt>
                <c:pt idx="692">
                  <c:v>22.911000000000001</c:v>
                </c:pt>
                <c:pt idx="693">
                  <c:v>22.567</c:v>
                </c:pt>
                <c:pt idx="694">
                  <c:v>22.922999999999998</c:v>
                </c:pt>
                <c:pt idx="695">
                  <c:v>23.048999999999999</c:v>
                </c:pt>
                <c:pt idx="696">
                  <c:v>22.981000000000002</c:v>
                </c:pt>
                <c:pt idx="697">
                  <c:v>22.797999999999998</c:v>
                </c:pt>
                <c:pt idx="698">
                  <c:v>23.111999999999998</c:v>
                </c:pt>
                <c:pt idx="699">
                  <c:v>23.402000000000001</c:v>
                </c:pt>
                <c:pt idx="700">
                  <c:v>22.89</c:v>
                </c:pt>
                <c:pt idx="701">
                  <c:v>23.344999999999999</c:v>
                </c:pt>
                <c:pt idx="702">
                  <c:v>23.280999999999999</c:v>
                </c:pt>
                <c:pt idx="703">
                  <c:v>24.31</c:v>
                </c:pt>
                <c:pt idx="704">
                  <c:v>24.949000000000002</c:v>
                </c:pt>
                <c:pt idx="705">
                  <c:v>25.018000000000001</c:v>
                </c:pt>
                <c:pt idx="706">
                  <c:v>25.256</c:v>
                </c:pt>
                <c:pt idx="707">
                  <c:v>25.387</c:v>
                </c:pt>
                <c:pt idx="708">
                  <c:v>24.962</c:v>
                </c:pt>
                <c:pt idx="709">
                  <c:v>24.581</c:v>
                </c:pt>
                <c:pt idx="710">
                  <c:v>24.824000000000002</c:v>
                </c:pt>
                <c:pt idx="711">
                  <c:v>24.97</c:v>
                </c:pt>
                <c:pt idx="712">
                  <c:v>24.367000000000001</c:v>
                </c:pt>
                <c:pt idx="713">
                  <c:v>25.091999999999999</c:v>
                </c:pt>
                <c:pt idx="714">
                  <c:v>24.445</c:v>
                </c:pt>
                <c:pt idx="715">
                  <c:v>23.991</c:v>
                </c:pt>
                <c:pt idx="716">
                  <c:v>23.815999999999999</c:v>
                </c:pt>
                <c:pt idx="717">
                  <c:v>23.352</c:v>
                </c:pt>
                <c:pt idx="718">
                  <c:v>22.922000000000001</c:v>
                </c:pt>
                <c:pt idx="719">
                  <c:v>22.841000000000001</c:v>
                </c:pt>
                <c:pt idx="720">
                  <c:v>22.928999999999998</c:v>
                </c:pt>
                <c:pt idx="721">
                  <c:v>22.812999999999999</c:v>
                </c:pt>
                <c:pt idx="722">
                  <c:v>22.759</c:v>
                </c:pt>
                <c:pt idx="723">
                  <c:v>22.637</c:v>
                </c:pt>
                <c:pt idx="724">
                  <c:v>22.821000000000002</c:v>
                </c:pt>
                <c:pt idx="725">
                  <c:v>23.443000000000001</c:v>
                </c:pt>
                <c:pt idx="726">
                  <c:v>23.553000000000001</c:v>
                </c:pt>
                <c:pt idx="727">
                  <c:v>24.495000000000001</c:v>
                </c:pt>
                <c:pt idx="728">
                  <c:v>24.343</c:v>
                </c:pt>
                <c:pt idx="729">
                  <c:v>24.369</c:v>
                </c:pt>
                <c:pt idx="730">
                  <c:v>24.901</c:v>
                </c:pt>
                <c:pt idx="731">
                  <c:v>24.978000000000002</c:v>
                </c:pt>
                <c:pt idx="732">
                  <c:v>24.692</c:v>
                </c:pt>
                <c:pt idx="733">
                  <c:v>23.762</c:v>
                </c:pt>
                <c:pt idx="734">
                  <c:v>23.396999999999998</c:v>
                </c:pt>
                <c:pt idx="735">
                  <c:v>23.134</c:v>
                </c:pt>
                <c:pt idx="736">
                  <c:v>23.282</c:v>
                </c:pt>
                <c:pt idx="737">
                  <c:v>23.300999999999998</c:v>
                </c:pt>
                <c:pt idx="738">
                  <c:v>23.08</c:v>
                </c:pt>
                <c:pt idx="739">
                  <c:v>22.902000000000001</c:v>
                </c:pt>
                <c:pt idx="740">
                  <c:v>23.399000000000001</c:v>
                </c:pt>
                <c:pt idx="741">
                  <c:v>23.350999999999999</c:v>
                </c:pt>
                <c:pt idx="742">
                  <c:v>23.728000000000002</c:v>
                </c:pt>
                <c:pt idx="743">
                  <c:v>23.582000000000001</c:v>
                </c:pt>
                <c:pt idx="744">
                  <c:v>23.277000000000001</c:v>
                </c:pt>
                <c:pt idx="745">
                  <c:v>23.085999999999999</c:v>
                </c:pt>
                <c:pt idx="746">
                  <c:v>22.609000000000002</c:v>
                </c:pt>
                <c:pt idx="747">
                  <c:v>22.741</c:v>
                </c:pt>
                <c:pt idx="748">
                  <c:v>21.420999999999999</c:v>
                </c:pt>
                <c:pt idx="749">
                  <c:v>21.376999999999999</c:v>
                </c:pt>
                <c:pt idx="750">
                  <c:v>21.146000000000001</c:v>
                </c:pt>
                <c:pt idx="751">
                  <c:v>21.018999999999998</c:v>
                </c:pt>
                <c:pt idx="752">
                  <c:v>21.923999999999999</c:v>
                </c:pt>
                <c:pt idx="753">
                  <c:v>21.952999999999999</c:v>
                </c:pt>
                <c:pt idx="754">
                  <c:v>22.132999999999999</c:v>
                </c:pt>
                <c:pt idx="755">
                  <c:v>21.959</c:v>
                </c:pt>
                <c:pt idx="756">
                  <c:v>22.765000000000001</c:v>
                </c:pt>
                <c:pt idx="757">
                  <c:v>23.024000000000001</c:v>
                </c:pt>
                <c:pt idx="758">
                  <c:v>23.099</c:v>
                </c:pt>
                <c:pt idx="759">
                  <c:v>23.030999999999999</c:v>
                </c:pt>
                <c:pt idx="760">
                  <c:v>23.21</c:v>
                </c:pt>
                <c:pt idx="761">
                  <c:v>23.116</c:v>
                </c:pt>
                <c:pt idx="762">
                  <c:v>23.007000000000001</c:v>
                </c:pt>
                <c:pt idx="763">
                  <c:v>22.908000000000001</c:v>
                </c:pt>
                <c:pt idx="764">
                  <c:v>23.518999999999998</c:v>
                </c:pt>
                <c:pt idx="765">
                  <c:v>23.074999999999999</c:v>
                </c:pt>
                <c:pt idx="766">
                  <c:v>22.911999999999999</c:v>
                </c:pt>
                <c:pt idx="767">
                  <c:v>22.971</c:v>
                </c:pt>
                <c:pt idx="768">
                  <c:v>23.355</c:v>
                </c:pt>
                <c:pt idx="769">
                  <c:v>22.709</c:v>
                </c:pt>
                <c:pt idx="770">
                  <c:v>22.846</c:v>
                </c:pt>
                <c:pt idx="771">
                  <c:v>23.023</c:v>
                </c:pt>
                <c:pt idx="772">
                  <c:v>22.477</c:v>
                </c:pt>
                <c:pt idx="773">
                  <c:v>23.248999999999999</c:v>
                </c:pt>
                <c:pt idx="774">
                  <c:v>23.658999999999999</c:v>
                </c:pt>
                <c:pt idx="775">
                  <c:v>24.053000000000001</c:v>
                </c:pt>
                <c:pt idx="776">
                  <c:v>23.731999999999999</c:v>
                </c:pt>
                <c:pt idx="777">
                  <c:v>23.989000000000001</c:v>
                </c:pt>
                <c:pt idx="778">
                  <c:v>23.808</c:v>
                </c:pt>
                <c:pt idx="779">
                  <c:v>24.803000000000001</c:v>
                </c:pt>
                <c:pt idx="780">
                  <c:v>25.065999999999999</c:v>
                </c:pt>
                <c:pt idx="781">
                  <c:v>25.341999999999999</c:v>
                </c:pt>
                <c:pt idx="782">
                  <c:v>25.541</c:v>
                </c:pt>
                <c:pt idx="783">
                  <c:v>24.786000000000001</c:v>
                </c:pt>
                <c:pt idx="784">
                  <c:v>24.43</c:v>
                </c:pt>
                <c:pt idx="785">
                  <c:v>24.111999999999998</c:v>
                </c:pt>
                <c:pt idx="786">
                  <c:v>23.942</c:v>
                </c:pt>
                <c:pt idx="787">
                  <c:v>22.952999999999999</c:v>
                </c:pt>
                <c:pt idx="788">
                  <c:v>22.905999999999999</c:v>
                </c:pt>
                <c:pt idx="789">
                  <c:v>22.815000000000001</c:v>
                </c:pt>
                <c:pt idx="790">
                  <c:v>24.273</c:v>
                </c:pt>
                <c:pt idx="791">
                  <c:v>23.994</c:v>
                </c:pt>
                <c:pt idx="792">
                  <c:v>24.206</c:v>
                </c:pt>
                <c:pt idx="793">
                  <c:v>24.515999999999998</c:v>
                </c:pt>
                <c:pt idx="794">
                  <c:v>24.468</c:v>
                </c:pt>
                <c:pt idx="795">
                  <c:v>24.285</c:v>
                </c:pt>
                <c:pt idx="796">
                  <c:v>24.526</c:v>
                </c:pt>
                <c:pt idx="797">
                  <c:v>24.372</c:v>
                </c:pt>
                <c:pt idx="798">
                  <c:v>23.952999999999999</c:v>
                </c:pt>
                <c:pt idx="799">
                  <c:v>23.157</c:v>
                </c:pt>
                <c:pt idx="800">
                  <c:v>23.187000000000001</c:v>
                </c:pt>
                <c:pt idx="801">
                  <c:v>23.31</c:v>
                </c:pt>
                <c:pt idx="802">
                  <c:v>23.091000000000001</c:v>
                </c:pt>
                <c:pt idx="803">
                  <c:v>23.065999999999999</c:v>
                </c:pt>
                <c:pt idx="804">
                  <c:v>22.704999999999998</c:v>
                </c:pt>
                <c:pt idx="805">
                  <c:v>23.093</c:v>
                </c:pt>
                <c:pt idx="806">
                  <c:v>22.669</c:v>
                </c:pt>
                <c:pt idx="807">
                  <c:v>22.806999999999999</c:v>
                </c:pt>
                <c:pt idx="808">
                  <c:v>22.295999999999999</c:v>
                </c:pt>
                <c:pt idx="809">
                  <c:v>22.462</c:v>
                </c:pt>
                <c:pt idx="810">
                  <c:v>22.888999999999999</c:v>
                </c:pt>
                <c:pt idx="811">
                  <c:v>22.927</c:v>
                </c:pt>
                <c:pt idx="812">
                  <c:v>23.251000000000001</c:v>
                </c:pt>
                <c:pt idx="813">
                  <c:v>23.343</c:v>
                </c:pt>
                <c:pt idx="814">
                  <c:v>23.282</c:v>
                </c:pt>
                <c:pt idx="815">
                  <c:v>23.347000000000001</c:v>
                </c:pt>
                <c:pt idx="816">
                  <c:v>22.533999999999999</c:v>
                </c:pt>
                <c:pt idx="817">
                  <c:v>22.588000000000001</c:v>
                </c:pt>
                <c:pt idx="818">
                  <c:v>22.471</c:v>
                </c:pt>
                <c:pt idx="819">
                  <c:v>22.748999999999999</c:v>
                </c:pt>
                <c:pt idx="820">
                  <c:v>22.878</c:v>
                </c:pt>
                <c:pt idx="821">
                  <c:v>22.265999999999998</c:v>
                </c:pt>
                <c:pt idx="822">
                  <c:v>22.495000000000001</c:v>
                </c:pt>
                <c:pt idx="823">
                  <c:v>23.061</c:v>
                </c:pt>
                <c:pt idx="824">
                  <c:v>23.25</c:v>
                </c:pt>
                <c:pt idx="825">
                  <c:v>22.989000000000001</c:v>
                </c:pt>
                <c:pt idx="826">
                  <c:v>22.899000000000001</c:v>
                </c:pt>
                <c:pt idx="827">
                  <c:v>22.638000000000002</c:v>
                </c:pt>
                <c:pt idx="828">
                  <c:v>22.651</c:v>
                </c:pt>
                <c:pt idx="829">
                  <c:v>22.635999999999999</c:v>
                </c:pt>
                <c:pt idx="830">
                  <c:v>22.885000000000002</c:v>
                </c:pt>
                <c:pt idx="831">
                  <c:v>23.991</c:v>
                </c:pt>
                <c:pt idx="832">
                  <c:v>23.984000000000002</c:v>
                </c:pt>
                <c:pt idx="833">
                  <c:v>24.492999999999999</c:v>
                </c:pt>
                <c:pt idx="834">
                  <c:v>24.577999999999999</c:v>
                </c:pt>
                <c:pt idx="835">
                  <c:v>24.715</c:v>
                </c:pt>
                <c:pt idx="836">
                  <c:v>24.393999999999998</c:v>
                </c:pt>
                <c:pt idx="837">
                  <c:v>25.155999999999999</c:v>
                </c:pt>
                <c:pt idx="838">
                  <c:v>25.06</c:v>
                </c:pt>
                <c:pt idx="839">
                  <c:v>25.265000000000001</c:v>
                </c:pt>
                <c:pt idx="840">
                  <c:v>25.135000000000002</c:v>
                </c:pt>
                <c:pt idx="841">
                  <c:v>25.103999999999999</c:v>
                </c:pt>
                <c:pt idx="842">
                  <c:v>25.007000000000001</c:v>
                </c:pt>
                <c:pt idx="843">
                  <c:v>24.890999999999998</c:v>
                </c:pt>
                <c:pt idx="844">
                  <c:v>24.623000000000001</c:v>
                </c:pt>
                <c:pt idx="845">
                  <c:v>24.879000000000001</c:v>
                </c:pt>
                <c:pt idx="846">
                  <c:v>25.202999999999999</c:v>
                </c:pt>
                <c:pt idx="847">
                  <c:v>26.056999999999999</c:v>
                </c:pt>
                <c:pt idx="848">
                  <c:v>27.195</c:v>
                </c:pt>
                <c:pt idx="849">
                  <c:v>27.385000000000002</c:v>
                </c:pt>
                <c:pt idx="850">
                  <c:v>27.956</c:v>
                </c:pt>
                <c:pt idx="851">
                  <c:v>28.134</c:v>
                </c:pt>
                <c:pt idx="852">
                  <c:v>28.204000000000001</c:v>
                </c:pt>
                <c:pt idx="853">
                  <c:v>28.401</c:v>
                </c:pt>
                <c:pt idx="854">
                  <c:v>28.866</c:v>
                </c:pt>
                <c:pt idx="855">
                  <c:v>28.526</c:v>
                </c:pt>
                <c:pt idx="856">
                  <c:v>28.553000000000001</c:v>
                </c:pt>
                <c:pt idx="857">
                  <c:v>28.532</c:v>
                </c:pt>
                <c:pt idx="858">
                  <c:v>27.396999999999998</c:v>
                </c:pt>
                <c:pt idx="859">
                  <c:v>27.510999999999999</c:v>
                </c:pt>
                <c:pt idx="860">
                  <c:v>27.495999999999999</c:v>
                </c:pt>
                <c:pt idx="861">
                  <c:v>27.501999999999999</c:v>
                </c:pt>
                <c:pt idx="862">
                  <c:v>27.66</c:v>
                </c:pt>
                <c:pt idx="863">
                  <c:v>26.654</c:v>
                </c:pt>
                <c:pt idx="864">
                  <c:v>26.748000000000001</c:v>
                </c:pt>
                <c:pt idx="865">
                  <c:v>26.829000000000001</c:v>
                </c:pt>
                <c:pt idx="866">
                  <c:v>27.614000000000001</c:v>
                </c:pt>
                <c:pt idx="867">
                  <c:v>27.544</c:v>
                </c:pt>
                <c:pt idx="868">
                  <c:v>27.600999999999999</c:v>
                </c:pt>
                <c:pt idx="869">
                  <c:v>28.364999999999998</c:v>
                </c:pt>
                <c:pt idx="870">
                  <c:v>28.443000000000001</c:v>
                </c:pt>
                <c:pt idx="871">
                  <c:v>28.702000000000002</c:v>
                </c:pt>
                <c:pt idx="872">
                  <c:v>29.728999999999999</c:v>
                </c:pt>
                <c:pt idx="873">
                  <c:v>29.876000000000001</c:v>
                </c:pt>
                <c:pt idx="874">
                  <c:v>32.426000000000002</c:v>
                </c:pt>
                <c:pt idx="875">
                  <c:v>32.078000000000003</c:v>
                </c:pt>
                <c:pt idx="876">
                  <c:v>31.495999999999999</c:v>
                </c:pt>
                <c:pt idx="877">
                  <c:v>30.454999999999998</c:v>
                </c:pt>
                <c:pt idx="878">
                  <c:v>32.137</c:v>
                </c:pt>
                <c:pt idx="879">
                  <c:v>32.372999999999998</c:v>
                </c:pt>
                <c:pt idx="880">
                  <c:v>31.68</c:v>
                </c:pt>
                <c:pt idx="881">
                  <c:v>30.942</c:v>
                </c:pt>
                <c:pt idx="882">
                  <c:v>29.771999999999998</c:v>
                </c:pt>
                <c:pt idx="883">
                  <c:v>30.228999999999999</c:v>
                </c:pt>
                <c:pt idx="884">
                  <c:v>31.532</c:v>
                </c:pt>
                <c:pt idx="885">
                  <c:v>30.03</c:v>
                </c:pt>
                <c:pt idx="886">
                  <c:v>29.385999999999999</c:v>
                </c:pt>
                <c:pt idx="887">
                  <c:v>30.422000000000001</c:v>
                </c:pt>
                <c:pt idx="888">
                  <c:v>29.216000000000001</c:v>
                </c:pt>
                <c:pt idx="889">
                  <c:v>29.545000000000002</c:v>
                </c:pt>
                <c:pt idx="890">
                  <c:v>29.716999999999999</c:v>
                </c:pt>
                <c:pt idx="891">
                  <c:v>30.981000000000002</c:v>
                </c:pt>
                <c:pt idx="892">
                  <c:v>29.684999999999999</c:v>
                </c:pt>
                <c:pt idx="893">
                  <c:v>29.027999999999999</c:v>
                </c:pt>
                <c:pt idx="894">
                  <c:v>29.091000000000001</c:v>
                </c:pt>
                <c:pt idx="895">
                  <c:v>29.256</c:v>
                </c:pt>
                <c:pt idx="896">
                  <c:v>29.613</c:v>
                </c:pt>
                <c:pt idx="897">
                  <c:v>29.658000000000001</c:v>
                </c:pt>
                <c:pt idx="898">
                  <c:v>30.841999999999999</c:v>
                </c:pt>
                <c:pt idx="899">
                  <c:v>30.913</c:v>
                </c:pt>
                <c:pt idx="900">
                  <c:v>31.056000000000001</c:v>
                </c:pt>
                <c:pt idx="901">
                  <c:v>31.013999999999999</c:v>
                </c:pt>
                <c:pt idx="902">
                  <c:v>31.670999999999999</c:v>
                </c:pt>
                <c:pt idx="903">
                  <c:v>30.936</c:v>
                </c:pt>
                <c:pt idx="904">
                  <c:v>31.457999999999998</c:v>
                </c:pt>
                <c:pt idx="905">
                  <c:v>30.376999999999999</c:v>
                </c:pt>
                <c:pt idx="906">
                  <c:v>30.224</c:v>
                </c:pt>
                <c:pt idx="907">
                  <c:v>29.321000000000002</c:v>
                </c:pt>
                <c:pt idx="908">
                  <c:v>29.331</c:v>
                </c:pt>
                <c:pt idx="909">
                  <c:v>29.315999999999999</c:v>
                </c:pt>
                <c:pt idx="910">
                  <c:v>27.975000000000001</c:v>
                </c:pt>
                <c:pt idx="911">
                  <c:v>27.866</c:v>
                </c:pt>
                <c:pt idx="912">
                  <c:v>28.684999999999999</c:v>
                </c:pt>
                <c:pt idx="913">
                  <c:v>29.073</c:v>
                </c:pt>
                <c:pt idx="914">
                  <c:v>28.606999999999999</c:v>
                </c:pt>
                <c:pt idx="915">
                  <c:v>27.338000000000001</c:v>
                </c:pt>
                <c:pt idx="916">
                  <c:v>27.341000000000001</c:v>
                </c:pt>
                <c:pt idx="917">
                  <c:v>27.068999999999999</c:v>
                </c:pt>
                <c:pt idx="918">
                  <c:v>27.733000000000001</c:v>
                </c:pt>
                <c:pt idx="919">
                  <c:v>28.134</c:v>
                </c:pt>
                <c:pt idx="920">
                  <c:v>27.916</c:v>
                </c:pt>
                <c:pt idx="921">
                  <c:v>27.469000000000001</c:v>
                </c:pt>
                <c:pt idx="922">
                  <c:v>28.547999999999998</c:v>
                </c:pt>
                <c:pt idx="923">
                  <c:v>29.44</c:v>
                </c:pt>
                <c:pt idx="924">
                  <c:v>29.658999999999999</c:v>
                </c:pt>
                <c:pt idx="925">
                  <c:v>29.675999999999998</c:v>
                </c:pt>
                <c:pt idx="926">
                  <c:v>29.184999999999999</c:v>
                </c:pt>
                <c:pt idx="927">
                  <c:v>30.155000000000001</c:v>
                </c:pt>
                <c:pt idx="928">
                  <c:v>30.125</c:v>
                </c:pt>
                <c:pt idx="929">
                  <c:v>29.34</c:v>
                </c:pt>
                <c:pt idx="930">
                  <c:v>29.827000000000002</c:v>
                </c:pt>
                <c:pt idx="931">
                  <c:v>28.207999999999998</c:v>
                </c:pt>
                <c:pt idx="932">
                  <c:v>28.420999999999999</c:v>
                </c:pt>
                <c:pt idx="933">
                  <c:v>28.96</c:v>
                </c:pt>
                <c:pt idx="934">
                  <c:v>28.521000000000001</c:v>
                </c:pt>
                <c:pt idx="935">
                  <c:v>28.484000000000002</c:v>
                </c:pt>
                <c:pt idx="936">
                  <c:v>28.792999999999999</c:v>
                </c:pt>
                <c:pt idx="937">
                  <c:v>29.966999999999999</c:v>
                </c:pt>
                <c:pt idx="938">
                  <c:v>30.99</c:v>
                </c:pt>
                <c:pt idx="939">
                  <c:v>30.834</c:v>
                </c:pt>
                <c:pt idx="940">
                  <c:v>30.542000000000002</c:v>
                </c:pt>
                <c:pt idx="941">
                  <c:v>31.280999999999999</c:v>
                </c:pt>
                <c:pt idx="942">
                  <c:v>30.94</c:v>
                </c:pt>
                <c:pt idx="943">
                  <c:v>32.28</c:v>
                </c:pt>
                <c:pt idx="944">
                  <c:v>31.87</c:v>
                </c:pt>
                <c:pt idx="945">
                  <c:v>32.195</c:v>
                </c:pt>
                <c:pt idx="946">
                  <c:v>31.457999999999998</c:v>
                </c:pt>
                <c:pt idx="947">
                  <c:v>31.742000000000001</c:v>
                </c:pt>
                <c:pt idx="948">
                  <c:v>31.92</c:v>
                </c:pt>
                <c:pt idx="949">
                  <c:v>32.463999999999999</c:v>
                </c:pt>
                <c:pt idx="950">
                  <c:v>32.003999999999998</c:v>
                </c:pt>
                <c:pt idx="951">
                  <c:v>30.6</c:v>
                </c:pt>
                <c:pt idx="952">
                  <c:v>30.67</c:v>
                </c:pt>
                <c:pt idx="953">
                  <c:v>31.24</c:v>
                </c:pt>
                <c:pt idx="954">
                  <c:v>31.315999999999999</c:v>
                </c:pt>
                <c:pt idx="955">
                  <c:v>31.756</c:v>
                </c:pt>
                <c:pt idx="956">
                  <c:v>31.974</c:v>
                </c:pt>
                <c:pt idx="957">
                  <c:v>31.774000000000001</c:v>
                </c:pt>
                <c:pt idx="958">
                  <c:v>34.078000000000003</c:v>
                </c:pt>
                <c:pt idx="959">
                  <c:v>35.040999999999997</c:v>
                </c:pt>
                <c:pt idx="960">
                  <c:v>33.838999999999999</c:v>
                </c:pt>
                <c:pt idx="961">
                  <c:v>33.795000000000002</c:v>
                </c:pt>
                <c:pt idx="962">
                  <c:v>34.000999999999998</c:v>
                </c:pt>
                <c:pt idx="963">
                  <c:v>34.441000000000003</c:v>
                </c:pt>
                <c:pt idx="964">
                  <c:v>34.234000000000002</c:v>
                </c:pt>
                <c:pt idx="965">
                  <c:v>32.953000000000003</c:v>
                </c:pt>
                <c:pt idx="966">
                  <c:v>32.765000000000001</c:v>
                </c:pt>
                <c:pt idx="967">
                  <c:v>32.933999999999997</c:v>
                </c:pt>
                <c:pt idx="968">
                  <c:v>31.484999999999999</c:v>
                </c:pt>
                <c:pt idx="969">
                  <c:v>32.012999999999998</c:v>
                </c:pt>
                <c:pt idx="970">
                  <c:v>30.768000000000001</c:v>
                </c:pt>
                <c:pt idx="971">
                  <c:v>30.914999999999999</c:v>
                </c:pt>
                <c:pt idx="972">
                  <c:v>30.817</c:v>
                </c:pt>
                <c:pt idx="973">
                  <c:v>30.724</c:v>
                </c:pt>
                <c:pt idx="974">
                  <c:v>31.379000000000001</c:v>
                </c:pt>
                <c:pt idx="975">
                  <c:v>31.417000000000002</c:v>
                </c:pt>
                <c:pt idx="976">
                  <c:v>31.158999999999999</c:v>
                </c:pt>
                <c:pt idx="977">
                  <c:v>31.099</c:v>
                </c:pt>
                <c:pt idx="978">
                  <c:v>30.396000000000001</c:v>
                </c:pt>
                <c:pt idx="979">
                  <c:v>30.567</c:v>
                </c:pt>
                <c:pt idx="980">
                  <c:v>30.454999999999998</c:v>
                </c:pt>
                <c:pt idx="981">
                  <c:v>30.742000000000001</c:v>
                </c:pt>
                <c:pt idx="982">
                  <c:v>31.363</c:v>
                </c:pt>
                <c:pt idx="983">
                  <c:v>31.786000000000001</c:v>
                </c:pt>
                <c:pt idx="984">
                  <c:v>31.405999999999999</c:v>
                </c:pt>
                <c:pt idx="985">
                  <c:v>32.481000000000002</c:v>
                </c:pt>
                <c:pt idx="986">
                  <c:v>32.612000000000002</c:v>
                </c:pt>
                <c:pt idx="987">
                  <c:v>32.823</c:v>
                </c:pt>
                <c:pt idx="988">
                  <c:v>31.481999999999999</c:v>
                </c:pt>
                <c:pt idx="989">
                  <c:v>30.927</c:v>
                </c:pt>
                <c:pt idx="990">
                  <c:v>30.795999999999999</c:v>
                </c:pt>
                <c:pt idx="991">
                  <c:v>30.61</c:v>
                </c:pt>
                <c:pt idx="992">
                  <c:v>29.282</c:v>
                </c:pt>
                <c:pt idx="993">
                  <c:v>30.06</c:v>
                </c:pt>
                <c:pt idx="994">
                  <c:v>30.234000000000002</c:v>
                </c:pt>
                <c:pt idx="995">
                  <c:v>29.411999999999999</c:v>
                </c:pt>
                <c:pt idx="996">
                  <c:v>29.9</c:v>
                </c:pt>
                <c:pt idx="997">
                  <c:v>30.582999999999998</c:v>
                </c:pt>
                <c:pt idx="998">
                  <c:v>30.686</c:v>
                </c:pt>
                <c:pt idx="999">
                  <c:v>30.69</c:v>
                </c:pt>
                <c:pt idx="1000">
                  <c:v>31.015000000000001</c:v>
                </c:pt>
                <c:pt idx="1001">
                  <c:v>30.309000000000001</c:v>
                </c:pt>
                <c:pt idx="1002">
                  <c:v>30.350999999999999</c:v>
                </c:pt>
                <c:pt idx="1003">
                  <c:v>31.530999999999999</c:v>
                </c:pt>
                <c:pt idx="1004">
                  <c:v>31.725000000000001</c:v>
                </c:pt>
                <c:pt idx="1005">
                  <c:v>31.495999999999999</c:v>
                </c:pt>
                <c:pt idx="1006">
                  <c:v>31.42</c:v>
                </c:pt>
                <c:pt idx="1007">
                  <c:v>30.712</c:v>
                </c:pt>
                <c:pt idx="1008">
                  <c:v>30.283000000000001</c:v>
                </c:pt>
                <c:pt idx="1009">
                  <c:v>30.754999999999999</c:v>
                </c:pt>
                <c:pt idx="1010">
                  <c:v>31.263999999999999</c:v>
                </c:pt>
                <c:pt idx="1011">
                  <c:v>32.493000000000002</c:v>
                </c:pt>
                <c:pt idx="1012">
                  <c:v>32.526000000000003</c:v>
                </c:pt>
                <c:pt idx="1013">
                  <c:v>33.021999999999998</c:v>
                </c:pt>
                <c:pt idx="1014">
                  <c:v>32.975999999999999</c:v>
                </c:pt>
                <c:pt idx="1015">
                  <c:v>32.625999999999998</c:v>
                </c:pt>
                <c:pt idx="1016">
                  <c:v>32.491</c:v>
                </c:pt>
                <c:pt idx="1017">
                  <c:v>32.322000000000003</c:v>
                </c:pt>
                <c:pt idx="1018">
                  <c:v>32.784999999999997</c:v>
                </c:pt>
                <c:pt idx="1019">
                  <c:v>32.725999999999999</c:v>
                </c:pt>
                <c:pt idx="1020">
                  <c:v>33.372999999999998</c:v>
                </c:pt>
                <c:pt idx="1021">
                  <c:v>33.042999999999999</c:v>
                </c:pt>
                <c:pt idx="1022">
                  <c:v>33.485999999999997</c:v>
                </c:pt>
                <c:pt idx="1023">
                  <c:v>32.762999999999998</c:v>
                </c:pt>
                <c:pt idx="1024">
                  <c:v>31.975999999999999</c:v>
                </c:pt>
                <c:pt idx="1025">
                  <c:v>32.418999999999997</c:v>
                </c:pt>
                <c:pt idx="1026">
                  <c:v>32.11</c:v>
                </c:pt>
                <c:pt idx="1027">
                  <c:v>32.31</c:v>
                </c:pt>
                <c:pt idx="1028">
                  <c:v>32.381</c:v>
                </c:pt>
                <c:pt idx="1029">
                  <c:v>33.134</c:v>
                </c:pt>
                <c:pt idx="1030">
                  <c:v>33.338000000000001</c:v>
                </c:pt>
                <c:pt idx="1031">
                  <c:v>32.53</c:v>
                </c:pt>
                <c:pt idx="1032">
                  <c:v>33.146999999999998</c:v>
                </c:pt>
                <c:pt idx="1033">
                  <c:v>33.743000000000002</c:v>
                </c:pt>
                <c:pt idx="1034">
                  <c:v>34.305999999999997</c:v>
                </c:pt>
                <c:pt idx="1035">
                  <c:v>34.308</c:v>
                </c:pt>
                <c:pt idx="1036">
                  <c:v>34.817999999999998</c:v>
                </c:pt>
                <c:pt idx="1037">
                  <c:v>34.204999999999998</c:v>
                </c:pt>
                <c:pt idx="1038">
                  <c:v>33.991</c:v>
                </c:pt>
                <c:pt idx="1039">
                  <c:v>33.450000000000003</c:v>
                </c:pt>
                <c:pt idx="1040">
                  <c:v>34.023000000000003</c:v>
                </c:pt>
                <c:pt idx="1041">
                  <c:v>34.054000000000002</c:v>
                </c:pt>
                <c:pt idx="1042">
                  <c:v>34.905000000000001</c:v>
                </c:pt>
                <c:pt idx="1043">
                  <c:v>34.610999999999997</c:v>
                </c:pt>
                <c:pt idx="1044">
                  <c:v>34.308999999999997</c:v>
                </c:pt>
                <c:pt idx="1045">
                  <c:v>34.65</c:v>
                </c:pt>
                <c:pt idx="1046">
                  <c:v>31.97</c:v>
                </c:pt>
                <c:pt idx="1047">
                  <c:v>29.603999999999999</c:v>
                </c:pt>
                <c:pt idx="1048">
                  <c:v>29.686</c:v>
                </c:pt>
                <c:pt idx="1049">
                  <c:v>30.414999999999999</c:v>
                </c:pt>
                <c:pt idx="1050">
                  <c:v>30.759</c:v>
                </c:pt>
                <c:pt idx="1051">
                  <c:v>32.167000000000002</c:v>
                </c:pt>
                <c:pt idx="1052">
                  <c:v>32.296999999999997</c:v>
                </c:pt>
                <c:pt idx="1053">
                  <c:v>32.979999999999997</c:v>
                </c:pt>
                <c:pt idx="1054">
                  <c:v>32.521000000000001</c:v>
                </c:pt>
                <c:pt idx="1055">
                  <c:v>32.905000000000001</c:v>
                </c:pt>
                <c:pt idx="1056">
                  <c:v>33.546999999999997</c:v>
                </c:pt>
                <c:pt idx="1057">
                  <c:v>33.503</c:v>
                </c:pt>
                <c:pt idx="1058">
                  <c:v>33.164999999999999</c:v>
                </c:pt>
                <c:pt idx="1059">
                  <c:v>33.576999999999998</c:v>
                </c:pt>
                <c:pt idx="1060">
                  <c:v>32.828000000000003</c:v>
                </c:pt>
                <c:pt idx="1061">
                  <c:v>32.469000000000001</c:v>
                </c:pt>
                <c:pt idx="1062">
                  <c:v>32.473999999999997</c:v>
                </c:pt>
                <c:pt idx="1063">
                  <c:v>33.381</c:v>
                </c:pt>
                <c:pt idx="1064">
                  <c:v>32.790999999999997</c:v>
                </c:pt>
                <c:pt idx="1065">
                  <c:v>32.616999999999997</c:v>
                </c:pt>
                <c:pt idx="1066">
                  <c:v>32.624000000000002</c:v>
                </c:pt>
                <c:pt idx="1067">
                  <c:v>33.1</c:v>
                </c:pt>
                <c:pt idx="1068">
                  <c:v>32.444000000000003</c:v>
                </c:pt>
                <c:pt idx="1069">
                  <c:v>32.68</c:v>
                </c:pt>
                <c:pt idx="1070">
                  <c:v>32.506999999999998</c:v>
                </c:pt>
                <c:pt idx="1071">
                  <c:v>33.173999999999999</c:v>
                </c:pt>
                <c:pt idx="1072">
                  <c:v>33.646000000000001</c:v>
                </c:pt>
                <c:pt idx="1073">
                  <c:v>33.219000000000001</c:v>
                </c:pt>
                <c:pt idx="1074">
                  <c:v>33.594999999999999</c:v>
                </c:pt>
                <c:pt idx="1075">
                  <c:v>33.311</c:v>
                </c:pt>
                <c:pt idx="1076">
                  <c:v>33.159999999999997</c:v>
                </c:pt>
                <c:pt idx="1077">
                  <c:v>33.423000000000002</c:v>
                </c:pt>
                <c:pt idx="1078">
                  <c:v>34.694000000000003</c:v>
                </c:pt>
                <c:pt idx="1079">
                  <c:v>34.633000000000003</c:v>
                </c:pt>
                <c:pt idx="1080">
                  <c:v>34.648000000000003</c:v>
                </c:pt>
                <c:pt idx="1081">
                  <c:v>35.805</c:v>
                </c:pt>
                <c:pt idx="1082">
                  <c:v>36.795999999999999</c:v>
                </c:pt>
                <c:pt idx="1083">
                  <c:v>36.642000000000003</c:v>
                </c:pt>
                <c:pt idx="1084">
                  <c:v>36.261000000000003</c:v>
                </c:pt>
                <c:pt idx="1085">
                  <c:v>36.295000000000002</c:v>
                </c:pt>
                <c:pt idx="1086">
                  <c:v>36.448</c:v>
                </c:pt>
                <c:pt idx="1087">
                  <c:v>37.151000000000003</c:v>
                </c:pt>
                <c:pt idx="1088">
                  <c:v>36.912999999999997</c:v>
                </c:pt>
                <c:pt idx="1089">
                  <c:v>36.152999999999999</c:v>
                </c:pt>
                <c:pt idx="1090">
                  <c:v>35.701000000000001</c:v>
                </c:pt>
                <c:pt idx="1091">
                  <c:v>36.085000000000001</c:v>
                </c:pt>
                <c:pt idx="1092">
                  <c:v>36.756999999999998</c:v>
                </c:pt>
                <c:pt idx="1093">
                  <c:v>36.171999999999997</c:v>
                </c:pt>
                <c:pt idx="1094">
                  <c:v>36.396999999999998</c:v>
                </c:pt>
                <c:pt idx="1095">
                  <c:v>36.726999999999997</c:v>
                </c:pt>
                <c:pt idx="1096">
                  <c:v>37.084000000000003</c:v>
                </c:pt>
                <c:pt idx="1097">
                  <c:v>36.904000000000003</c:v>
                </c:pt>
                <c:pt idx="1098">
                  <c:v>36.749000000000002</c:v>
                </c:pt>
                <c:pt idx="1099">
                  <c:v>36.630000000000003</c:v>
                </c:pt>
                <c:pt idx="1100">
                  <c:v>37.305</c:v>
                </c:pt>
                <c:pt idx="1101">
                  <c:v>38.741999999999997</c:v>
                </c:pt>
                <c:pt idx="1102">
                  <c:v>38.11</c:v>
                </c:pt>
                <c:pt idx="1103">
                  <c:v>38.119</c:v>
                </c:pt>
                <c:pt idx="1104">
                  <c:v>38.302999999999997</c:v>
                </c:pt>
                <c:pt idx="1105">
                  <c:v>39.334000000000003</c:v>
                </c:pt>
                <c:pt idx="1106">
                  <c:v>39.555</c:v>
                </c:pt>
                <c:pt idx="1107">
                  <c:v>39.503</c:v>
                </c:pt>
                <c:pt idx="1108">
                  <c:v>39.223999999999997</c:v>
                </c:pt>
                <c:pt idx="1109">
                  <c:v>38.042999999999999</c:v>
                </c:pt>
                <c:pt idx="1110">
                  <c:v>38.100999999999999</c:v>
                </c:pt>
                <c:pt idx="1111">
                  <c:v>37.738999999999997</c:v>
                </c:pt>
                <c:pt idx="1112">
                  <c:v>36.712000000000003</c:v>
                </c:pt>
                <c:pt idx="1113">
                  <c:v>37.328000000000003</c:v>
                </c:pt>
                <c:pt idx="1114">
                  <c:v>37.823</c:v>
                </c:pt>
                <c:pt idx="1115">
                  <c:v>37.902000000000001</c:v>
                </c:pt>
                <c:pt idx="1116">
                  <c:v>38.293999999999997</c:v>
                </c:pt>
                <c:pt idx="1117">
                  <c:v>37.786999999999999</c:v>
                </c:pt>
                <c:pt idx="1118">
                  <c:v>38.002000000000002</c:v>
                </c:pt>
                <c:pt idx="1119">
                  <c:v>38.601999999999997</c:v>
                </c:pt>
                <c:pt idx="1120">
                  <c:v>38.069000000000003</c:v>
                </c:pt>
                <c:pt idx="1121">
                  <c:v>38.029000000000003</c:v>
                </c:pt>
                <c:pt idx="1122">
                  <c:v>37.332000000000001</c:v>
                </c:pt>
                <c:pt idx="1123">
                  <c:v>37.773000000000003</c:v>
                </c:pt>
                <c:pt idx="1124">
                  <c:v>38.079000000000001</c:v>
                </c:pt>
                <c:pt idx="1125">
                  <c:v>39.051000000000002</c:v>
                </c:pt>
                <c:pt idx="1126">
                  <c:v>38.954999999999998</c:v>
                </c:pt>
                <c:pt idx="1127">
                  <c:v>39.055999999999997</c:v>
                </c:pt>
                <c:pt idx="1128">
                  <c:v>39.703000000000003</c:v>
                </c:pt>
                <c:pt idx="1129">
                  <c:v>40.661999999999999</c:v>
                </c:pt>
                <c:pt idx="1130">
                  <c:v>41.591999999999999</c:v>
                </c:pt>
                <c:pt idx="1131">
                  <c:v>42.06</c:v>
                </c:pt>
                <c:pt idx="1132">
                  <c:v>41.417000000000002</c:v>
                </c:pt>
                <c:pt idx="1133">
                  <c:v>41.902000000000001</c:v>
                </c:pt>
                <c:pt idx="1134">
                  <c:v>41.341000000000001</c:v>
                </c:pt>
                <c:pt idx="1135">
                  <c:v>41.6</c:v>
                </c:pt>
                <c:pt idx="1136">
                  <c:v>42.149000000000001</c:v>
                </c:pt>
                <c:pt idx="1137">
                  <c:v>42.962000000000003</c:v>
                </c:pt>
                <c:pt idx="1138">
                  <c:v>42.917000000000002</c:v>
                </c:pt>
                <c:pt idx="1139">
                  <c:v>42.152000000000001</c:v>
                </c:pt>
                <c:pt idx="1140">
                  <c:v>42.118000000000002</c:v>
                </c:pt>
                <c:pt idx="1141">
                  <c:v>44.043999999999997</c:v>
                </c:pt>
                <c:pt idx="1142">
                  <c:v>44.436999999999998</c:v>
                </c:pt>
                <c:pt idx="1143">
                  <c:v>44.02</c:v>
                </c:pt>
                <c:pt idx="1144">
                  <c:v>44.933</c:v>
                </c:pt>
                <c:pt idx="1145">
                  <c:v>47.015999999999998</c:v>
                </c:pt>
                <c:pt idx="1146">
                  <c:v>46.64</c:v>
                </c:pt>
                <c:pt idx="1147">
                  <c:v>47.679000000000002</c:v>
                </c:pt>
                <c:pt idx="1148">
                  <c:v>46.369</c:v>
                </c:pt>
                <c:pt idx="1149">
                  <c:v>47.515000000000001</c:v>
                </c:pt>
                <c:pt idx="1150">
                  <c:v>48.994</c:v>
                </c:pt>
                <c:pt idx="1151">
                  <c:v>47.156999999999996</c:v>
                </c:pt>
                <c:pt idx="1152">
                  <c:v>47.247</c:v>
                </c:pt>
                <c:pt idx="1153">
                  <c:v>50.622</c:v>
                </c:pt>
                <c:pt idx="1154">
                  <c:v>51.378</c:v>
                </c:pt>
                <c:pt idx="1155">
                  <c:v>53.295999999999999</c:v>
                </c:pt>
                <c:pt idx="1156">
                  <c:v>50.103999999999999</c:v>
                </c:pt>
                <c:pt idx="1157">
                  <c:v>47.704000000000001</c:v>
                </c:pt>
                <c:pt idx="1158">
                  <c:v>47.680999999999997</c:v>
                </c:pt>
                <c:pt idx="1159">
                  <c:v>48.704000000000001</c:v>
                </c:pt>
                <c:pt idx="1160">
                  <c:v>48.585999999999999</c:v>
                </c:pt>
                <c:pt idx="1161">
                  <c:v>47.323999999999998</c:v>
                </c:pt>
                <c:pt idx="1162">
                  <c:v>47.912999999999997</c:v>
                </c:pt>
                <c:pt idx="1163">
                  <c:v>48.616</c:v>
                </c:pt>
                <c:pt idx="1164">
                  <c:v>48.16</c:v>
                </c:pt>
                <c:pt idx="1165">
                  <c:v>47.290999999999997</c:v>
                </c:pt>
                <c:pt idx="1166">
                  <c:v>48.021999999999998</c:v>
                </c:pt>
                <c:pt idx="1167">
                  <c:v>47.95</c:v>
                </c:pt>
                <c:pt idx="1168">
                  <c:v>48.143000000000001</c:v>
                </c:pt>
                <c:pt idx="1169">
                  <c:v>50.744</c:v>
                </c:pt>
                <c:pt idx="1170">
                  <c:v>53.457000000000001</c:v>
                </c:pt>
                <c:pt idx="1171">
                  <c:v>53.17</c:v>
                </c:pt>
                <c:pt idx="1172">
                  <c:v>50.686</c:v>
                </c:pt>
                <c:pt idx="1173">
                  <c:v>50.521000000000001</c:v>
                </c:pt>
                <c:pt idx="1174">
                  <c:v>50.853999999999999</c:v>
                </c:pt>
                <c:pt idx="1175">
                  <c:v>50.301000000000002</c:v>
                </c:pt>
                <c:pt idx="1176">
                  <c:v>49.912999999999997</c:v>
                </c:pt>
                <c:pt idx="1177">
                  <c:v>50.965000000000003</c:v>
                </c:pt>
                <c:pt idx="1178">
                  <c:v>53.606999999999999</c:v>
                </c:pt>
                <c:pt idx="1179">
                  <c:v>57.162999999999997</c:v>
                </c:pt>
                <c:pt idx="1180">
                  <c:v>58.703000000000003</c:v>
                </c:pt>
                <c:pt idx="1181">
                  <c:v>58.62</c:v>
                </c:pt>
                <c:pt idx="1182">
                  <c:v>57.491</c:v>
                </c:pt>
                <c:pt idx="1183">
                  <c:v>59.052999999999997</c:v>
                </c:pt>
                <c:pt idx="1184">
                  <c:v>60.84</c:v>
                </c:pt>
                <c:pt idx="1185">
                  <c:v>61.029000000000003</c:v>
                </c:pt>
                <c:pt idx="1186">
                  <c:v>64.591999999999999</c:v>
                </c:pt>
                <c:pt idx="1187">
                  <c:v>62.006999999999998</c:v>
                </c:pt>
                <c:pt idx="1188">
                  <c:v>63.323</c:v>
                </c:pt>
                <c:pt idx="1189">
                  <c:v>66.900999999999996</c:v>
                </c:pt>
                <c:pt idx="1190">
                  <c:v>65.218999999999994</c:v>
                </c:pt>
                <c:pt idx="1191">
                  <c:v>67.489000000000004</c:v>
                </c:pt>
                <c:pt idx="1192">
                  <c:v>71.137</c:v>
                </c:pt>
                <c:pt idx="1193">
                  <c:v>71.685000000000002</c:v>
                </c:pt>
                <c:pt idx="1194">
                  <c:v>77.195999999999998</c:v>
                </c:pt>
                <c:pt idx="1195">
                  <c:v>77.918999999999997</c:v>
                </c:pt>
                <c:pt idx="1196">
                  <c:v>70.602999999999994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9E-4B1D-9A63-3AC3F5B3B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954815"/>
        <c:axId val="1878956735"/>
      </c:lineChart>
      <c:catAx>
        <c:axId val="200445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2055071"/>
        <c:crosses val="autoZero"/>
        <c:auto val="1"/>
        <c:lblAlgn val="ctr"/>
        <c:lblOffset val="100"/>
        <c:noMultiLvlLbl val="0"/>
      </c:catAx>
      <c:valAx>
        <c:axId val="8420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4457919"/>
        <c:crosses val="autoZero"/>
        <c:crossBetween val="between"/>
      </c:valAx>
      <c:valAx>
        <c:axId val="18789567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8954815"/>
        <c:crosses val="max"/>
        <c:crossBetween val="between"/>
      </c:valAx>
      <c:catAx>
        <c:axId val="18789548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789567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Figure 2. Gold Daily Return (2020-2025)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2544744661737267E-2"/>
          <c:y val="0.16860439133517974"/>
          <c:w val="0.8989728762250242"/>
          <c:h val="0.6714577865266842"/>
        </c:manualLayout>
      </c:layout>
      <c:areaChart>
        <c:grouping val="standar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Daily Return Gold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E8E8E8">
                  <a:lumMod val="50000"/>
                </a:srgbClr>
              </a:solidFill>
            </a:ln>
            <a:effectLst/>
          </c:spPr>
          <c:cat>
            <c:strRef>
              <c:f>Analysis!$A$2:$A$1328</c:f>
              <c:strCache>
                <c:ptCount val="1197"/>
                <c:pt idx="0">
                  <c:v>02.01.2020</c:v>
                </c:pt>
                <c:pt idx="1">
                  <c:v>06.01.2020</c:v>
                </c:pt>
                <c:pt idx="2">
                  <c:v>07.01.2020</c:v>
                </c:pt>
                <c:pt idx="3">
                  <c:v>08.01.2020</c:v>
                </c:pt>
                <c:pt idx="4">
                  <c:v>09.01.2020</c:v>
                </c:pt>
                <c:pt idx="5">
                  <c:v>13.01.2020</c:v>
                </c:pt>
                <c:pt idx="6">
                  <c:v>14.01.2020</c:v>
                </c:pt>
                <c:pt idx="7">
                  <c:v>15.01.2020</c:v>
                </c:pt>
                <c:pt idx="8">
                  <c:v>16.01.2020</c:v>
                </c:pt>
                <c:pt idx="9">
                  <c:v>21.01.2020</c:v>
                </c:pt>
                <c:pt idx="10">
                  <c:v>22.01.2020</c:v>
                </c:pt>
                <c:pt idx="11">
                  <c:v>23.01.2020</c:v>
                </c:pt>
                <c:pt idx="12">
                  <c:v>27.01.2020</c:v>
                </c:pt>
                <c:pt idx="13">
                  <c:v>28.01.2020</c:v>
                </c:pt>
                <c:pt idx="14">
                  <c:v>29.01.2020</c:v>
                </c:pt>
                <c:pt idx="15">
                  <c:v>30.01.2020</c:v>
                </c:pt>
                <c:pt idx="16">
                  <c:v>03.02.2020</c:v>
                </c:pt>
                <c:pt idx="17">
                  <c:v>04.02.2020</c:v>
                </c:pt>
                <c:pt idx="18">
                  <c:v>05.02.2020</c:v>
                </c:pt>
                <c:pt idx="19">
                  <c:v>06.02.2020</c:v>
                </c:pt>
                <c:pt idx="20">
                  <c:v>10.02.2020</c:v>
                </c:pt>
                <c:pt idx="21">
                  <c:v>11.02.2020</c:v>
                </c:pt>
                <c:pt idx="22">
                  <c:v>12.02.2020</c:v>
                </c:pt>
                <c:pt idx="23">
                  <c:v>13.02.2020</c:v>
                </c:pt>
                <c:pt idx="24">
                  <c:v>18.02.2020</c:v>
                </c:pt>
                <c:pt idx="25">
                  <c:v>19.02.2020</c:v>
                </c:pt>
                <c:pt idx="26">
                  <c:v>20.02.2020</c:v>
                </c:pt>
                <c:pt idx="27">
                  <c:v>24.02.2020</c:v>
                </c:pt>
                <c:pt idx="28">
                  <c:v>25.02.2020</c:v>
                </c:pt>
                <c:pt idx="29">
                  <c:v>26.02.2020</c:v>
                </c:pt>
                <c:pt idx="30">
                  <c:v>27.02.2020</c:v>
                </c:pt>
                <c:pt idx="31">
                  <c:v>02.03.2020</c:v>
                </c:pt>
                <c:pt idx="32">
                  <c:v>03.03.2020</c:v>
                </c:pt>
                <c:pt idx="33">
                  <c:v>04.03.2020</c:v>
                </c:pt>
                <c:pt idx="34">
                  <c:v>05.03.2020</c:v>
                </c:pt>
                <c:pt idx="35">
                  <c:v>09.03.2020</c:v>
                </c:pt>
                <c:pt idx="36">
                  <c:v>10.03.2020</c:v>
                </c:pt>
                <c:pt idx="37">
                  <c:v>11.03.2020</c:v>
                </c:pt>
                <c:pt idx="38">
                  <c:v>12.03.2020</c:v>
                </c:pt>
                <c:pt idx="39">
                  <c:v>16.03.2020</c:v>
                </c:pt>
                <c:pt idx="40">
                  <c:v>17.03.2020</c:v>
                </c:pt>
                <c:pt idx="41">
                  <c:v>18.03.2020</c:v>
                </c:pt>
                <c:pt idx="42">
                  <c:v>19.03.2020</c:v>
                </c:pt>
                <c:pt idx="43">
                  <c:v>23.03.2020</c:v>
                </c:pt>
                <c:pt idx="44">
                  <c:v>24.03.2020</c:v>
                </c:pt>
                <c:pt idx="45">
                  <c:v>25.03.2020</c:v>
                </c:pt>
                <c:pt idx="46">
                  <c:v>26.03.2020</c:v>
                </c:pt>
                <c:pt idx="47">
                  <c:v>30.03.2020</c:v>
                </c:pt>
                <c:pt idx="48">
                  <c:v>31.03.2020</c:v>
                </c:pt>
                <c:pt idx="49">
                  <c:v>01.04.2020</c:v>
                </c:pt>
                <c:pt idx="50">
                  <c:v>02.04.2020</c:v>
                </c:pt>
                <c:pt idx="51">
                  <c:v>06.04.2020</c:v>
                </c:pt>
                <c:pt idx="52">
                  <c:v>07.04.2020</c:v>
                </c:pt>
                <c:pt idx="53">
                  <c:v>08.04.2020</c:v>
                </c:pt>
                <c:pt idx="54">
                  <c:v>13.04.2020</c:v>
                </c:pt>
                <c:pt idx="55">
                  <c:v>14.04.2020</c:v>
                </c:pt>
                <c:pt idx="56">
                  <c:v>15.04.2020</c:v>
                </c:pt>
                <c:pt idx="57">
                  <c:v>16.04.2020</c:v>
                </c:pt>
                <c:pt idx="58">
                  <c:v>20.04.2020</c:v>
                </c:pt>
                <c:pt idx="59">
                  <c:v>21.04.2020</c:v>
                </c:pt>
                <c:pt idx="60">
                  <c:v>22.04.2020</c:v>
                </c:pt>
                <c:pt idx="61">
                  <c:v>23.04.2020</c:v>
                </c:pt>
                <c:pt idx="62">
                  <c:v>27.04.2020</c:v>
                </c:pt>
                <c:pt idx="63">
                  <c:v>28.04.2020</c:v>
                </c:pt>
                <c:pt idx="64">
                  <c:v>29.04.2020</c:v>
                </c:pt>
                <c:pt idx="65">
                  <c:v>30.04.2020</c:v>
                </c:pt>
                <c:pt idx="66">
                  <c:v>04.05.2020</c:v>
                </c:pt>
                <c:pt idx="67">
                  <c:v>05.05.2020</c:v>
                </c:pt>
                <c:pt idx="68">
                  <c:v>06.05.2020</c:v>
                </c:pt>
                <c:pt idx="69">
                  <c:v>07.05.2020</c:v>
                </c:pt>
                <c:pt idx="70">
                  <c:v>11.05.2020</c:v>
                </c:pt>
                <c:pt idx="71">
                  <c:v>12.05.2020</c:v>
                </c:pt>
                <c:pt idx="72">
                  <c:v>13.05.2020</c:v>
                </c:pt>
                <c:pt idx="73">
                  <c:v>14.05.2020</c:v>
                </c:pt>
                <c:pt idx="74">
                  <c:v>18.05.2020</c:v>
                </c:pt>
                <c:pt idx="75">
                  <c:v>19.05.2020</c:v>
                </c:pt>
                <c:pt idx="76">
                  <c:v>20.05.2020</c:v>
                </c:pt>
                <c:pt idx="77">
                  <c:v>21.05.2020</c:v>
                </c:pt>
                <c:pt idx="78">
                  <c:v>26.05.2020</c:v>
                </c:pt>
                <c:pt idx="79">
                  <c:v>27.05.2020</c:v>
                </c:pt>
                <c:pt idx="80">
                  <c:v>28.05.2020</c:v>
                </c:pt>
                <c:pt idx="81">
                  <c:v>01.06.2020</c:v>
                </c:pt>
                <c:pt idx="82">
                  <c:v>02.06.2020</c:v>
                </c:pt>
                <c:pt idx="83">
                  <c:v>03.06.2020</c:v>
                </c:pt>
                <c:pt idx="84">
                  <c:v>04.06.2020</c:v>
                </c:pt>
                <c:pt idx="85">
                  <c:v>08.06.2020</c:v>
                </c:pt>
                <c:pt idx="86">
                  <c:v>09.06.2020</c:v>
                </c:pt>
                <c:pt idx="87">
                  <c:v>10.06.2020</c:v>
                </c:pt>
                <c:pt idx="88">
                  <c:v>11.06.2020</c:v>
                </c:pt>
                <c:pt idx="89">
                  <c:v>15.06.2020</c:v>
                </c:pt>
                <c:pt idx="90">
                  <c:v>16.06.2020</c:v>
                </c:pt>
                <c:pt idx="91">
                  <c:v>17.06.2020</c:v>
                </c:pt>
                <c:pt idx="92">
                  <c:v>18.06.2020</c:v>
                </c:pt>
                <c:pt idx="93">
                  <c:v>22.06.2020</c:v>
                </c:pt>
                <c:pt idx="94">
                  <c:v>23.06.2020</c:v>
                </c:pt>
                <c:pt idx="95">
                  <c:v>24.06.2020</c:v>
                </c:pt>
                <c:pt idx="96">
                  <c:v>25.06.2020</c:v>
                </c:pt>
                <c:pt idx="97">
                  <c:v>29.06.2020</c:v>
                </c:pt>
                <c:pt idx="98">
                  <c:v>30.06.2020</c:v>
                </c:pt>
                <c:pt idx="99">
                  <c:v>01.07.2020</c:v>
                </c:pt>
                <c:pt idx="100">
                  <c:v>02.07.2020</c:v>
                </c:pt>
                <c:pt idx="101">
                  <c:v>06.07.2020</c:v>
                </c:pt>
                <c:pt idx="102">
                  <c:v>07.07.2020</c:v>
                </c:pt>
                <c:pt idx="103">
                  <c:v>08.07.2020</c:v>
                </c:pt>
                <c:pt idx="104">
                  <c:v>09.07.2020</c:v>
                </c:pt>
                <c:pt idx="105">
                  <c:v>13.07.2020</c:v>
                </c:pt>
                <c:pt idx="106">
                  <c:v>14.07.2020</c:v>
                </c:pt>
                <c:pt idx="107">
                  <c:v>15.07.2020</c:v>
                </c:pt>
                <c:pt idx="108">
                  <c:v>16.07.2020</c:v>
                </c:pt>
                <c:pt idx="109">
                  <c:v>20.07.2020</c:v>
                </c:pt>
                <c:pt idx="110">
                  <c:v>21.07.2020</c:v>
                </c:pt>
                <c:pt idx="111">
                  <c:v>22.07.2020</c:v>
                </c:pt>
                <c:pt idx="112">
                  <c:v>23.07.2020</c:v>
                </c:pt>
                <c:pt idx="113">
                  <c:v>27.07.2020</c:v>
                </c:pt>
                <c:pt idx="114">
                  <c:v>28.07.2020</c:v>
                </c:pt>
                <c:pt idx="115">
                  <c:v>29.07.2020</c:v>
                </c:pt>
                <c:pt idx="116">
                  <c:v>30.07.2020</c:v>
                </c:pt>
                <c:pt idx="117">
                  <c:v>03.08.2020</c:v>
                </c:pt>
                <c:pt idx="118">
                  <c:v>04.08.2020</c:v>
                </c:pt>
                <c:pt idx="119">
                  <c:v>05.08.2020</c:v>
                </c:pt>
                <c:pt idx="120">
                  <c:v>06.08.2020</c:v>
                </c:pt>
                <c:pt idx="121">
                  <c:v>10.08.2020</c:v>
                </c:pt>
                <c:pt idx="122">
                  <c:v>11.08.2020</c:v>
                </c:pt>
                <c:pt idx="123">
                  <c:v>12.08.2020</c:v>
                </c:pt>
                <c:pt idx="124">
                  <c:v>13.08.2020</c:v>
                </c:pt>
                <c:pt idx="125">
                  <c:v>17.08.2020</c:v>
                </c:pt>
                <c:pt idx="126">
                  <c:v>18.08.2020</c:v>
                </c:pt>
                <c:pt idx="127">
                  <c:v>19.08.2020</c:v>
                </c:pt>
                <c:pt idx="128">
                  <c:v>20.08.2020</c:v>
                </c:pt>
                <c:pt idx="129">
                  <c:v>24.08.2020</c:v>
                </c:pt>
                <c:pt idx="130">
                  <c:v>25.08.2020</c:v>
                </c:pt>
                <c:pt idx="131">
                  <c:v>26.08.2020</c:v>
                </c:pt>
                <c:pt idx="132">
                  <c:v>27.08.2020</c:v>
                </c:pt>
                <c:pt idx="133">
                  <c:v>31.08.2020</c:v>
                </c:pt>
                <c:pt idx="134">
                  <c:v>01.09.2020</c:v>
                </c:pt>
                <c:pt idx="135">
                  <c:v>02.09.2020</c:v>
                </c:pt>
                <c:pt idx="136">
                  <c:v>03.09.2020</c:v>
                </c:pt>
                <c:pt idx="137">
                  <c:v>08.09.2020</c:v>
                </c:pt>
                <c:pt idx="138">
                  <c:v>09.09.2020</c:v>
                </c:pt>
                <c:pt idx="139">
                  <c:v>10.09.2020</c:v>
                </c:pt>
                <c:pt idx="140">
                  <c:v>14.09.2020</c:v>
                </c:pt>
                <c:pt idx="141">
                  <c:v>15.09.2020</c:v>
                </c:pt>
                <c:pt idx="142">
                  <c:v>16.09.2020</c:v>
                </c:pt>
                <c:pt idx="143">
                  <c:v>17.09.2020</c:v>
                </c:pt>
                <c:pt idx="144">
                  <c:v>21.09.2020</c:v>
                </c:pt>
                <c:pt idx="145">
                  <c:v>22.09.2020</c:v>
                </c:pt>
                <c:pt idx="146">
                  <c:v>23.09.2020</c:v>
                </c:pt>
                <c:pt idx="147">
                  <c:v>24.09.2020</c:v>
                </c:pt>
                <c:pt idx="148">
                  <c:v>28.09.2020</c:v>
                </c:pt>
                <c:pt idx="149">
                  <c:v>29.09.2020</c:v>
                </c:pt>
                <c:pt idx="150">
                  <c:v>30.09.2020</c:v>
                </c:pt>
                <c:pt idx="151">
                  <c:v>01.10.2020</c:v>
                </c:pt>
                <c:pt idx="152">
                  <c:v>05.10.2020</c:v>
                </c:pt>
                <c:pt idx="153">
                  <c:v>06.10.2020</c:v>
                </c:pt>
                <c:pt idx="154">
                  <c:v>07.10.2020</c:v>
                </c:pt>
                <c:pt idx="155">
                  <c:v>08.10.2020</c:v>
                </c:pt>
                <c:pt idx="156">
                  <c:v>12.10.2020</c:v>
                </c:pt>
                <c:pt idx="157">
                  <c:v>13.10.2020</c:v>
                </c:pt>
                <c:pt idx="158">
                  <c:v>14.10.2020</c:v>
                </c:pt>
                <c:pt idx="159">
                  <c:v>15.10.2020</c:v>
                </c:pt>
                <c:pt idx="160">
                  <c:v>19.10.2020</c:v>
                </c:pt>
                <c:pt idx="161">
                  <c:v>20.10.2020</c:v>
                </c:pt>
                <c:pt idx="162">
                  <c:v>21.10.2020</c:v>
                </c:pt>
                <c:pt idx="163">
                  <c:v>22.10.2020</c:v>
                </c:pt>
                <c:pt idx="164">
                  <c:v>26.10.2020</c:v>
                </c:pt>
                <c:pt idx="165">
                  <c:v>27.10.2020</c:v>
                </c:pt>
                <c:pt idx="166">
                  <c:v>28.10.2020</c:v>
                </c:pt>
                <c:pt idx="167">
                  <c:v>29.10.2020</c:v>
                </c:pt>
                <c:pt idx="168">
                  <c:v>02.11.2020</c:v>
                </c:pt>
                <c:pt idx="169">
                  <c:v>03.11.2020</c:v>
                </c:pt>
                <c:pt idx="170">
                  <c:v>04.11.2020</c:v>
                </c:pt>
                <c:pt idx="171">
                  <c:v>05.11.2020</c:v>
                </c:pt>
                <c:pt idx="172">
                  <c:v>09.11.2020</c:v>
                </c:pt>
                <c:pt idx="173">
                  <c:v>10.11.2020</c:v>
                </c:pt>
                <c:pt idx="174">
                  <c:v>11.11.2020</c:v>
                </c:pt>
                <c:pt idx="175">
                  <c:v>12.11.2020</c:v>
                </c:pt>
                <c:pt idx="176">
                  <c:v>16.11.2020</c:v>
                </c:pt>
                <c:pt idx="177">
                  <c:v>17.11.2020</c:v>
                </c:pt>
                <c:pt idx="178">
                  <c:v>18.11.2020</c:v>
                </c:pt>
                <c:pt idx="179">
                  <c:v>19.11.2020</c:v>
                </c:pt>
                <c:pt idx="180">
                  <c:v>23.11.2020</c:v>
                </c:pt>
                <c:pt idx="181">
                  <c:v>24.11.2020</c:v>
                </c:pt>
                <c:pt idx="182">
                  <c:v>25.11.2020</c:v>
                </c:pt>
                <c:pt idx="183">
                  <c:v>30.11.2020</c:v>
                </c:pt>
                <c:pt idx="184">
                  <c:v>01.12.2020</c:v>
                </c:pt>
                <c:pt idx="185">
                  <c:v>02.12.2020</c:v>
                </c:pt>
                <c:pt idx="186">
                  <c:v>03.12.2020</c:v>
                </c:pt>
                <c:pt idx="187">
                  <c:v>07.12.2020</c:v>
                </c:pt>
                <c:pt idx="188">
                  <c:v>08.12.2020</c:v>
                </c:pt>
                <c:pt idx="189">
                  <c:v>09.12.2020</c:v>
                </c:pt>
                <c:pt idx="190">
                  <c:v>10.12.2020</c:v>
                </c:pt>
                <c:pt idx="191">
                  <c:v>14.12.2020</c:v>
                </c:pt>
                <c:pt idx="192">
                  <c:v>15.12.2020</c:v>
                </c:pt>
                <c:pt idx="193">
                  <c:v>16.12.2020</c:v>
                </c:pt>
                <c:pt idx="194">
                  <c:v>17.12.2020</c:v>
                </c:pt>
                <c:pt idx="195">
                  <c:v>21.12.2020</c:v>
                </c:pt>
                <c:pt idx="196">
                  <c:v>22.12.2020</c:v>
                </c:pt>
                <c:pt idx="197">
                  <c:v>23.12.2020</c:v>
                </c:pt>
                <c:pt idx="198">
                  <c:v>28.12.2020</c:v>
                </c:pt>
                <c:pt idx="199">
                  <c:v>29.12.2020</c:v>
                </c:pt>
                <c:pt idx="200">
                  <c:v>30.12.2020</c:v>
                </c:pt>
                <c:pt idx="201">
                  <c:v>04.01.2021</c:v>
                </c:pt>
                <c:pt idx="202">
                  <c:v>05.01.2021</c:v>
                </c:pt>
                <c:pt idx="203">
                  <c:v>06.01.2021</c:v>
                </c:pt>
                <c:pt idx="204">
                  <c:v>07.01.2021</c:v>
                </c:pt>
                <c:pt idx="205">
                  <c:v>11.01.2021</c:v>
                </c:pt>
                <c:pt idx="206">
                  <c:v>12.01.2021</c:v>
                </c:pt>
                <c:pt idx="207">
                  <c:v>13.01.2021</c:v>
                </c:pt>
                <c:pt idx="208">
                  <c:v>14.01.2021</c:v>
                </c:pt>
                <c:pt idx="209">
                  <c:v>19.01.2021</c:v>
                </c:pt>
                <c:pt idx="210">
                  <c:v>20.01.2021</c:v>
                </c:pt>
                <c:pt idx="211">
                  <c:v>21.01.2021</c:v>
                </c:pt>
                <c:pt idx="212">
                  <c:v>25.01.2021</c:v>
                </c:pt>
                <c:pt idx="213">
                  <c:v>26.01.2021</c:v>
                </c:pt>
                <c:pt idx="214">
                  <c:v>27.01.2021</c:v>
                </c:pt>
                <c:pt idx="215">
                  <c:v>28.01.2021</c:v>
                </c:pt>
                <c:pt idx="216">
                  <c:v>01.02.2021</c:v>
                </c:pt>
                <c:pt idx="217">
                  <c:v>02.02.2021</c:v>
                </c:pt>
                <c:pt idx="218">
                  <c:v>03.02.2021</c:v>
                </c:pt>
                <c:pt idx="219">
                  <c:v>04.02.2021</c:v>
                </c:pt>
                <c:pt idx="220">
                  <c:v>08.02.2021</c:v>
                </c:pt>
                <c:pt idx="221">
                  <c:v>09.02.2021</c:v>
                </c:pt>
                <c:pt idx="222">
                  <c:v>10.02.2021</c:v>
                </c:pt>
                <c:pt idx="223">
                  <c:v>11.02.2021</c:v>
                </c:pt>
                <c:pt idx="224">
                  <c:v>16.02.2021</c:v>
                </c:pt>
                <c:pt idx="225">
                  <c:v>17.02.2021</c:v>
                </c:pt>
                <c:pt idx="226">
                  <c:v>18.02.2021</c:v>
                </c:pt>
                <c:pt idx="227">
                  <c:v>22.02.2021</c:v>
                </c:pt>
                <c:pt idx="228">
                  <c:v>23.02.2021</c:v>
                </c:pt>
                <c:pt idx="229">
                  <c:v>24.02.2021</c:v>
                </c:pt>
                <c:pt idx="230">
                  <c:v>25.02.2021</c:v>
                </c:pt>
                <c:pt idx="231">
                  <c:v>01.03.2021</c:v>
                </c:pt>
                <c:pt idx="232">
                  <c:v>02.03.2021</c:v>
                </c:pt>
                <c:pt idx="233">
                  <c:v>03.03.2021</c:v>
                </c:pt>
                <c:pt idx="234">
                  <c:v>04.03.2021</c:v>
                </c:pt>
                <c:pt idx="235">
                  <c:v>08.03.2021</c:v>
                </c:pt>
                <c:pt idx="236">
                  <c:v>09.03.2021</c:v>
                </c:pt>
                <c:pt idx="237">
                  <c:v>10.03.2021</c:v>
                </c:pt>
                <c:pt idx="238">
                  <c:v>11.03.2021</c:v>
                </c:pt>
                <c:pt idx="239">
                  <c:v>15.03.2021</c:v>
                </c:pt>
                <c:pt idx="240">
                  <c:v>16.03.2021</c:v>
                </c:pt>
                <c:pt idx="241">
                  <c:v>17.03.2021</c:v>
                </c:pt>
                <c:pt idx="242">
                  <c:v>18.03.2021</c:v>
                </c:pt>
                <c:pt idx="243">
                  <c:v>22.03.2021</c:v>
                </c:pt>
                <c:pt idx="244">
                  <c:v>23.03.2021</c:v>
                </c:pt>
                <c:pt idx="245">
                  <c:v>24.03.2021</c:v>
                </c:pt>
                <c:pt idx="246">
                  <c:v>25.03.2021</c:v>
                </c:pt>
                <c:pt idx="247">
                  <c:v>29.03.2021</c:v>
                </c:pt>
                <c:pt idx="248">
                  <c:v>30.03.2021</c:v>
                </c:pt>
                <c:pt idx="249">
                  <c:v>31.03.2021</c:v>
                </c:pt>
                <c:pt idx="250">
                  <c:v>05.04.2021</c:v>
                </c:pt>
                <c:pt idx="251">
                  <c:v>06.04.2021</c:v>
                </c:pt>
                <c:pt idx="252">
                  <c:v>07.04.2021</c:v>
                </c:pt>
                <c:pt idx="253">
                  <c:v>08.04.2021</c:v>
                </c:pt>
                <c:pt idx="254">
                  <c:v>12.04.2021</c:v>
                </c:pt>
                <c:pt idx="255">
                  <c:v>13.04.2021</c:v>
                </c:pt>
                <c:pt idx="256">
                  <c:v>14.04.2021</c:v>
                </c:pt>
                <c:pt idx="257">
                  <c:v>15.04.2021</c:v>
                </c:pt>
                <c:pt idx="258">
                  <c:v>19.04.2021</c:v>
                </c:pt>
                <c:pt idx="259">
                  <c:v>20.04.2021</c:v>
                </c:pt>
                <c:pt idx="260">
                  <c:v>21.04.2021</c:v>
                </c:pt>
                <c:pt idx="261">
                  <c:v>22.04.2021</c:v>
                </c:pt>
                <c:pt idx="262">
                  <c:v>26.04.2021</c:v>
                </c:pt>
                <c:pt idx="263">
                  <c:v>27.04.2021</c:v>
                </c:pt>
                <c:pt idx="264">
                  <c:v>28.04.2021</c:v>
                </c:pt>
                <c:pt idx="265">
                  <c:v>29.04.2021</c:v>
                </c:pt>
                <c:pt idx="266">
                  <c:v>03.05.2021</c:v>
                </c:pt>
                <c:pt idx="267">
                  <c:v>04.05.2021</c:v>
                </c:pt>
                <c:pt idx="268">
                  <c:v>05.05.2021</c:v>
                </c:pt>
                <c:pt idx="269">
                  <c:v>06.05.2021</c:v>
                </c:pt>
                <c:pt idx="270">
                  <c:v>10.05.2021</c:v>
                </c:pt>
                <c:pt idx="271">
                  <c:v>11.05.2021</c:v>
                </c:pt>
                <c:pt idx="272">
                  <c:v>12.05.2021</c:v>
                </c:pt>
                <c:pt idx="273">
                  <c:v>13.05.2021</c:v>
                </c:pt>
                <c:pt idx="274">
                  <c:v>17.05.2021</c:v>
                </c:pt>
                <c:pt idx="275">
                  <c:v>18.05.2021</c:v>
                </c:pt>
                <c:pt idx="276">
                  <c:v>19.05.2021</c:v>
                </c:pt>
                <c:pt idx="277">
                  <c:v>20.05.2021</c:v>
                </c:pt>
                <c:pt idx="278">
                  <c:v>24.05.2021</c:v>
                </c:pt>
                <c:pt idx="279">
                  <c:v>25.05.2021</c:v>
                </c:pt>
                <c:pt idx="280">
                  <c:v>26.05.2021</c:v>
                </c:pt>
                <c:pt idx="281">
                  <c:v>27.05.2021</c:v>
                </c:pt>
                <c:pt idx="282">
                  <c:v>01.06.2021</c:v>
                </c:pt>
                <c:pt idx="283">
                  <c:v>02.06.2021</c:v>
                </c:pt>
                <c:pt idx="284">
                  <c:v>03.06.2021</c:v>
                </c:pt>
                <c:pt idx="285">
                  <c:v>07.06.2021</c:v>
                </c:pt>
                <c:pt idx="286">
                  <c:v>08.06.2021</c:v>
                </c:pt>
                <c:pt idx="287">
                  <c:v>09.06.2021</c:v>
                </c:pt>
                <c:pt idx="288">
                  <c:v>10.06.2021</c:v>
                </c:pt>
                <c:pt idx="289">
                  <c:v>14.06.2021</c:v>
                </c:pt>
                <c:pt idx="290">
                  <c:v>15.06.2021</c:v>
                </c:pt>
                <c:pt idx="291">
                  <c:v>16.06.2021</c:v>
                </c:pt>
                <c:pt idx="292">
                  <c:v>17.06.2021</c:v>
                </c:pt>
                <c:pt idx="293">
                  <c:v>21.06.2021</c:v>
                </c:pt>
                <c:pt idx="294">
                  <c:v>22.06.2021</c:v>
                </c:pt>
                <c:pt idx="295">
                  <c:v>23.06.2021</c:v>
                </c:pt>
                <c:pt idx="296">
                  <c:v>24.06.2021</c:v>
                </c:pt>
                <c:pt idx="297">
                  <c:v>28.06.2021</c:v>
                </c:pt>
                <c:pt idx="298">
                  <c:v>29.06.2021</c:v>
                </c:pt>
                <c:pt idx="299">
                  <c:v>30.06.2021</c:v>
                </c:pt>
                <c:pt idx="300">
                  <c:v>01.07.2021</c:v>
                </c:pt>
                <c:pt idx="301">
                  <c:v>06.07.2021</c:v>
                </c:pt>
                <c:pt idx="302">
                  <c:v>07.07.2021</c:v>
                </c:pt>
                <c:pt idx="303">
                  <c:v>08.07.2021</c:v>
                </c:pt>
                <c:pt idx="304">
                  <c:v>12.07.2021</c:v>
                </c:pt>
                <c:pt idx="305">
                  <c:v>13.07.2021</c:v>
                </c:pt>
                <c:pt idx="306">
                  <c:v>14.07.2021</c:v>
                </c:pt>
                <c:pt idx="307">
                  <c:v>15.07.2021</c:v>
                </c:pt>
                <c:pt idx="308">
                  <c:v>19.07.2021</c:v>
                </c:pt>
                <c:pt idx="309">
                  <c:v>20.07.2021</c:v>
                </c:pt>
                <c:pt idx="310">
                  <c:v>21.07.2021</c:v>
                </c:pt>
                <c:pt idx="311">
                  <c:v>22.07.2021</c:v>
                </c:pt>
                <c:pt idx="312">
                  <c:v>26.07.2021</c:v>
                </c:pt>
                <c:pt idx="313">
                  <c:v>27.07.2021</c:v>
                </c:pt>
                <c:pt idx="314">
                  <c:v>28.07.2021</c:v>
                </c:pt>
                <c:pt idx="315">
                  <c:v>29.07.2021</c:v>
                </c:pt>
                <c:pt idx="316">
                  <c:v>02.08.2021</c:v>
                </c:pt>
                <c:pt idx="317">
                  <c:v>03.08.2021</c:v>
                </c:pt>
                <c:pt idx="318">
                  <c:v>04.08.2021</c:v>
                </c:pt>
                <c:pt idx="319">
                  <c:v>05.08.2021</c:v>
                </c:pt>
                <c:pt idx="320">
                  <c:v>09.08.2021</c:v>
                </c:pt>
                <c:pt idx="321">
                  <c:v>10.08.2021</c:v>
                </c:pt>
                <c:pt idx="322">
                  <c:v>11.08.2021</c:v>
                </c:pt>
                <c:pt idx="323">
                  <c:v>12.08.2021</c:v>
                </c:pt>
                <c:pt idx="324">
                  <c:v>16.08.2021</c:v>
                </c:pt>
                <c:pt idx="325">
                  <c:v>17.08.2021</c:v>
                </c:pt>
                <c:pt idx="326">
                  <c:v>18.08.2021</c:v>
                </c:pt>
                <c:pt idx="327">
                  <c:v>19.08.2021</c:v>
                </c:pt>
                <c:pt idx="328">
                  <c:v>23.08.2021</c:v>
                </c:pt>
                <c:pt idx="329">
                  <c:v>24.08.2021</c:v>
                </c:pt>
                <c:pt idx="330">
                  <c:v>25.08.2021</c:v>
                </c:pt>
                <c:pt idx="331">
                  <c:v>26.08.2021</c:v>
                </c:pt>
                <c:pt idx="332">
                  <c:v>30.08.2021</c:v>
                </c:pt>
                <c:pt idx="333">
                  <c:v>31.08.2021</c:v>
                </c:pt>
                <c:pt idx="334">
                  <c:v>01.09.2021</c:v>
                </c:pt>
                <c:pt idx="335">
                  <c:v>02.09.2021</c:v>
                </c:pt>
                <c:pt idx="336">
                  <c:v>07.09.2021</c:v>
                </c:pt>
                <c:pt idx="337">
                  <c:v>08.09.2021</c:v>
                </c:pt>
                <c:pt idx="338">
                  <c:v>09.09.2021</c:v>
                </c:pt>
                <c:pt idx="339">
                  <c:v>13.09.2021</c:v>
                </c:pt>
                <c:pt idx="340">
                  <c:v>14.09.2021</c:v>
                </c:pt>
                <c:pt idx="341">
                  <c:v>15.09.2021</c:v>
                </c:pt>
                <c:pt idx="342">
                  <c:v>16.09.2021</c:v>
                </c:pt>
                <c:pt idx="343">
                  <c:v>20.09.2021</c:v>
                </c:pt>
                <c:pt idx="344">
                  <c:v>21.09.2021</c:v>
                </c:pt>
                <c:pt idx="345">
                  <c:v>22.09.2021</c:v>
                </c:pt>
                <c:pt idx="346">
                  <c:v>23.09.2021</c:v>
                </c:pt>
                <c:pt idx="347">
                  <c:v>27.09.2021</c:v>
                </c:pt>
                <c:pt idx="348">
                  <c:v>28.09.2021</c:v>
                </c:pt>
                <c:pt idx="349">
                  <c:v>29.09.2021</c:v>
                </c:pt>
                <c:pt idx="350">
                  <c:v>30.09.2021</c:v>
                </c:pt>
                <c:pt idx="351">
                  <c:v>04.10.2021</c:v>
                </c:pt>
                <c:pt idx="352">
                  <c:v>05.10.2021</c:v>
                </c:pt>
                <c:pt idx="353">
                  <c:v>06.10.2021</c:v>
                </c:pt>
                <c:pt idx="354">
                  <c:v>07.10.2021</c:v>
                </c:pt>
                <c:pt idx="355">
                  <c:v>11.10.2021</c:v>
                </c:pt>
                <c:pt idx="356">
                  <c:v>12.10.2021</c:v>
                </c:pt>
                <c:pt idx="357">
                  <c:v>13.10.2021</c:v>
                </c:pt>
                <c:pt idx="358">
                  <c:v>14.10.2021</c:v>
                </c:pt>
                <c:pt idx="359">
                  <c:v>18.10.2021</c:v>
                </c:pt>
                <c:pt idx="360">
                  <c:v>19.10.2021</c:v>
                </c:pt>
                <c:pt idx="361">
                  <c:v>20.10.2021</c:v>
                </c:pt>
                <c:pt idx="362">
                  <c:v>21.10.2021</c:v>
                </c:pt>
                <c:pt idx="363">
                  <c:v>25.10.2021</c:v>
                </c:pt>
                <c:pt idx="364">
                  <c:v>26.10.2021</c:v>
                </c:pt>
                <c:pt idx="365">
                  <c:v>27.10.2021</c:v>
                </c:pt>
                <c:pt idx="366">
                  <c:v>28.10.2021</c:v>
                </c:pt>
                <c:pt idx="367">
                  <c:v>01.11.2021</c:v>
                </c:pt>
                <c:pt idx="368">
                  <c:v>02.11.2021</c:v>
                </c:pt>
                <c:pt idx="369">
                  <c:v>03.11.2021</c:v>
                </c:pt>
                <c:pt idx="370">
                  <c:v>04.11.2021</c:v>
                </c:pt>
                <c:pt idx="371">
                  <c:v>08.11.2021</c:v>
                </c:pt>
                <c:pt idx="372">
                  <c:v>09.11.2021</c:v>
                </c:pt>
                <c:pt idx="373">
                  <c:v>10.11.2021</c:v>
                </c:pt>
                <c:pt idx="374">
                  <c:v>11.11.2021</c:v>
                </c:pt>
                <c:pt idx="375">
                  <c:v>15.11.2021</c:v>
                </c:pt>
                <c:pt idx="376">
                  <c:v>16.11.2021</c:v>
                </c:pt>
                <c:pt idx="377">
                  <c:v>17.11.2021</c:v>
                </c:pt>
                <c:pt idx="378">
                  <c:v>18.11.2021</c:v>
                </c:pt>
                <c:pt idx="379">
                  <c:v>22.11.2021</c:v>
                </c:pt>
                <c:pt idx="380">
                  <c:v>23.11.2021</c:v>
                </c:pt>
                <c:pt idx="381">
                  <c:v>24.11.2021</c:v>
                </c:pt>
                <c:pt idx="382">
                  <c:v>29.11.2021</c:v>
                </c:pt>
                <c:pt idx="383">
                  <c:v>30.11.2021</c:v>
                </c:pt>
                <c:pt idx="384">
                  <c:v>01.12.2021</c:v>
                </c:pt>
                <c:pt idx="385">
                  <c:v>02.12.2021</c:v>
                </c:pt>
                <c:pt idx="386">
                  <c:v>06.12.2021</c:v>
                </c:pt>
                <c:pt idx="387">
                  <c:v>07.12.2021</c:v>
                </c:pt>
                <c:pt idx="388">
                  <c:v>08.12.2021</c:v>
                </c:pt>
                <c:pt idx="389">
                  <c:v>09.12.2021</c:v>
                </c:pt>
                <c:pt idx="390">
                  <c:v>13.12.2021</c:v>
                </c:pt>
                <c:pt idx="391">
                  <c:v>14.12.2021</c:v>
                </c:pt>
                <c:pt idx="392">
                  <c:v>15.12.2021</c:v>
                </c:pt>
                <c:pt idx="393">
                  <c:v>16.12.2021</c:v>
                </c:pt>
                <c:pt idx="394">
                  <c:v>20.12.2021</c:v>
                </c:pt>
                <c:pt idx="395">
                  <c:v>21.12.2021</c:v>
                </c:pt>
                <c:pt idx="396">
                  <c:v>22.12.2021</c:v>
                </c:pt>
                <c:pt idx="397">
                  <c:v>27.12.2021</c:v>
                </c:pt>
                <c:pt idx="398">
                  <c:v>28.12.2021</c:v>
                </c:pt>
                <c:pt idx="399">
                  <c:v>29.12.2021</c:v>
                </c:pt>
                <c:pt idx="400">
                  <c:v>30.12.2021</c:v>
                </c:pt>
                <c:pt idx="401">
                  <c:v>03.01.2022</c:v>
                </c:pt>
                <c:pt idx="402">
                  <c:v>04.01.2022</c:v>
                </c:pt>
                <c:pt idx="403">
                  <c:v>05.01.2022</c:v>
                </c:pt>
                <c:pt idx="404">
                  <c:v>06.01.2022</c:v>
                </c:pt>
                <c:pt idx="405">
                  <c:v>10.01.2022</c:v>
                </c:pt>
                <c:pt idx="406">
                  <c:v>11.01.2022</c:v>
                </c:pt>
                <c:pt idx="407">
                  <c:v>12.01.2022</c:v>
                </c:pt>
                <c:pt idx="408">
                  <c:v>13.01.2022</c:v>
                </c:pt>
                <c:pt idx="409">
                  <c:v>18.01.2022</c:v>
                </c:pt>
                <c:pt idx="410">
                  <c:v>19.01.2022</c:v>
                </c:pt>
                <c:pt idx="411">
                  <c:v>20.01.2022</c:v>
                </c:pt>
                <c:pt idx="412">
                  <c:v>24.01.2022</c:v>
                </c:pt>
                <c:pt idx="413">
                  <c:v>25.01.2022</c:v>
                </c:pt>
                <c:pt idx="414">
                  <c:v>26.01.2022</c:v>
                </c:pt>
                <c:pt idx="415">
                  <c:v>27.01.2022</c:v>
                </c:pt>
                <c:pt idx="416">
                  <c:v>31.01.2022</c:v>
                </c:pt>
                <c:pt idx="417">
                  <c:v>01.02.2022</c:v>
                </c:pt>
                <c:pt idx="418">
                  <c:v>02.02.2022</c:v>
                </c:pt>
                <c:pt idx="419">
                  <c:v>03.02.2022</c:v>
                </c:pt>
                <c:pt idx="420">
                  <c:v>07.02.2022</c:v>
                </c:pt>
                <c:pt idx="421">
                  <c:v>08.02.2022</c:v>
                </c:pt>
                <c:pt idx="422">
                  <c:v>09.02.2022</c:v>
                </c:pt>
                <c:pt idx="423">
                  <c:v>10.02.2022</c:v>
                </c:pt>
                <c:pt idx="424">
                  <c:v>14.02.2022</c:v>
                </c:pt>
                <c:pt idx="425">
                  <c:v>15.02.2022</c:v>
                </c:pt>
                <c:pt idx="426">
                  <c:v>16.02.2022</c:v>
                </c:pt>
                <c:pt idx="427">
                  <c:v>17.02.2022</c:v>
                </c:pt>
                <c:pt idx="428">
                  <c:v>22.02.2022</c:v>
                </c:pt>
                <c:pt idx="429">
                  <c:v>23.02.2022</c:v>
                </c:pt>
                <c:pt idx="430">
                  <c:v>24.02.2022</c:v>
                </c:pt>
                <c:pt idx="431">
                  <c:v>28.02.2022</c:v>
                </c:pt>
                <c:pt idx="432">
                  <c:v>01.03.2022</c:v>
                </c:pt>
                <c:pt idx="433">
                  <c:v>02.03.2022</c:v>
                </c:pt>
                <c:pt idx="434">
                  <c:v>03.03.2022</c:v>
                </c:pt>
                <c:pt idx="435">
                  <c:v>07.03.2022</c:v>
                </c:pt>
                <c:pt idx="436">
                  <c:v>08.03.2022</c:v>
                </c:pt>
                <c:pt idx="437">
                  <c:v>09.03.2022</c:v>
                </c:pt>
                <c:pt idx="438">
                  <c:v>10.03.2022</c:v>
                </c:pt>
                <c:pt idx="439">
                  <c:v>14.03.2022</c:v>
                </c:pt>
                <c:pt idx="440">
                  <c:v>15.03.2022</c:v>
                </c:pt>
                <c:pt idx="441">
                  <c:v>16.03.2022</c:v>
                </c:pt>
                <c:pt idx="442">
                  <c:v>17.03.2022</c:v>
                </c:pt>
                <c:pt idx="443">
                  <c:v>21.03.2022</c:v>
                </c:pt>
                <c:pt idx="444">
                  <c:v>22.03.2022</c:v>
                </c:pt>
                <c:pt idx="445">
                  <c:v>23.03.2022</c:v>
                </c:pt>
                <c:pt idx="446">
                  <c:v>24.03.2022</c:v>
                </c:pt>
                <c:pt idx="447">
                  <c:v>28.03.2022</c:v>
                </c:pt>
                <c:pt idx="448">
                  <c:v>29.03.2022</c:v>
                </c:pt>
                <c:pt idx="449">
                  <c:v>30.03.2022</c:v>
                </c:pt>
                <c:pt idx="450">
                  <c:v>31.03.2022</c:v>
                </c:pt>
                <c:pt idx="451">
                  <c:v>04.04.2022</c:v>
                </c:pt>
                <c:pt idx="452">
                  <c:v>05.04.2022</c:v>
                </c:pt>
                <c:pt idx="453">
                  <c:v>06.04.2022</c:v>
                </c:pt>
                <c:pt idx="454">
                  <c:v>07.04.2022</c:v>
                </c:pt>
                <c:pt idx="455">
                  <c:v>11.04.2022</c:v>
                </c:pt>
                <c:pt idx="456">
                  <c:v>12.04.2022</c:v>
                </c:pt>
                <c:pt idx="457">
                  <c:v>13.04.2022</c:v>
                </c:pt>
                <c:pt idx="458">
                  <c:v>18.04.2022</c:v>
                </c:pt>
                <c:pt idx="459">
                  <c:v>19.04.2022</c:v>
                </c:pt>
                <c:pt idx="460">
                  <c:v>20.04.2022</c:v>
                </c:pt>
                <c:pt idx="461">
                  <c:v>21.04.2022</c:v>
                </c:pt>
                <c:pt idx="462">
                  <c:v>25.04.2022</c:v>
                </c:pt>
                <c:pt idx="463">
                  <c:v>26.04.2022</c:v>
                </c:pt>
                <c:pt idx="464">
                  <c:v>27.04.2022</c:v>
                </c:pt>
                <c:pt idx="465">
                  <c:v>28.04.2022</c:v>
                </c:pt>
                <c:pt idx="466">
                  <c:v>02.05.2022</c:v>
                </c:pt>
                <c:pt idx="467">
                  <c:v>03.05.2022</c:v>
                </c:pt>
                <c:pt idx="468">
                  <c:v>04.05.2022</c:v>
                </c:pt>
                <c:pt idx="469">
                  <c:v>05.05.2022</c:v>
                </c:pt>
                <c:pt idx="470">
                  <c:v>09.05.2022</c:v>
                </c:pt>
                <c:pt idx="471">
                  <c:v>10.05.2022</c:v>
                </c:pt>
                <c:pt idx="472">
                  <c:v>11.05.2022</c:v>
                </c:pt>
                <c:pt idx="473">
                  <c:v>12.05.2022</c:v>
                </c:pt>
                <c:pt idx="474">
                  <c:v>16.05.2022</c:v>
                </c:pt>
                <c:pt idx="475">
                  <c:v>17.05.2022</c:v>
                </c:pt>
                <c:pt idx="476">
                  <c:v>18.05.2022</c:v>
                </c:pt>
                <c:pt idx="477">
                  <c:v>19.05.2022</c:v>
                </c:pt>
                <c:pt idx="478">
                  <c:v>23.05.2022</c:v>
                </c:pt>
                <c:pt idx="479">
                  <c:v>24.05.2022</c:v>
                </c:pt>
                <c:pt idx="480">
                  <c:v>25.05.2022</c:v>
                </c:pt>
                <c:pt idx="481">
                  <c:v>26.05.2022</c:v>
                </c:pt>
                <c:pt idx="482">
                  <c:v>31.05.2022</c:v>
                </c:pt>
                <c:pt idx="483">
                  <c:v>01.06.2022</c:v>
                </c:pt>
                <c:pt idx="484">
                  <c:v>02.06.2022</c:v>
                </c:pt>
                <c:pt idx="485">
                  <c:v>06.06.2022</c:v>
                </c:pt>
                <c:pt idx="486">
                  <c:v>07.06.2022</c:v>
                </c:pt>
                <c:pt idx="487">
                  <c:v>08.06.2022</c:v>
                </c:pt>
                <c:pt idx="488">
                  <c:v>09.06.2022</c:v>
                </c:pt>
                <c:pt idx="489">
                  <c:v>13.06.2022</c:v>
                </c:pt>
                <c:pt idx="490">
                  <c:v>14.06.2022</c:v>
                </c:pt>
                <c:pt idx="491">
                  <c:v>15.06.2022</c:v>
                </c:pt>
                <c:pt idx="492">
                  <c:v>16.06.2022</c:v>
                </c:pt>
                <c:pt idx="493">
                  <c:v>21.06.2022</c:v>
                </c:pt>
                <c:pt idx="494">
                  <c:v>22.06.2022</c:v>
                </c:pt>
                <c:pt idx="495">
                  <c:v>23.06.2022</c:v>
                </c:pt>
                <c:pt idx="496">
                  <c:v>27.06.2022</c:v>
                </c:pt>
                <c:pt idx="497">
                  <c:v>28.06.2022</c:v>
                </c:pt>
                <c:pt idx="498">
                  <c:v>29.06.2022</c:v>
                </c:pt>
                <c:pt idx="499">
                  <c:v>30.06.2022</c:v>
                </c:pt>
                <c:pt idx="500">
                  <c:v>05.07.2022</c:v>
                </c:pt>
                <c:pt idx="501">
                  <c:v>06.07.2022</c:v>
                </c:pt>
                <c:pt idx="502">
                  <c:v>07.07.2022</c:v>
                </c:pt>
                <c:pt idx="503">
                  <c:v>11.07.2022</c:v>
                </c:pt>
                <c:pt idx="504">
                  <c:v>12.07.2022</c:v>
                </c:pt>
                <c:pt idx="505">
                  <c:v>13.07.2022</c:v>
                </c:pt>
                <c:pt idx="506">
                  <c:v>14.07.2022</c:v>
                </c:pt>
                <c:pt idx="507">
                  <c:v>18.07.2022</c:v>
                </c:pt>
                <c:pt idx="508">
                  <c:v>19.07.2022</c:v>
                </c:pt>
                <c:pt idx="509">
                  <c:v>20.07.2022</c:v>
                </c:pt>
                <c:pt idx="510">
                  <c:v>21.07.2022</c:v>
                </c:pt>
                <c:pt idx="511">
                  <c:v>25.07.2022</c:v>
                </c:pt>
                <c:pt idx="512">
                  <c:v>26.07.2022</c:v>
                </c:pt>
                <c:pt idx="513">
                  <c:v>27.07.2022</c:v>
                </c:pt>
                <c:pt idx="514">
                  <c:v>28.07.2022</c:v>
                </c:pt>
                <c:pt idx="515">
                  <c:v>01.08.2022</c:v>
                </c:pt>
                <c:pt idx="516">
                  <c:v>02.08.2022</c:v>
                </c:pt>
                <c:pt idx="517">
                  <c:v>03.08.2022</c:v>
                </c:pt>
                <c:pt idx="518">
                  <c:v>04.08.2022</c:v>
                </c:pt>
                <c:pt idx="519">
                  <c:v>08.08.2022</c:v>
                </c:pt>
                <c:pt idx="520">
                  <c:v>09.08.2022</c:v>
                </c:pt>
                <c:pt idx="521">
                  <c:v>10.08.2022</c:v>
                </c:pt>
                <c:pt idx="522">
                  <c:v>11.08.2022</c:v>
                </c:pt>
                <c:pt idx="523">
                  <c:v>15.08.2022</c:v>
                </c:pt>
                <c:pt idx="524">
                  <c:v>16.08.2022</c:v>
                </c:pt>
                <c:pt idx="525">
                  <c:v>17.08.2022</c:v>
                </c:pt>
                <c:pt idx="526">
                  <c:v>18.08.2022</c:v>
                </c:pt>
                <c:pt idx="527">
                  <c:v>22.08.2022</c:v>
                </c:pt>
                <c:pt idx="528">
                  <c:v>23.08.2022</c:v>
                </c:pt>
                <c:pt idx="529">
                  <c:v>24.08.2022</c:v>
                </c:pt>
                <c:pt idx="530">
                  <c:v>25.08.2022</c:v>
                </c:pt>
                <c:pt idx="531">
                  <c:v>29.08.2022</c:v>
                </c:pt>
                <c:pt idx="532">
                  <c:v>30.08.2022</c:v>
                </c:pt>
                <c:pt idx="533">
                  <c:v>31.08.2022</c:v>
                </c:pt>
                <c:pt idx="534">
                  <c:v>01.09.2022</c:v>
                </c:pt>
                <c:pt idx="535">
                  <c:v>06.09.2022</c:v>
                </c:pt>
                <c:pt idx="536">
                  <c:v>07.09.2022</c:v>
                </c:pt>
                <c:pt idx="537">
                  <c:v>08.09.2022</c:v>
                </c:pt>
                <c:pt idx="538">
                  <c:v>12.09.2022</c:v>
                </c:pt>
                <c:pt idx="539">
                  <c:v>13.09.2022</c:v>
                </c:pt>
                <c:pt idx="540">
                  <c:v>14.09.2022</c:v>
                </c:pt>
                <c:pt idx="541">
                  <c:v>15.09.2022</c:v>
                </c:pt>
                <c:pt idx="542">
                  <c:v>19.09.2022</c:v>
                </c:pt>
                <c:pt idx="543">
                  <c:v>20.09.2022</c:v>
                </c:pt>
                <c:pt idx="544">
                  <c:v>21.09.2022</c:v>
                </c:pt>
                <c:pt idx="545">
                  <c:v>22.09.2022</c:v>
                </c:pt>
                <c:pt idx="546">
                  <c:v>26.09.2022</c:v>
                </c:pt>
                <c:pt idx="547">
                  <c:v>27.09.2022</c:v>
                </c:pt>
                <c:pt idx="548">
                  <c:v>28.09.2022</c:v>
                </c:pt>
                <c:pt idx="549">
                  <c:v>29.09.2022</c:v>
                </c:pt>
                <c:pt idx="550">
                  <c:v>03.10.2022</c:v>
                </c:pt>
                <c:pt idx="551">
                  <c:v>04.10.2022</c:v>
                </c:pt>
                <c:pt idx="552">
                  <c:v>05.10.2022</c:v>
                </c:pt>
                <c:pt idx="553">
                  <c:v>06.10.2022</c:v>
                </c:pt>
                <c:pt idx="554">
                  <c:v>10.10.2022</c:v>
                </c:pt>
                <c:pt idx="555">
                  <c:v>11.10.2022</c:v>
                </c:pt>
                <c:pt idx="556">
                  <c:v>12.10.2022</c:v>
                </c:pt>
                <c:pt idx="557">
                  <c:v>13.10.2022</c:v>
                </c:pt>
                <c:pt idx="558">
                  <c:v>17.10.2022</c:v>
                </c:pt>
                <c:pt idx="559">
                  <c:v>18.10.2022</c:v>
                </c:pt>
                <c:pt idx="560">
                  <c:v>19.10.2022</c:v>
                </c:pt>
                <c:pt idx="561">
                  <c:v>20.10.2022</c:v>
                </c:pt>
                <c:pt idx="562">
                  <c:v>24.10.2022</c:v>
                </c:pt>
                <c:pt idx="563">
                  <c:v>25.10.2022</c:v>
                </c:pt>
                <c:pt idx="564">
                  <c:v>26.10.2022</c:v>
                </c:pt>
                <c:pt idx="565">
                  <c:v>27.10.2022</c:v>
                </c:pt>
                <c:pt idx="566">
                  <c:v>31.10.2022</c:v>
                </c:pt>
                <c:pt idx="567">
                  <c:v>01.11.2022</c:v>
                </c:pt>
                <c:pt idx="568">
                  <c:v>02.11.2022</c:v>
                </c:pt>
                <c:pt idx="569">
                  <c:v>03.11.2022</c:v>
                </c:pt>
                <c:pt idx="570">
                  <c:v>07.11.2022</c:v>
                </c:pt>
                <c:pt idx="571">
                  <c:v>08.11.2022</c:v>
                </c:pt>
                <c:pt idx="572">
                  <c:v>09.11.2022</c:v>
                </c:pt>
                <c:pt idx="573">
                  <c:v>10.11.2022</c:v>
                </c:pt>
                <c:pt idx="574">
                  <c:v>14.11.2022</c:v>
                </c:pt>
                <c:pt idx="575">
                  <c:v>15.11.2022</c:v>
                </c:pt>
                <c:pt idx="576">
                  <c:v>16.11.2022</c:v>
                </c:pt>
                <c:pt idx="577">
                  <c:v>17.11.2022</c:v>
                </c:pt>
                <c:pt idx="578">
                  <c:v>21.11.2022</c:v>
                </c:pt>
                <c:pt idx="579">
                  <c:v>22.11.2022</c:v>
                </c:pt>
                <c:pt idx="580">
                  <c:v>23.11.2022</c:v>
                </c:pt>
                <c:pt idx="581">
                  <c:v>28.11.2022</c:v>
                </c:pt>
                <c:pt idx="582">
                  <c:v>29.11.2022</c:v>
                </c:pt>
                <c:pt idx="583">
                  <c:v>30.11.2022</c:v>
                </c:pt>
                <c:pt idx="584">
                  <c:v>01.12.2022</c:v>
                </c:pt>
                <c:pt idx="585">
                  <c:v>05.12.2022</c:v>
                </c:pt>
                <c:pt idx="586">
                  <c:v>06.12.2022</c:v>
                </c:pt>
                <c:pt idx="587">
                  <c:v>07.12.2022</c:v>
                </c:pt>
                <c:pt idx="588">
                  <c:v>08.12.2022</c:v>
                </c:pt>
                <c:pt idx="589">
                  <c:v>12.12.2022</c:v>
                </c:pt>
                <c:pt idx="590">
                  <c:v>13.12.2022</c:v>
                </c:pt>
                <c:pt idx="591">
                  <c:v>14.12.2022</c:v>
                </c:pt>
                <c:pt idx="592">
                  <c:v>15.12.2022</c:v>
                </c:pt>
                <c:pt idx="593">
                  <c:v>19.12.2022</c:v>
                </c:pt>
                <c:pt idx="594">
                  <c:v>20.12.2022</c:v>
                </c:pt>
                <c:pt idx="595">
                  <c:v>21.12.2022</c:v>
                </c:pt>
                <c:pt idx="596">
                  <c:v>22.12.2022</c:v>
                </c:pt>
                <c:pt idx="597">
                  <c:v>27.12.2022</c:v>
                </c:pt>
                <c:pt idx="598">
                  <c:v>28.12.2022</c:v>
                </c:pt>
                <c:pt idx="599">
                  <c:v>29.12.2022</c:v>
                </c:pt>
                <c:pt idx="600">
                  <c:v>03.01.2023</c:v>
                </c:pt>
                <c:pt idx="601">
                  <c:v>04.01.2023</c:v>
                </c:pt>
                <c:pt idx="602">
                  <c:v>05.01.2023</c:v>
                </c:pt>
                <c:pt idx="603">
                  <c:v>09.01.2023</c:v>
                </c:pt>
                <c:pt idx="604">
                  <c:v>10.01.2023</c:v>
                </c:pt>
                <c:pt idx="605">
                  <c:v>11.01.2023</c:v>
                </c:pt>
                <c:pt idx="606">
                  <c:v>12.01.2023</c:v>
                </c:pt>
                <c:pt idx="607">
                  <c:v>17.01.2023</c:v>
                </c:pt>
                <c:pt idx="608">
                  <c:v>18.01.2023</c:v>
                </c:pt>
                <c:pt idx="609">
                  <c:v>19.01.2023</c:v>
                </c:pt>
                <c:pt idx="610">
                  <c:v>23.01.2023</c:v>
                </c:pt>
                <c:pt idx="611">
                  <c:v>24.01.2023</c:v>
                </c:pt>
                <c:pt idx="612">
                  <c:v>25.01.2023</c:v>
                </c:pt>
                <c:pt idx="613">
                  <c:v>26.01.2023</c:v>
                </c:pt>
                <c:pt idx="614">
                  <c:v>30.01.2023</c:v>
                </c:pt>
                <c:pt idx="615">
                  <c:v>31.01.2023</c:v>
                </c:pt>
                <c:pt idx="616">
                  <c:v>01.02.2023</c:v>
                </c:pt>
                <c:pt idx="617">
                  <c:v>02.02.2023</c:v>
                </c:pt>
                <c:pt idx="618">
                  <c:v>06.02.2023</c:v>
                </c:pt>
                <c:pt idx="619">
                  <c:v>07.02.2023</c:v>
                </c:pt>
                <c:pt idx="620">
                  <c:v>08.02.2023</c:v>
                </c:pt>
                <c:pt idx="621">
                  <c:v>09.02.2023</c:v>
                </c:pt>
                <c:pt idx="622">
                  <c:v>13.02.2023</c:v>
                </c:pt>
                <c:pt idx="623">
                  <c:v>14.02.2023</c:v>
                </c:pt>
                <c:pt idx="624">
                  <c:v>15.02.2023</c:v>
                </c:pt>
                <c:pt idx="625">
                  <c:v>16.02.2023</c:v>
                </c:pt>
                <c:pt idx="626">
                  <c:v>21.02.2023</c:v>
                </c:pt>
                <c:pt idx="627">
                  <c:v>22.02.2023</c:v>
                </c:pt>
                <c:pt idx="628">
                  <c:v>23.02.2023</c:v>
                </c:pt>
                <c:pt idx="629">
                  <c:v>27.02.2023</c:v>
                </c:pt>
                <c:pt idx="630">
                  <c:v>28.02.2023</c:v>
                </c:pt>
                <c:pt idx="631">
                  <c:v>01.03.2023</c:v>
                </c:pt>
                <c:pt idx="632">
                  <c:v>02.03.2023</c:v>
                </c:pt>
                <c:pt idx="633">
                  <c:v>06.03.2023</c:v>
                </c:pt>
                <c:pt idx="634">
                  <c:v>07.03.2023</c:v>
                </c:pt>
                <c:pt idx="635">
                  <c:v>08.03.2023</c:v>
                </c:pt>
                <c:pt idx="636">
                  <c:v>09.03.2023</c:v>
                </c:pt>
                <c:pt idx="637">
                  <c:v>13.03.2023</c:v>
                </c:pt>
                <c:pt idx="638">
                  <c:v>14.03.2023</c:v>
                </c:pt>
                <c:pt idx="639">
                  <c:v>15.03.2023</c:v>
                </c:pt>
                <c:pt idx="640">
                  <c:v>16.03.2023</c:v>
                </c:pt>
                <c:pt idx="641">
                  <c:v>20.03.2023</c:v>
                </c:pt>
                <c:pt idx="642">
                  <c:v>21.03.2023</c:v>
                </c:pt>
                <c:pt idx="643">
                  <c:v>22.03.2023</c:v>
                </c:pt>
                <c:pt idx="644">
                  <c:v>23.03.2023</c:v>
                </c:pt>
                <c:pt idx="645">
                  <c:v>27.03.2023</c:v>
                </c:pt>
                <c:pt idx="646">
                  <c:v>28.03.2023</c:v>
                </c:pt>
                <c:pt idx="647">
                  <c:v>29.03.2023</c:v>
                </c:pt>
                <c:pt idx="648">
                  <c:v>30.03.2023</c:v>
                </c:pt>
                <c:pt idx="649">
                  <c:v>03.04.2023</c:v>
                </c:pt>
                <c:pt idx="650">
                  <c:v>04.04.2023</c:v>
                </c:pt>
                <c:pt idx="651">
                  <c:v>05.04.2023</c:v>
                </c:pt>
                <c:pt idx="652">
                  <c:v>10.04.2023</c:v>
                </c:pt>
                <c:pt idx="653">
                  <c:v>11.04.2023</c:v>
                </c:pt>
                <c:pt idx="654">
                  <c:v>12.04.2023</c:v>
                </c:pt>
                <c:pt idx="655">
                  <c:v>13.04.2023</c:v>
                </c:pt>
                <c:pt idx="656">
                  <c:v>17.04.2023</c:v>
                </c:pt>
                <c:pt idx="657">
                  <c:v>18.04.2023</c:v>
                </c:pt>
                <c:pt idx="658">
                  <c:v>19.04.2023</c:v>
                </c:pt>
                <c:pt idx="659">
                  <c:v>20.04.2023</c:v>
                </c:pt>
                <c:pt idx="660">
                  <c:v>24.04.2023</c:v>
                </c:pt>
                <c:pt idx="661">
                  <c:v>25.04.2023</c:v>
                </c:pt>
                <c:pt idx="662">
                  <c:v>26.04.2023</c:v>
                </c:pt>
                <c:pt idx="663">
                  <c:v>27.04.2023</c:v>
                </c:pt>
                <c:pt idx="664">
                  <c:v>01.05.2023</c:v>
                </c:pt>
                <c:pt idx="665">
                  <c:v>02.05.2023</c:v>
                </c:pt>
                <c:pt idx="666">
                  <c:v>03.05.2023</c:v>
                </c:pt>
                <c:pt idx="667">
                  <c:v>04.05.2023</c:v>
                </c:pt>
                <c:pt idx="668">
                  <c:v>08.05.2023</c:v>
                </c:pt>
                <c:pt idx="669">
                  <c:v>09.05.2023</c:v>
                </c:pt>
                <c:pt idx="670">
                  <c:v>10.05.2023</c:v>
                </c:pt>
                <c:pt idx="671">
                  <c:v>11.05.2023</c:v>
                </c:pt>
                <c:pt idx="672">
                  <c:v>15.05.2023</c:v>
                </c:pt>
                <c:pt idx="673">
                  <c:v>16.05.2023</c:v>
                </c:pt>
                <c:pt idx="674">
                  <c:v>17.05.2023</c:v>
                </c:pt>
                <c:pt idx="675">
                  <c:v>18.05.2023</c:v>
                </c:pt>
                <c:pt idx="676">
                  <c:v>22.05.2023</c:v>
                </c:pt>
                <c:pt idx="677">
                  <c:v>23.05.2023</c:v>
                </c:pt>
                <c:pt idx="678">
                  <c:v>24.05.2023</c:v>
                </c:pt>
                <c:pt idx="679">
                  <c:v>25.05.2023</c:v>
                </c:pt>
                <c:pt idx="680">
                  <c:v>30.05.2023</c:v>
                </c:pt>
                <c:pt idx="681">
                  <c:v>31.05.2023</c:v>
                </c:pt>
                <c:pt idx="682">
                  <c:v>01.06.2023</c:v>
                </c:pt>
                <c:pt idx="683">
                  <c:v>05.06.2023</c:v>
                </c:pt>
                <c:pt idx="684">
                  <c:v>06.06.2023</c:v>
                </c:pt>
                <c:pt idx="685">
                  <c:v>07.06.2023</c:v>
                </c:pt>
                <c:pt idx="686">
                  <c:v>08.06.2023</c:v>
                </c:pt>
                <c:pt idx="687">
                  <c:v>12.06.2023</c:v>
                </c:pt>
                <c:pt idx="688">
                  <c:v>13.06.2023</c:v>
                </c:pt>
                <c:pt idx="689">
                  <c:v>14.06.2023</c:v>
                </c:pt>
                <c:pt idx="690">
                  <c:v>15.06.2023</c:v>
                </c:pt>
                <c:pt idx="691">
                  <c:v>20.06.2023</c:v>
                </c:pt>
                <c:pt idx="692">
                  <c:v>21.06.2023</c:v>
                </c:pt>
                <c:pt idx="693">
                  <c:v>22.06.2023</c:v>
                </c:pt>
                <c:pt idx="694">
                  <c:v>26.06.2023</c:v>
                </c:pt>
                <c:pt idx="695">
                  <c:v>27.06.2023</c:v>
                </c:pt>
                <c:pt idx="696">
                  <c:v>28.06.2023</c:v>
                </c:pt>
                <c:pt idx="697">
                  <c:v>29.06.2023</c:v>
                </c:pt>
                <c:pt idx="698">
                  <c:v>03.07.2023</c:v>
                </c:pt>
                <c:pt idx="699">
                  <c:v>05.07.2023</c:v>
                </c:pt>
                <c:pt idx="700">
                  <c:v>06.07.2023</c:v>
                </c:pt>
                <c:pt idx="701">
                  <c:v>10.07.2023</c:v>
                </c:pt>
                <c:pt idx="702">
                  <c:v>11.07.2023</c:v>
                </c:pt>
                <c:pt idx="703">
                  <c:v>12.07.2023</c:v>
                </c:pt>
                <c:pt idx="704">
                  <c:v>13.07.2023</c:v>
                </c:pt>
                <c:pt idx="705">
                  <c:v>17.07.2023</c:v>
                </c:pt>
                <c:pt idx="706">
                  <c:v>18.07.2023</c:v>
                </c:pt>
                <c:pt idx="707">
                  <c:v>19.07.2023</c:v>
                </c:pt>
                <c:pt idx="708">
                  <c:v>20.07.2023</c:v>
                </c:pt>
                <c:pt idx="709">
                  <c:v>24.07.2023</c:v>
                </c:pt>
                <c:pt idx="710">
                  <c:v>25.07.2023</c:v>
                </c:pt>
                <c:pt idx="711">
                  <c:v>26.07.2023</c:v>
                </c:pt>
                <c:pt idx="712">
                  <c:v>27.07.2023</c:v>
                </c:pt>
                <c:pt idx="713">
                  <c:v>31.07.2023</c:v>
                </c:pt>
                <c:pt idx="714">
                  <c:v>01.08.2023</c:v>
                </c:pt>
                <c:pt idx="715">
                  <c:v>02.08.2023</c:v>
                </c:pt>
                <c:pt idx="716">
                  <c:v>03.08.2023</c:v>
                </c:pt>
                <c:pt idx="717">
                  <c:v>07.08.2023</c:v>
                </c:pt>
                <c:pt idx="718">
                  <c:v>08.08.2023</c:v>
                </c:pt>
                <c:pt idx="719">
                  <c:v>09.08.2023</c:v>
                </c:pt>
                <c:pt idx="720">
                  <c:v>10.08.2023</c:v>
                </c:pt>
                <c:pt idx="721">
                  <c:v>14.08.2023</c:v>
                </c:pt>
                <c:pt idx="722">
                  <c:v>15.08.2023</c:v>
                </c:pt>
                <c:pt idx="723">
                  <c:v>16.08.2023</c:v>
                </c:pt>
                <c:pt idx="724">
                  <c:v>17.08.2023</c:v>
                </c:pt>
                <c:pt idx="725">
                  <c:v>21.08.2023</c:v>
                </c:pt>
                <c:pt idx="726">
                  <c:v>22.08.2023</c:v>
                </c:pt>
                <c:pt idx="727">
                  <c:v>23.08.2023</c:v>
                </c:pt>
                <c:pt idx="728">
                  <c:v>24.08.2023</c:v>
                </c:pt>
                <c:pt idx="729">
                  <c:v>28.08.2023</c:v>
                </c:pt>
                <c:pt idx="730">
                  <c:v>29.08.2023</c:v>
                </c:pt>
                <c:pt idx="731">
                  <c:v>30.08.2023</c:v>
                </c:pt>
                <c:pt idx="732">
                  <c:v>31.08.2023</c:v>
                </c:pt>
                <c:pt idx="733">
                  <c:v>05.09.2023</c:v>
                </c:pt>
                <c:pt idx="734">
                  <c:v>06.09.2023</c:v>
                </c:pt>
                <c:pt idx="735">
                  <c:v>07.09.2023</c:v>
                </c:pt>
                <c:pt idx="736">
                  <c:v>11.09.2023</c:v>
                </c:pt>
                <c:pt idx="737">
                  <c:v>12.09.2023</c:v>
                </c:pt>
                <c:pt idx="738">
                  <c:v>13.09.2023</c:v>
                </c:pt>
                <c:pt idx="739">
                  <c:v>14.09.2023</c:v>
                </c:pt>
                <c:pt idx="740">
                  <c:v>18.09.2023</c:v>
                </c:pt>
                <c:pt idx="741">
                  <c:v>19.09.2023</c:v>
                </c:pt>
                <c:pt idx="742">
                  <c:v>20.09.2023</c:v>
                </c:pt>
                <c:pt idx="743">
                  <c:v>21.09.2023</c:v>
                </c:pt>
                <c:pt idx="744">
                  <c:v>25.09.2023</c:v>
                </c:pt>
                <c:pt idx="745">
                  <c:v>26.09.2023</c:v>
                </c:pt>
                <c:pt idx="746">
                  <c:v>27.09.2023</c:v>
                </c:pt>
                <c:pt idx="747">
                  <c:v>28.09.2023</c:v>
                </c:pt>
                <c:pt idx="748">
                  <c:v>02.10.2023</c:v>
                </c:pt>
                <c:pt idx="749">
                  <c:v>03.10.2023</c:v>
                </c:pt>
                <c:pt idx="750">
                  <c:v>04.10.2023</c:v>
                </c:pt>
                <c:pt idx="751">
                  <c:v>05.10.2023</c:v>
                </c:pt>
                <c:pt idx="752">
                  <c:v>09.10.2023</c:v>
                </c:pt>
                <c:pt idx="753">
                  <c:v>10.10.2023</c:v>
                </c:pt>
                <c:pt idx="754">
                  <c:v>11.10.2023</c:v>
                </c:pt>
                <c:pt idx="755">
                  <c:v>12.10.2023</c:v>
                </c:pt>
                <c:pt idx="756">
                  <c:v>16.10.2023</c:v>
                </c:pt>
                <c:pt idx="757">
                  <c:v>17.10.2023</c:v>
                </c:pt>
                <c:pt idx="758">
                  <c:v>18.10.2023</c:v>
                </c:pt>
                <c:pt idx="759">
                  <c:v>19.10.2023</c:v>
                </c:pt>
                <c:pt idx="760">
                  <c:v>23.10.2023</c:v>
                </c:pt>
                <c:pt idx="761">
                  <c:v>24.10.2023</c:v>
                </c:pt>
                <c:pt idx="762">
                  <c:v>25.10.2023</c:v>
                </c:pt>
                <c:pt idx="763">
                  <c:v>26.10.2023</c:v>
                </c:pt>
                <c:pt idx="764">
                  <c:v>30.10.2023</c:v>
                </c:pt>
                <c:pt idx="765">
                  <c:v>31.10.2023</c:v>
                </c:pt>
                <c:pt idx="766">
                  <c:v>01.11.2023</c:v>
                </c:pt>
                <c:pt idx="767">
                  <c:v>02.11.2023</c:v>
                </c:pt>
                <c:pt idx="768">
                  <c:v>06.11.2023</c:v>
                </c:pt>
                <c:pt idx="769">
                  <c:v>07.11.2023</c:v>
                </c:pt>
                <c:pt idx="770">
                  <c:v>08.11.2023</c:v>
                </c:pt>
                <c:pt idx="771">
                  <c:v>09.11.2023</c:v>
                </c:pt>
                <c:pt idx="772">
                  <c:v>13.11.2023</c:v>
                </c:pt>
                <c:pt idx="773">
                  <c:v>14.11.2023</c:v>
                </c:pt>
                <c:pt idx="774">
                  <c:v>15.11.2023</c:v>
                </c:pt>
                <c:pt idx="775">
                  <c:v>16.11.2023</c:v>
                </c:pt>
                <c:pt idx="776">
                  <c:v>20.11.2023</c:v>
                </c:pt>
                <c:pt idx="777">
                  <c:v>21.11.2023</c:v>
                </c:pt>
                <c:pt idx="778">
                  <c:v>22.11.2023</c:v>
                </c:pt>
                <c:pt idx="779">
                  <c:v>27.11.2023</c:v>
                </c:pt>
                <c:pt idx="780">
                  <c:v>28.11.2023</c:v>
                </c:pt>
                <c:pt idx="781">
                  <c:v>29.11.2023</c:v>
                </c:pt>
                <c:pt idx="782">
                  <c:v>30.11.2023</c:v>
                </c:pt>
                <c:pt idx="783">
                  <c:v>04.12.2023</c:v>
                </c:pt>
                <c:pt idx="784">
                  <c:v>05.12.2023</c:v>
                </c:pt>
                <c:pt idx="785">
                  <c:v>06.12.2023</c:v>
                </c:pt>
                <c:pt idx="786">
                  <c:v>07.12.2023</c:v>
                </c:pt>
                <c:pt idx="787">
                  <c:v>11.12.2023</c:v>
                </c:pt>
                <c:pt idx="788">
                  <c:v>12.12.2023</c:v>
                </c:pt>
                <c:pt idx="789">
                  <c:v>13.12.2023</c:v>
                </c:pt>
                <c:pt idx="790">
                  <c:v>14.12.2023</c:v>
                </c:pt>
                <c:pt idx="791">
                  <c:v>18.12.2023</c:v>
                </c:pt>
                <c:pt idx="792">
                  <c:v>19.12.2023</c:v>
                </c:pt>
                <c:pt idx="793">
                  <c:v>20.12.2023</c:v>
                </c:pt>
                <c:pt idx="794">
                  <c:v>21.12.2023</c:v>
                </c:pt>
                <c:pt idx="795">
                  <c:v>26.12.2023</c:v>
                </c:pt>
                <c:pt idx="796">
                  <c:v>27.12.2023</c:v>
                </c:pt>
                <c:pt idx="797">
                  <c:v>28.12.2023</c:v>
                </c:pt>
                <c:pt idx="798">
                  <c:v>02.01.2024</c:v>
                </c:pt>
                <c:pt idx="799">
                  <c:v>03.01.2024</c:v>
                </c:pt>
                <c:pt idx="800">
                  <c:v>04.01.2024</c:v>
                </c:pt>
                <c:pt idx="801">
                  <c:v>08.01.2024</c:v>
                </c:pt>
                <c:pt idx="802">
                  <c:v>09.01.2024</c:v>
                </c:pt>
                <c:pt idx="803">
                  <c:v>10.01.2024</c:v>
                </c:pt>
                <c:pt idx="804">
                  <c:v>11.01.2024</c:v>
                </c:pt>
                <c:pt idx="805">
                  <c:v>16.01.2024</c:v>
                </c:pt>
                <c:pt idx="806">
                  <c:v>17.01.2024</c:v>
                </c:pt>
                <c:pt idx="807">
                  <c:v>18.01.2024</c:v>
                </c:pt>
                <c:pt idx="808">
                  <c:v>22.01.2024</c:v>
                </c:pt>
                <c:pt idx="809">
                  <c:v>23.01.2024</c:v>
                </c:pt>
                <c:pt idx="810">
                  <c:v>24.01.2024</c:v>
                </c:pt>
                <c:pt idx="811">
                  <c:v>25.01.2024</c:v>
                </c:pt>
                <c:pt idx="812">
                  <c:v>29.01.2024</c:v>
                </c:pt>
                <c:pt idx="813">
                  <c:v>30.01.2024</c:v>
                </c:pt>
                <c:pt idx="814">
                  <c:v>31.01.2024</c:v>
                </c:pt>
                <c:pt idx="815">
                  <c:v>01.02.2024</c:v>
                </c:pt>
                <c:pt idx="816">
                  <c:v>05.02.2024</c:v>
                </c:pt>
                <c:pt idx="817">
                  <c:v>06.02.2024</c:v>
                </c:pt>
                <c:pt idx="818">
                  <c:v>07.02.2024</c:v>
                </c:pt>
                <c:pt idx="819">
                  <c:v>08.02.2024</c:v>
                </c:pt>
                <c:pt idx="820">
                  <c:v>12.02.2024</c:v>
                </c:pt>
                <c:pt idx="821">
                  <c:v>13.02.2024</c:v>
                </c:pt>
                <c:pt idx="822">
                  <c:v>14.02.2024</c:v>
                </c:pt>
                <c:pt idx="823">
                  <c:v>15.02.2024</c:v>
                </c:pt>
                <c:pt idx="824">
                  <c:v>20.02.2024</c:v>
                </c:pt>
                <c:pt idx="825">
                  <c:v>21.02.2024</c:v>
                </c:pt>
                <c:pt idx="826">
                  <c:v>22.02.2024</c:v>
                </c:pt>
                <c:pt idx="827">
                  <c:v>26.02.2024</c:v>
                </c:pt>
                <c:pt idx="828">
                  <c:v>27.02.2024</c:v>
                </c:pt>
                <c:pt idx="829">
                  <c:v>28.02.2024</c:v>
                </c:pt>
                <c:pt idx="830">
                  <c:v>29.02.2024</c:v>
                </c:pt>
                <c:pt idx="831">
                  <c:v>04.03.2024</c:v>
                </c:pt>
                <c:pt idx="832">
                  <c:v>05.03.2024</c:v>
                </c:pt>
                <c:pt idx="833">
                  <c:v>06.03.2024</c:v>
                </c:pt>
                <c:pt idx="834">
                  <c:v>07.03.2024</c:v>
                </c:pt>
                <c:pt idx="835">
                  <c:v>11.03.2024</c:v>
                </c:pt>
                <c:pt idx="836">
                  <c:v>12.03.2024</c:v>
                </c:pt>
                <c:pt idx="837">
                  <c:v>13.03.2024</c:v>
                </c:pt>
                <c:pt idx="838">
                  <c:v>14.03.2024</c:v>
                </c:pt>
                <c:pt idx="839">
                  <c:v>18.03.2024</c:v>
                </c:pt>
                <c:pt idx="840">
                  <c:v>19.03.2024</c:v>
                </c:pt>
                <c:pt idx="841">
                  <c:v>20.03.2024</c:v>
                </c:pt>
                <c:pt idx="842">
                  <c:v>21.03.2024</c:v>
                </c:pt>
                <c:pt idx="843">
                  <c:v>25.03.2024</c:v>
                </c:pt>
                <c:pt idx="844">
                  <c:v>26.03.2024</c:v>
                </c:pt>
                <c:pt idx="845">
                  <c:v>27.03.2024</c:v>
                </c:pt>
                <c:pt idx="846">
                  <c:v>01.04.2024</c:v>
                </c:pt>
                <c:pt idx="847">
                  <c:v>02.04.2024</c:v>
                </c:pt>
                <c:pt idx="848">
                  <c:v>03.04.2024</c:v>
                </c:pt>
                <c:pt idx="849">
                  <c:v>04.04.2024</c:v>
                </c:pt>
                <c:pt idx="850">
                  <c:v>08.04.2024</c:v>
                </c:pt>
                <c:pt idx="851">
                  <c:v>09.04.2024</c:v>
                </c:pt>
                <c:pt idx="852">
                  <c:v>10.04.2024</c:v>
                </c:pt>
                <c:pt idx="853">
                  <c:v>11.04.2024</c:v>
                </c:pt>
                <c:pt idx="854">
                  <c:v>15.04.2024</c:v>
                </c:pt>
                <c:pt idx="855">
                  <c:v>16.04.2024</c:v>
                </c:pt>
                <c:pt idx="856">
                  <c:v>17.04.2024</c:v>
                </c:pt>
                <c:pt idx="857">
                  <c:v>18.04.2024</c:v>
                </c:pt>
                <c:pt idx="858">
                  <c:v>22.04.2024</c:v>
                </c:pt>
                <c:pt idx="859">
                  <c:v>23.04.2024</c:v>
                </c:pt>
                <c:pt idx="860">
                  <c:v>24.04.2024</c:v>
                </c:pt>
                <c:pt idx="861">
                  <c:v>25.04.2024</c:v>
                </c:pt>
                <c:pt idx="862">
                  <c:v>29.04.2024</c:v>
                </c:pt>
                <c:pt idx="863">
                  <c:v>30.04.2024</c:v>
                </c:pt>
                <c:pt idx="864">
                  <c:v>01.05.2024</c:v>
                </c:pt>
                <c:pt idx="865">
                  <c:v>02.05.2024</c:v>
                </c:pt>
                <c:pt idx="866">
                  <c:v>06.05.2024</c:v>
                </c:pt>
                <c:pt idx="867">
                  <c:v>07.05.2024</c:v>
                </c:pt>
                <c:pt idx="868">
                  <c:v>08.05.2024</c:v>
                </c:pt>
                <c:pt idx="869">
                  <c:v>09.05.2024</c:v>
                </c:pt>
                <c:pt idx="870">
                  <c:v>13.05.2024</c:v>
                </c:pt>
                <c:pt idx="871">
                  <c:v>14.05.2024</c:v>
                </c:pt>
                <c:pt idx="872">
                  <c:v>15.05.2024</c:v>
                </c:pt>
                <c:pt idx="873">
                  <c:v>16.05.2024</c:v>
                </c:pt>
                <c:pt idx="874">
                  <c:v>20.05.2024</c:v>
                </c:pt>
                <c:pt idx="875">
                  <c:v>21.05.2024</c:v>
                </c:pt>
                <c:pt idx="876">
                  <c:v>22.05.2024</c:v>
                </c:pt>
                <c:pt idx="877">
                  <c:v>23.05.2024</c:v>
                </c:pt>
                <c:pt idx="878">
                  <c:v>28.05.2024</c:v>
                </c:pt>
                <c:pt idx="879">
                  <c:v>29.05.2024</c:v>
                </c:pt>
                <c:pt idx="880">
                  <c:v>30.05.2024</c:v>
                </c:pt>
                <c:pt idx="881">
                  <c:v>03.06.2024</c:v>
                </c:pt>
                <c:pt idx="882">
                  <c:v>04.06.2024</c:v>
                </c:pt>
                <c:pt idx="883">
                  <c:v>05.06.2024</c:v>
                </c:pt>
                <c:pt idx="884">
                  <c:v>06.06.2024</c:v>
                </c:pt>
                <c:pt idx="885">
                  <c:v>10.06.2024</c:v>
                </c:pt>
                <c:pt idx="886">
                  <c:v>11.06.2024</c:v>
                </c:pt>
                <c:pt idx="887">
                  <c:v>12.06.2024</c:v>
                </c:pt>
                <c:pt idx="888">
                  <c:v>13.06.2024</c:v>
                </c:pt>
                <c:pt idx="889">
                  <c:v>17.06.2024</c:v>
                </c:pt>
                <c:pt idx="890">
                  <c:v>18.06.2024</c:v>
                </c:pt>
                <c:pt idx="891">
                  <c:v>20.06.2024</c:v>
                </c:pt>
                <c:pt idx="892">
                  <c:v>24.06.2024</c:v>
                </c:pt>
                <c:pt idx="893">
                  <c:v>25.06.2024</c:v>
                </c:pt>
                <c:pt idx="894">
                  <c:v>26.06.2024</c:v>
                </c:pt>
                <c:pt idx="895">
                  <c:v>27.06.2024</c:v>
                </c:pt>
                <c:pt idx="896">
                  <c:v>01.07.2024</c:v>
                </c:pt>
                <c:pt idx="897">
                  <c:v>02.07.2024</c:v>
                </c:pt>
                <c:pt idx="898">
                  <c:v>03.07.2024</c:v>
                </c:pt>
                <c:pt idx="899">
                  <c:v>08.07.2024</c:v>
                </c:pt>
                <c:pt idx="900">
                  <c:v>09.07.2024</c:v>
                </c:pt>
                <c:pt idx="901">
                  <c:v>10.07.2024</c:v>
                </c:pt>
                <c:pt idx="902">
                  <c:v>11.07.2024</c:v>
                </c:pt>
                <c:pt idx="903">
                  <c:v>15.07.2024</c:v>
                </c:pt>
                <c:pt idx="904">
                  <c:v>16.07.2024</c:v>
                </c:pt>
                <c:pt idx="905">
                  <c:v>17.07.2024</c:v>
                </c:pt>
                <c:pt idx="906">
                  <c:v>18.07.2024</c:v>
                </c:pt>
                <c:pt idx="907">
                  <c:v>22.07.2024</c:v>
                </c:pt>
                <c:pt idx="908">
                  <c:v>23.07.2024</c:v>
                </c:pt>
                <c:pt idx="909">
                  <c:v>24.07.2024</c:v>
                </c:pt>
                <c:pt idx="910">
                  <c:v>25.07.2024</c:v>
                </c:pt>
                <c:pt idx="911">
                  <c:v>29.07.2024</c:v>
                </c:pt>
                <c:pt idx="912">
                  <c:v>30.07.2024</c:v>
                </c:pt>
                <c:pt idx="913">
                  <c:v>31.07.2024</c:v>
                </c:pt>
                <c:pt idx="914">
                  <c:v>01.08.2024</c:v>
                </c:pt>
                <c:pt idx="915">
                  <c:v>05.08.2024</c:v>
                </c:pt>
                <c:pt idx="916">
                  <c:v>06.08.2024</c:v>
                </c:pt>
                <c:pt idx="917">
                  <c:v>07.08.2024</c:v>
                </c:pt>
                <c:pt idx="918">
                  <c:v>08.08.2024</c:v>
                </c:pt>
                <c:pt idx="919">
                  <c:v>12.08.2024</c:v>
                </c:pt>
                <c:pt idx="920">
                  <c:v>13.08.2024</c:v>
                </c:pt>
                <c:pt idx="921">
                  <c:v>14.08.2024</c:v>
                </c:pt>
                <c:pt idx="922">
                  <c:v>15.08.2024</c:v>
                </c:pt>
                <c:pt idx="923">
                  <c:v>19.08.2024</c:v>
                </c:pt>
                <c:pt idx="924">
                  <c:v>20.08.2024</c:v>
                </c:pt>
                <c:pt idx="925">
                  <c:v>21.08.2024</c:v>
                </c:pt>
                <c:pt idx="926">
                  <c:v>22.08.2024</c:v>
                </c:pt>
                <c:pt idx="927">
                  <c:v>26.08.2024</c:v>
                </c:pt>
                <c:pt idx="928">
                  <c:v>27.08.2024</c:v>
                </c:pt>
                <c:pt idx="929">
                  <c:v>28.08.2024</c:v>
                </c:pt>
                <c:pt idx="930">
                  <c:v>29.08.2024</c:v>
                </c:pt>
                <c:pt idx="931">
                  <c:v>03.09.2024</c:v>
                </c:pt>
                <c:pt idx="932">
                  <c:v>04.09.2024</c:v>
                </c:pt>
                <c:pt idx="933">
                  <c:v>05.09.2024</c:v>
                </c:pt>
                <c:pt idx="934">
                  <c:v>09.09.2024</c:v>
                </c:pt>
                <c:pt idx="935">
                  <c:v>10.09.2024</c:v>
                </c:pt>
                <c:pt idx="936">
                  <c:v>11.09.2024</c:v>
                </c:pt>
                <c:pt idx="937">
                  <c:v>12.09.2024</c:v>
                </c:pt>
                <c:pt idx="938">
                  <c:v>16.09.2024</c:v>
                </c:pt>
                <c:pt idx="939">
                  <c:v>17.09.2024</c:v>
                </c:pt>
                <c:pt idx="940">
                  <c:v>18.09.2024</c:v>
                </c:pt>
                <c:pt idx="941">
                  <c:v>19.09.2024</c:v>
                </c:pt>
                <c:pt idx="942">
                  <c:v>23.09.2024</c:v>
                </c:pt>
                <c:pt idx="943">
                  <c:v>24.09.2024</c:v>
                </c:pt>
                <c:pt idx="944">
                  <c:v>25.09.2024</c:v>
                </c:pt>
                <c:pt idx="945">
                  <c:v>26.09.2024</c:v>
                </c:pt>
                <c:pt idx="946">
                  <c:v>30.09.2024</c:v>
                </c:pt>
                <c:pt idx="947">
                  <c:v>01.10.2024</c:v>
                </c:pt>
                <c:pt idx="948">
                  <c:v>02.10.2024</c:v>
                </c:pt>
                <c:pt idx="949">
                  <c:v>03.10.2024</c:v>
                </c:pt>
                <c:pt idx="950">
                  <c:v>07.10.2024</c:v>
                </c:pt>
                <c:pt idx="951">
                  <c:v>08.10.2024</c:v>
                </c:pt>
                <c:pt idx="952">
                  <c:v>09.10.2024</c:v>
                </c:pt>
                <c:pt idx="953">
                  <c:v>10.10.2024</c:v>
                </c:pt>
                <c:pt idx="954">
                  <c:v>14.10.2024</c:v>
                </c:pt>
                <c:pt idx="955">
                  <c:v>15.10.2024</c:v>
                </c:pt>
                <c:pt idx="956">
                  <c:v>16.10.2024</c:v>
                </c:pt>
                <c:pt idx="957">
                  <c:v>17.10.2024</c:v>
                </c:pt>
                <c:pt idx="958">
                  <c:v>21.10.2024</c:v>
                </c:pt>
                <c:pt idx="959">
                  <c:v>22.10.2024</c:v>
                </c:pt>
                <c:pt idx="960">
                  <c:v>23.10.2024</c:v>
                </c:pt>
                <c:pt idx="961">
                  <c:v>24.10.2024</c:v>
                </c:pt>
                <c:pt idx="962">
                  <c:v>28.10.2024</c:v>
                </c:pt>
                <c:pt idx="963">
                  <c:v>29.10.2024</c:v>
                </c:pt>
                <c:pt idx="964">
                  <c:v>30.10.2024</c:v>
                </c:pt>
                <c:pt idx="965">
                  <c:v>31.10.2024</c:v>
                </c:pt>
                <c:pt idx="966">
                  <c:v>04.11.2024</c:v>
                </c:pt>
                <c:pt idx="967">
                  <c:v>05.11.2024</c:v>
                </c:pt>
                <c:pt idx="968">
                  <c:v>06.11.2024</c:v>
                </c:pt>
                <c:pt idx="969">
                  <c:v>07.11.2024</c:v>
                </c:pt>
                <c:pt idx="970">
                  <c:v>11.11.2024</c:v>
                </c:pt>
                <c:pt idx="971">
                  <c:v>12.11.2024</c:v>
                </c:pt>
                <c:pt idx="972">
                  <c:v>13.11.2024</c:v>
                </c:pt>
                <c:pt idx="973">
                  <c:v>14.11.2024</c:v>
                </c:pt>
                <c:pt idx="974">
                  <c:v>18.11.2024</c:v>
                </c:pt>
                <c:pt idx="975">
                  <c:v>19.11.2024</c:v>
                </c:pt>
                <c:pt idx="976">
                  <c:v>20.11.2024</c:v>
                </c:pt>
                <c:pt idx="977">
                  <c:v>21.11.2024</c:v>
                </c:pt>
                <c:pt idx="978">
                  <c:v>25.11.2024</c:v>
                </c:pt>
                <c:pt idx="979">
                  <c:v>26.11.2024</c:v>
                </c:pt>
                <c:pt idx="980">
                  <c:v>27.11.2024</c:v>
                </c:pt>
                <c:pt idx="981">
                  <c:v>02.12.2024</c:v>
                </c:pt>
                <c:pt idx="982">
                  <c:v>03.12.2024</c:v>
                </c:pt>
                <c:pt idx="983">
                  <c:v>04.12.2024</c:v>
                </c:pt>
                <c:pt idx="984">
                  <c:v>05.12.2024</c:v>
                </c:pt>
                <c:pt idx="985">
                  <c:v>09.12.2024</c:v>
                </c:pt>
                <c:pt idx="986">
                  <c:v>10.12.2024</c:v>
                </c:pt>
                <c:pt idx="987">
                  <c:v>11.12.2024</c:v>
                </c:pt>
                <c:pt idx="988">
                  <c:v>12.12.2024</c:v>
                </c:pt>
                <c:pt idx="989">
                  <c:v>16.12.2024</c:v>
                </c:pt>
                <c:pt idx="990">
                  <c:v>17.12.2024</c:v>
                </c:pt>
                <c:pt idx="991">
                  <c:v>18.12.2024</c:v>
                </c:pt>
                <c:pt idx="992">
                  <c:v>19.12.2024</c:v>
                </c:pt>
                <c:pt idx="993">
                  <c:v>23.12.2024</c:v>
                </c:pt>
                <c:pt idx="994">
                  <c:v>26.12.2024</c:v>
                </c:pt>
                <c:pt idx="995">
                  <c:v>30.12.2024</c:v>
                </c:pt>
                <c:pt idx="996">
                  <c:v>02.01.2025</c:v>
                </c:pt>
                <c:pt idx="997">
                  <c:v>06.01.2025</c:v>
                </c:pt>
                <c:pt idx="998">
                  <c:v>07.01.2025</c:v>
                </c:pt>
                <c:pt idx="999">
                  <c:v>08.01.2025</c:v>
                </c:pt>
                <c:pt idx="1000">
                  <c:v>09.01.2025</c:v>
                </c:pt>
                <c:pt idx="1001">
                  <c:v>13.01.2025</c:v>
                </c:pt>
                <c:pt idx="1002">
                  <c:v>14.01.2025</c:v>
                </c:pt>
                <c:pt idx="1003">
                  <c:v>15.01.2025</c:v>
                </c:pt>
                <c:pt idx="1004">
                  <c:v>16.01.2025</c:v>
                </c:pt>
                <c:pt idx="1005">
                  <c:v>21.01.2025</c:v>
                </c:pt>
                <c:pt idx="1006">
                  <c:v>22.01.2025</c:v>
                </c:pt>
                <c:pt idx="1007">
                  <c:v>23.01.2025</c:v>
                </c:pt>
                <c:pt idx="1008">
                  <c:v>27.01.2025</c:v>
                </c:pt>
                <c:pt idx="1009">
                  <c:v>28.01.2025</c:v>
                </c:pt>
                <c:pt idx="1010">
                  <c:v>29.01.2025</c:v>
                </c:pt>
                <c:pt idx="1011">
                  <c:v>30.01.2025</c:v>
                </c:pt>
                <c:pt idx="1012">
                  <c:v>03.02.2025</c:v>
                </c:pt>
                <c:pt idx="1013">
                  <c:v>04.02.2025</c:v>
                </c:pt>
                <c:pt idx="1014">
                  <c:v>05.02.2025</c:v>
                </c:pt>
                <c:pt idx="1015">
                  <c:v>06.02.2025</c:v>
                </c:pt>
                <c:pt idx="1016">
                  <c:v>10.02.2025</c:v>
                </c:pt>
                <c:pt idx="1017">
                  <c:v>11.02.2025</c:v>
                </c:pt>
                <c:pt idx="1018">
                  <c:v>12.02.2025</c:v>
                </c:pt>
                <c:pt idx="1019">
                  <c:v>13.02.2025</c:v>
                </c:pt>
                <c:pt idx="1020">
                  <c:v>18.02.2025</c:v>
                </c:pt>
                <c:pt idx="1021">
                  <c:v>19.02.2025</c:v>
                </c:pt>
                <c:pt idx="1022">
                  <c:v>20.02.2025</c:v>
                </c:pt>
                <c:pt idx="1023">
                  <c:v>24.02.2025</c:v>
                </c:pt>
                <c:pt idx="1024">
                  <c:v>25.02.2025</c:v>
                </c:pt>
                <c:pt idx="1025">
                  <c:v>26.02.2025</c:v>
                </c:pt>
                <c:pt idx="1026">
                  <c:v>27.02.2025</c:v>
                </c:pt>
                <c:pt idx="1027">
                  <c:v>03.03.2025</c:v>
                </c:pt>
                <c:pt idx="1028">
                  <c:v>04.03.2025</c:v>
                </c:pt>
                <c:pt idx="1029">
                  <c:v>05.03.2025</c:v>
                </c:pt>
                <c:pt idx="1030">
                  <c:v>06.03.2025</c:v>
                </c:pt>
                <c:pt idx="1031">
                  <c:v>10.03.2025</c:v>
                </c:pt>
                <c:pt idx="1032">
                  <c:v>11.03.2025</c:v>
                </c:pt>
                <c:pt idx="1033">
                  <c:v>12.03.2025</c:v>
                </c:pt>
                <c:pt idx="1034">
                  <c:v>13.03.2025</c:v>
                </c:pt>
                <c:pt idx="1035">
                  <c:v>17.03.2025</c:v>
                </c:pt>
                <c:pt idx="1036">
                  <c:v>18.03.2025</c:v>
                </c:pt>
                <c:pt idx="1037">
                  <c:v>19.03.2025</c:v>
                </c:pt>
                <c:pt idx="1038">
                  <c:v>20.03.2025</c:v>
                </c:pt>
                <c:pt idx="1039">
                  <c:v>24.03.2025</c:v>
                </c:pt>
                <c:pt idx="1040">
                  <c:v>25.03.2025</c:v>
                </c:pt>
                <c:pt idx="1041">
                  <c:v>26.03.2025</c:v>
                </c:pt>
                <c:pt idx="1042">
                  <c:v>27.03.2025</c:v>
                </c:pt>
                <c:pt idx="1043">
                  <c:v>31.03.2025</c:v>
                </c:pt>
                <c:pt idx="1044">
                  <c:v>01.04.2025</c:v>
                </c:pt>
                <c:pt idx="1045">
                  <c:v>02.04.2025</c:v>
                </c:pt>
                <c:pt idx="1046">
                  <c:v>03.04.2025</c:v>
                </c:pt>
                <c:pt idx="1047">
                  <c:v>07.04.2025</c:v>
                </c:pt>
                <c:pt idx="1048">
                  <c:v>08.04.2025</c:v>
                </c:pt>
                <c:pt idx="1049">
                  <c:v>09.04.2025</c:v>
                </c:pt>
                <c:pt idx="1050">
                  <c:v>10.04.2025</c:v>
                </c:pt>
                <c:pt idx="1051">
                  <c:v>14.04.2025</c:v>
                </c:pt>
                <c:pt idx="1052">
                  <c:v>15.04.2025</c:v>
                </c:pt>
                <c:pt idx="1053">
                  <c:v>16.04.2025</c:v>
                </c:pt>
                <c:pt idx="1054">
                  <c:v>21.04.2025</c:v>
                </c:pt>
                <c:pt idx="1055">
                  <c:v>22.04.2025</c:v>
                </c:pt>
                <c:pt idx="1056">
                  <c:v>23.04.2025</c:v>
                </c:pt>
                <c:pt idx="1057">
                  <c:v>24.04.2025</c:v>
                </c:pt>
                <c:pt idx="1058">
                  <c:v>28.04.2025</c:v>
                </c:pt>
                <c:pt idx="1059">
                  <c:v>29.04.2025</c:v>
                </c:pt>
                <c:pt idx="1060">
                  <c:v>30.04.2025</c:v>
                </c:pt>
                <c:pt idx="1061">
                  <c:v>01.05.2025</c:v>
                </c:pt>
                <c:pt idx="1062">
                  <c:v>05.05.2025</c:v>
                </c:pt>
                <c:pt idx="1063">
                  <c:v>06.05.2025</c:v>
                </c:pt>
                <c:pt idx="1064">
                  <c:v>07.05.2025</c:v>
                </c:pt>
                <c:pt idx="1065">
                  <c:v>08.05.2025</c:v>
                </c:pt>
                <c:pt idx="1066">
                  <c:v>12.05.2025</c:v>
                </c:pt>
                <c:pt idx="1067">
                  <c:v>13.05.2025</c:v>
                </c:pt>
                <c:pt idx="1068">
                  <c:v>14.05.2025</c:v>
                </c:pt>
                <c:pt idx="1069">
                  <c:v>15.05.2025</c:v>
                </c:pt>
                <c:pt idx="1070">
                  <c:v>19.05.2025</c:v>
                </c:pt>
                <c:pt idx="1071">
                  <c:v>20.05.2025</c:v>
                </c:pt>
                <c:pt idx="1072">
                  <c:v>21.05.2025</c:v>
                </c:pt>
                <c:pt idx="1073">
                  <c:v>22.05.2025</c:v>
                </c:pt>
                <c:pt idx="1074">
                  <c:v>25.05.2025</c:v>
                </c:pt>
                <c:pt idx="1075">
                  <c:v>27.05.2025</c:v>
                </c:pt>
                <c:pt idx="1076">
                  <c:v>28.05.2025</c:v>
                </c:pt>
                <c:pt idx="1077">
                  <c:v>29.05.2025</c:v>
                </c:pt>
                <c:pt idx="1078">
                  <c:v>02.06.2025</c:v>
                </c:pt>
                <c:pt idx="1079">
                  <c:v>03.06.2025</c:v>
                </c:pt>
                <c:pt idx="1080">
                  <c:v>04.06.2025</c:v>
                </c:pt>
                <c:pt idx="1081">
                  <c:v>05.06.2025</c:v>
                </c:pt>
                <c:pt idx="1082">
                  <c:v>09.06.2025</c:v>
                </c:pt>
                <c:pt idx="1083">
                  <c:v>10.06.2025</c:v>
                </c:pt>
                <c:pt idx="1084">
                  <c:v>11.06.2025</c:v>
                </c:pt>
                <c:pt idx="1085">
                  <c:v>12.06.2025</c:v>
                </c:pt>
                <c:pt idx="1086">
                  <c:v>16.06.2025</c:v>
                </c:pt>
                <c:pt idx="1087">
                  <c:v>17.06.2025</c:v>
                </c:pt>
                <c:pt idx="1088">
                  <c:v>18.06.2025</c:v>
                </c:pt>
                <c:pt idx="1089">
                  <c:v>23.06.2025</c:v>
                </c:pt>
                <c:pt idx="1090">
                  <c:v>24.06.2025</c:v>
                </c:pt>
                <c:pt idx="1091">
                  <c:v>25.06.2025</c:v>
                </c:pt>
                <c:pt idx="1092">
                  <c:v>26.06.2025</c:v>
                </c:pt>
                <c:pt idx="1093">
                  <c:v>30.06.2025</c:v>
                </c:pt>
                <c:pt idx="1094">
                  <c:v>01.07.2025</c:v>
                </c:pt>
                <c:pt idx="1095">
                  <c:v>02.07.2025</c:v>
                </c:pt>
                <c:pt idx="1096">
                  <c:v>03.07.2025</c:v>
                </c:pt>
                <c:pt idx="1097">
                  <c:v>07.07.2025</c:v>
                </c:pt>
                <c:pt idx="1098">
                  <c:v>08.07.2025</c:v>
                </c:pt>
                <c:pt idx="1099">
                  <c:v>09.07.2025</c:v>
                </c:pt>
                <c:pt idx="1100">
                  <c:v>10.07.2025</c:v>
                </c:pt>
                <c:pt idx="1101">
                  <c:v>14.07.2025</c:v>
                </c:pt>
                <c:pt idx="1102">
                  <c:v>15.07.2025</c:v>
                </c:pt>
                <c:pt idx="1103">
                  <c:v>16.07.2025</c:v>
                </c:pt>
                <c:pt idx="1104">
                  <c:v>17.07.2025</c:v>
                </c:pt>
                <c:pt idx="1105">
                  <c:v>21.07.2025</c:v>
                </c:pt>
                <c:pt idx="1106">
                  <c:v>22.07.2025</c:v>
                </c:pt>
                <c:pt idx="1107">
                  <c:v>23.07.2025</c:v>
                </c:pt>
                <c:pt idx="1108">
                  <c:v>24.07.2025</c:v>
                </c:pt>
                <c:pt idx="1109">
                  <c:v>28.07.2025</c:v>
                </c:pt>
                <c:pt idx="1110">
                  <c:v>29.07.2025</c:v>
                </c:pt>
                <c:pt idx="1111">
                  <c:v>30.07.2025</c:v>
                </c:pt>
                <c:pt idx="1112">
                  <c:v>31.07.2025</c:v>
                </c:pt>
                <c:pt idx="1113">
                  <c:v>04.08.2025</c:v>
                </c:pt>
                <c:pt idx="1114">
                  <c:v>05.08.2025</c:v>
                </c:pt>
                <c:pt idx="1115">
                  <c:v>06.08.2025</c:v>
                </c:pt>
                <c:pt idx="1116">
                  <c:v>07.08.2025</c:v>
                </c:pt>
                <c:pt idx="1117">
                  <c:v>11.08.2025</c:v>
                </c:pt>
                <c:pt idx="1118">
                  <c:v>12.08.2025</c:v>
                </c:pt>
                <c:pt idx="1119">
                  <c:v>13.08.2025</c:v>
                </c:pt>
                <c:pt idx="1120">
                  <c:v>14.08.2025</c:v>
                </c:pt>
                <c:pt idx="1121">
                  <c:v>18.08.2025</c:v>
                </c:pt>
                <c:pt idx="1122">
                  <c:v>19.08.2025</c:v>
                </c:pt>
                <c:pt idx="1123">
                  <c:v>20.08.2025</c:v>
                </c:pt>
                <c:pt idx="1124">
                  <c:v>21.08.2025</c:v>
                </c:pt>
                <c:pt idx="1125">
                  <c:v>25.08.2025</c:v>
                </c:pt>
                <c:pt idx="1126">
                  <c:v>26.08.2025</c:v>
                </c:pt>
                <c:pt idx="1127">
                  <c:v>27.08.2025</c:v>
                </c:pt>
                <c:pt idx="1128">
                  <c:v>28.08.2025</c:v>
                </c:pt>
                <c:pt idx="1129">
                  <c:v>31.08.2025</c:v>
                </c:pt>
                <c:pt idx="1130">
                  <c:v>02.09.2025</c:v>
                </c:pt>
                <c:pt idx="1131">
                  <c:v>03.09.2025</c:v>
                </c:pt>
                <c:pt idx="1132">
                  <c:v>04.09.2025</c:v>
                </c:pt>
                <c:pt idx="1133">
                  <c:v>08.09.2025</c:v>
                </c:pt>
                <c:pt idx="1134">
                  <c:v>09.09.2025</c:v>
                </c:pt>
                <c:pt idx="1135">
                  <c:v>10.09.2025</c:v>
                </c:pt>
                <c:pt idx="1136">
                  <c:v>11.09.2025</c:v>
                </c:pt>
                <c:pt idx="1137">
                  <c:v>15.09.2025</c:v>
                </c:pt>
                <c:pt idx="1138">
                  <c:v>16.09.2025</c:v>
                </c:pt>
                <c:pt idx="1139">
                  <c:v>17.09.2025</c:v>
                </c:pt>
                <c:pt idx="1140">
                  <c:v>18.09.2025</c:v>
                </c:pt>
                <c:pt idx="1141">
                  <c:v>22.09.2025</c:v>
                </c:pt>
                <c:pt idx="1142">
                  <c:v>23.09.2025</c:v>
                </c:pt>
                <c:pt idx="1143">
                  <c:v>24.09.2025</c:v>
                </c:pt>
                <c:pt idx="1144">
                  <c:v>25.09.2025</c:v>
                </c:pt>
                <c:pt idx="1145">
                  <c:v>29.09.2025</c:v>
                </c:pt>
                <c:pt idx="1146">
                  <c:v>30.09.2025</c:v>
                </c:pt>
                <c:pt idx="1147">
                  <c:v>01.10.2025</c:v>
                </c:pt>
                <c:pt idx="1148">
                  <c:v>02.10.2025</c:v>
                </c:pt>
                <c:pt idx="1149">
                  <c:v>06.10.2025</c:v>
                </c:pt>
                <c:pt idx="1150">
                  <c:v>07.10.2025</c:v>
                </c:pt>
                <c:pt idx="1151">
                  <c:v>08.10.2025</c:v>
                </c:pt>
                <c:pt idx="1152">
                  <c:v>09.10.2025</c:v>
                </c:pt>
                <c:pt idx="1153">
                  <c:v>13.10.2025</c:v>
                </c:pt>
                <c:pt idx="1154">
                  <c:v>14.10.2025</c:v>
                </c:pt>
                <c:pt idx="1155">
                  <c:v>15.10.2025</c:v>
                </c:pt>
                <c:pt idx="1156">
                  <c:v>16.10.2025</c:v>
                </c:pt>
                <c:pt idx="1157">
                  <c:v>20.10.2025</c:v>
                </c:pt>
                <c:pt idx="1158">
                  <c:v>21.10.2025</c:v>
                </c:pt>
                <c:pt idx="1159">
                  <c:v>22.10.2025</c:v>
                </c:pt>
                <c:pt idx="1160">
                  <c:v>23.10.2025</c:v>
                </c:pt>
                <c:pt idx="1161">
                  <c:v>27.10.2025</c:v>
                </c:pt>
                <c:pt idx="1162">
                  <c:v>28.10.2025</c:v>
                </c:pt>
                <c:pt idx="1163">
                  <c:v>29.10.2025</c:v>
                </c:pt>
                <c:pt idx="1164">
                  <c:v>30.10.2025</c:v>
                </c:pt>
                <c:pt idx="1165">
                  <c:v>03.11.2025</c:v>
                </c:pt>
                <c:pt idx="1166">
                  <c:v>04.11.2025</c:v>
                </c:pt>
                <c:pt idx="1167">
                  <c:v>05.11.2025</c:v>
                </c:pt>
                <c:pt idx="1168">
                  <c:v>06.11.2025</c:v>
                </c:pt>
                <c:pt idx="1169">
                  <c:v>10.11.2025</c:v>
                </c:pt>
                <c:pt idx="1170">
                  <c:v>11.11.2025</c:v>
                </c:pt>
                <c:pt idx="1171">
                  <c:v>12.11.2025</c:v>
                </c:pt>
                <c:pt idx="1172">
                  <c:v>13.11.2025</c:v>
                </c:pt>
                <c:pt idx="1173">
                  <c:v>17.11.2025</c:v>
                </c:pt>
                <c:pt idx="1174">
                  <c:v>18.11.2025</c:v>
                </c:pt>
                <c:pt idx="1175">
                  <c:v>19.11.2025</c:v>
                </c:pt>
                <c:pt idx="1176">
                  <c:v>20.11.2025</c:v>
                </c:pt>
                <c:pt idx="1177">
                  <c:v>24.11.2025</c:v>
                </c:pt>
                <c:pt idx="1178">
                  <c:v>25.11.2025</c:v>
                </c:pt>
                <c:pt idx="1179">
                  <c:v>26.11.2025</c:v>
                </c:pt>
                <c:pt idx="1180">
                  <c:v>01.12.2025</c:v>
                </c:pt>
                <c:pt idx="1181">
                  <c:v>02.12.2025</c:v>
                </c:pt>
                <c:pt idx="1182">
                  <c:v>03.12.2025</c:v>
                </c:pt>
                <c:pt idx="1183">
                  <c:v>04.12.2025</c:v>
                </c:pt>
                <c:pt idx="1184">
                  <c:v>08.12.2025</c:v>
                </c:pt>
                <c:pt idx="1185">
                  <c:v>09.12.2025</c:v>
                </c:pt>
                <c:pt idx="1186">
                  <c:v>10.12.2025</c:v>
                </c:pt>
                <c:pt idx="1187">
                  <c:v>11.12.2025</c:v>
                </c:pt>
                <c:pt idx="1188">
                  <c:v>15.12.2025</c:v>
                </c:pt>
                <c:pt idx="1189">
                  <c:v>16.12.2025</c:v>
                </c:pt>
                <c:pt idx="1190">
                  <c:v>17.12.2025</c:v>
                </c:pt>
                <c:pt idx="1191">
                  <c:v>18.12.2025</c:v>
                </c:pt>
                <c:pt idx="1192">
                  <c:v>22.12.2025</c:v>
                </c:pt>
                <c:pt idx="1193">
                  <c:v>23.12.2025</c:v>
                </c:pt>
                <c:pt idx="1194">
                  <c:v>25.12.2025</c:v>
                </c:pt>
                <c:pt idx="1195">
                  <c:v>29.12.2025</c:v>
                </c:pt>
                <c:pt idx="1196">
                  <c:v>30.12.2025</c:v>
                </c:pt>
              </c:strCache>
            </c:strRef>
          </c:cat>
          <c:val>
            <c:numRef>
              <c:f>Analysis!$D$2:$D$1328</c:f>
              <c:numCache>
                <c:formatCode>0.00%</c:formatCode>
                <c:ptCount val="1327"/>
                <c:pt idx="1">
                  <c:v>2.6634382566585988E-2</c:v>
                </c:pt>
                <c:pt idx="2">
                  <c:v>3.505864354920959E-3</c:v>
                </c:pt>
                <c:pt idx="3">
                  <c:v>-8.9563615575175698E-3</c:v>
                </c:pt>
                <c:pt idx="4">
                  <c:v>-3.7815664658377712E-3</c:v>
                </c:pt>
                <c:pt idx="5">
                  <c:v>-2.3804928263527281E-3</c:v>
                </c:pt>
                <c:pt idx="6">
                  <c:v>-3.8694698826260802E-3</c:v>
                </c:pt>
                <c:pt idx="7">
                  <c:v>6.0857179852389564E-3</c:v>
                </c:pt>
                <c:pt idx="8">
                  <c:v>-2.2522522522522522E-3</c:v>
                </c:pt>
                <c:pt idx="9">
                  <c:v>4.7726539825863213E-3</c:v>
                </c:pt>
                <c:pt idx="10">
                  <c:v>-7.7026766801466424E-4</c:v>
                </c:pt>
                <c:pt idx="11">
                  <c:v>5.5887454230102432E-3</c:v>
                </c:pt>
                <c:pt idx="12">
                  <c:v>7.6657723265619003E-3</c:v>
                </c:pt>
                <c:pt idx="13">
                  <c:v>-4.8180550272601342E-3</c:v>
                </c:pt>
                <c:pt idx="14">
                  <c:v>3.8221429481471298E-4</c:v>
                </c:pt>
                <c:pt idx="15">
                  <c:v>1.197147223637287E-2</c:v>
                </c:pt>
                <c:pt idx="16">
                  <c:v>-4.2788824565818994E-3</c:v>
                </c:pt>
                <c:pt idx="17">
                  <c:v>-1.6999494438827156E-2</c:v>
                </c:pt>
                <c:pt idx="18">
                  <c:v>4.6930247508839311E-3</c:v>
                </c:pt>
                <c:pt idx="19">
                  <c:v>4.6071154338367323E-3</c:v>
                </c:pt>
                <c:pt idx="20">
                  <c:v>6.0509554140127392E-3</c:v>
                </c:pt>
                <c:pt idx="21">
                  <c:v>-5.9512503956948978E-3</c:v>
                </c:pt>
                <c:pt idx="22">
                  <c:v>9.5535316221896703E-4</c:v>
                </c:pt>
                <c:pt idx="23">
                  <c:v>4.5813184016289428E-3</c:v>
                </c:pt>
                <c:pt idx="24">
                  <c:v>1.5708132759057483E-2</c:v>
                </c:pt>
                <c:pt idx="25">
                  <c:v>5.1134946370666292E-3</c:v>
                </c:pt>
                <c:pt idx="26">
                  <c:v>5.3976920213426264E-3</c:v>
                </c:pt>
                <c:pt idx="27">
                  <c:v>3.4618944770132616E-2</c:v>
                </c:pt>
                <c:pt idx="28">
                  <c:v>-1.5865441965883281E-2</c:v>
                </c:pt>
                <c:pt idx="29">
                  <c:v>-4.181818181818237E-3</c:v>
                </c:pt>
                <c:pt idx="30">
                  <c:v>-3.6516341062619993E-4</c:v>
                </c:pt>
                <c:pt idx="31">
                  <c:v>-2.9041095890410987E-2</c:v>
                </c:pt>
                <c:pt idx="32">
                  <c:v>3.1101078505141797E-2</c:v>
                </c:pt>
                <c:pt idx="33">
                  <c:v>-8.513743614692842E-4</c:v>
                </c:pt>
                <c:pt idx="34">
                  <c:v>1.5216068167985392E-2</c:v>
                </c:pt>
                <c:pt idx="35">
                  <c:v>4.6163069544364783E-3</c:v>
                </c:pt>
                <c:pt idx="36">
                  <c:v>-9.1901891746733241E-3</c:v>
                </c:pt>
                <c:pt idx="37">
                  <c:v>-1.0841414202252606E-2</c:v>
                </c:pt>
                <c:pt idx="38">
                  <c:v>-3.1662911770078551E-2</c:v>
                </c:pt>
                <c:pt idx="39">
                  <c:v>-6.5270703640822464E-2</c:v>
                </c:pt>
                <c:pt idx="40">
                  <c:v>2.6437941473259303E-2</c:v>
                </c:pt>
                <c:pt idx="41">
                  <c:v>-3.1393367413815612E-2</c:v>
                </c:pt>
                <c:pt idx="42">
                  <c:v>9.4729007375320628E-4</c:v>
                </c:pt>
                <c:pt idx="43">
                  <c:v>5.9690394105320052E-2</c:v>
                </c:pt>
                <c:pt idx="44">
                  <c:v>5.9453942332227644E-2</c:v>
                </c:pt>
                <c:pt idx="45">
                  <c:v>-1.6498073217726315E-2</c:v>
                </c:pt>
                <c:pt idx="46">
                  <c:v>1.0897514387167842E-2</c:v>
                </c:pt>
                <c:pt idx="47">
                  <c:v>-4.8449612403100775E-3</c:v>
                </c:pt>
                <c:pt idx="48">
                  <c:v>-2.8359298928919266E-2</c:v>
                </c:pt>
                <c:pt idx="49">
                  <c:v>-3.256920957033583E-3</c:v>
                </c:pt>
                <c:pt idx="50">
                  <c:v>2.9093879602865372E-2</c:v>
                </c:pt>
                <c:pt idx="51">
                  <c:v>3.4316419368626762E-2</c:v>
                </c:pt>
                <c:pt idx="52">
                  <c:v>-6.0216069425586194E-3</c:v>
                </c:pt>
                <c:pt idx="53">
                  <c:v>3.563580210250692E-4</c:v>
                </c:pt>
                <c:pt idx="54">
                  <c:v>4.5775693166300625E-2</c:v>
                </c:pt>
                <c:pt idx="55">
                  <c:v>4.2579766095151581E-3</c:v>
                </c:pt>
                <c:pt idx="56">
                  <c:v>-1.6224772457459465E-2</c:v>
                </c:pt>
                <c:pt idx="57">
                  <c:v>-4.8844960349385125E-3</c:v>
                </c:pt>
                <c:pt idx="58">
                  <c:v>-1.1838078189062771E-2</c:v>
                </c:pt>
                <c:pt idx="59">
                  <c:v>-1.3674614305750404E-2</c:v>
                </c:pt>
                <c:pt idx="60">
                  <c:v>2.9920606706955802E-2</c:v>
                </c:pt>
                <c:pt idx="61">
                  <c:v>4.0844503250302804E-3</c:v>
                </c:pt>
                <c:pt idx="62">
                  <c:v>-1.2375386730835417E-2</c:v>
                </c:pt>
                <c:pt idx="63">
                  <c:v>-9.2818192365698405E-4</c:v>
                </c:pt>
                <c:pt idx="64">
                  <c:v>-5.1097433515270903E-3</c:v>
                </c:pt>
                <c:pt idx="65">
                  <c:v>-1.1205789657989988E-2</c:v>
                </c:pt>
                <c:pt idx="66">
                  <c:v>1.1273757525675781E-2</c:v>
                </c:pt>
                <c:pt idx="67">
                  <c:v>-1.5759061460339961E-3</c:v>
                </c:pt>
                <c:pt idx="68">
                  <c:v>-1.2919443470127388E-2</c:v>
                </c:pt>
                <c:pt idx="69">
                  <c:v>2.209061297009177E-2</c:v>
                </c:pt>
                <c:pt idx="70">
                  <c:v>-1.6108471433538045E-2</c:v>
                </c:pt>
                <c:pt idx="71">
                  <c:v>5.1825677267373109E-3</c:v>
                </c:pt>
                <c:pt idx="72">
                  <c:v>5.6245605812046736E-3</c:v>
                </c:pt>
                <c:pt idx="73">
                  <c:v>1.4274061990212071E-2</c:v>
                </c:pt>
                <c:pt idx="74">
                  <c:v>-3.7337009592739384E-3</c:v>
                </c:pt>
                <c:pt idx="75">
                  <c:v>6.4575645756456516E-3</c:v>
                </c:pt>
                <c:pt idx="76">
                  <c:v>3.7236480293308893E-3</c:v>
                </c:pt>
                <c:pt idx="77">
                  <c:v>-1.7236459106215296E-2</c:v>
                </c:pt>
                <c:pt idx="78">
                  <c:v>-9.4662872408387139E-3</c:v>
                </c:pt>
                <c:pt idx="79">
                  <c:v>1.2429643527204531E-2</c:v>
                </c:pt>
                <c:pt idx="80">
                  <c:v>8.6865879082696318E-4</c:v>
                </c:pt>
                <c:pt idx="81">
                  <c:v>1.2729271538506047E-2</c:v>
                </c:pt>
                <c:pt idx="82">
                  <c:v>-9.3126892532708425E-3</c:v>
                </c:pt>
                <c:pt idx="83">
                  <c:v>-1.6839677047289531E-2</c:v>
                </c:pt>
                <c:pt idx="84">
                  <c:v>1.325668700140787E-2</c:v>
                </c:pt>
                <c:pt idx="85">
                  <c:v>-1.2909575083941287E-2</c:v>
                </c:pt>
                <c:pt idx="86">
                  <c:v>9.8527945575040653E-3</c:v>
                </c:pt>
                <c:pt idx="87">
                  <c:v>-6.9690458214765401E-4</c:v>
                </c:pt>
                <c:pt idx="88">
                  <c:v>1.1100133666531009E-2</c:v>
                </c:pt>
                <c:pt idx="89">
                  <c:v>-7.2422117484767842E-3</c:v>
                </c:pt>
                <c:pt idx="90">
                  <c:v>5.3844372394626881E-3</c:v>
                </c:pt>
                <c:pt idx="91">
                  <c:v>-5.1828390440546558E-4</c:v>
                </c:pt>
                <c:pt idx="92">
                  <c:v>-2.5927633095183225E-3</c:v>
                </c:pt>
                <c:pt idx="93">
                  <c:v>2.0391658483045569E-2</c:v>
                </c:pt>
                <c:pt idx="94">
                  <c:v>8.8315217391303821E-3</c:v>
                </c:pt>
                <c:pt idx="95">
                  <c:v>-3.8720538720539233E-3</c:v>
                </c:pt>
                <c:pt idx="96">
                  <c:v>-2.5350684468480652E-3</c:v>
                </c:pt>
                <c:pt idx="97">
                  <c:v>5.9866711849091477E-3</c:v>
                </c:pt>
                <c:pt idx="98">
                  <c:v>1.0835391870648975E-2</c:v>
                </c:pt>
                <c:pt idx="99">
                  <c:v>-1.1441266314912473E-2</c:v>
                </c:pt>
                <c:pt idx="100">
                  <c:v>5.6744760941625418E-3</c:v>
                </c:pt>
                <c:pt idx="101">
                  <c:v>1.9553072625698325E-3</c:v>
                </c:pt>
                <c:pt idx="102">
                  <c:v>9.1441315862838528E-3</c:v>
                </c:pt>
                <c:pt idx="103">
                  <c:v>5.9119288358471835E-3</c:v>
                </c:pt>
                <c:pt idx="104">
                  <c:v>-9.227727122926483E-3</c:v>
                </c:pt>
                <c:pt idx="105">
                  <c:v>5.7101674243263973E-3</c:v>
                </c:pt>
                <c:pt idx="106">
                  <c:v>-3.8586626977554609E-4</c:v>
                </c:pt>
                <c:pt idx="107">
                  <c:v>2.2058012573059643E-4</c:v>
                </c:pt>
                <c:pt idx="108">
                  <c:v>-7.4429374793251735E-3</c:v>
                </c:pt>
                <c:pt idx="109">
                  <c:v>9.4984169305116582E-3</c:v>
                </c:pt>
                <c:pt idx="110">
                  <c:v>1.4581269946076812E-2</c:v>
                </c:pt>
                <c:pt idx="111">
                  <c:v>1.1497369705515384E-2</c:v>
                </c:pt>
                <c:pt idx="112">
                  <c:v>1.3350490590316922E-2</c:v>
                </c:pt>
                <c:pt idx="113">
                  <c:v>2.1693121693121695E-2</c:v>
                </c:pt>
                <c:pt idx="114">
                  <c:v>7.0429829104090673E-3</c:v>
                </c:pt>
                <c:pt idx="115">
                  <c:v>4.5253522575337771E-3</c:v>
                </c:pt>
                <c:pt idx="116">
                  <c:v>6.8598341353536723E-3</c:v>
                </c:pt>
                <c:pt idx="117">
                  <c:v>9.9145820622330693E-3</c:v>
                </c:pt>
                <c:pt idx="118">
                  <c:v>1.7469667220460176E-2</c:v>
                </c:pt>
                <c:pt idx="119">
                  <c:v>1.4002968827313301E-2</c:v>
                </c:pt>
                <c:pt idx="120">
                  <c:v>9.8082271995315017E-3</c:v>
                </c:pt>
                <c:pt idx="121">
                  <c:v>-1.4351986082922607E-2</c:v>
                </c:pt>
                <c:pt idx="122">
                  <c:v>-4.5791047703093633E-2</c:v>
                </c:pt>
                <c:pt idx="123">
                  <c:v>1.3872475980064973E-3</c:v>
                </c:pt>
                <c:pt idx="124">
                  <c:v>1.0979989738327395E-2</c:v>
                </c:pt>
                <c:pt idx="125">
                  <c:v>1.4362565976451459E-2</c:v>
                </c:pt>
                <c:pt idx="126">
                  <c:v>7.2046830439785178E-3</c:v>
                </c:pt>
                <c:pt idx="127">
                  <c:v>-2.1260742138989597E-2</c:v>
                </c:pt>
                <c:pt idx="128">
                  <c:v>-1.2079378774805844E-2</c:v>
                </c:pt>
                <c:pt idx="129">
                  <c:v>-3.7503210891343202E-3</c:v>
                </c:pt>
                <c:pt idx="130">
                  <c:v>-8.3023927392739984E-3</c:v>
                </c:pt>
                <c:pt idx="131">
                  <c:v>1.5287816546201493E-2</c:v>
                </c:pt>
                <c:pt idx="132">
                  <c:v>-1.019206145966714E-2</c:v>
                </c:pt>
                <c:pt idx="133">
                  <c:v>2.3802131843112907E-2</c:v>
                </c:pt>
                <c:pt idx="134">
                  <c:v>1.5162235924400178E-4</c:v>
                </c:pt>
                <c:pt idx="135">
                  <c:v>-1.728232856637528E-2</c:v>
                </c:pt>
                <c:pt idx="136">
                  <c:v>-3.5481051061860909E-3</c:v>
                </c:pt>
                <c:pt idx="137">
                  <c:v>2.786665290535706E-3</c:v>
                </c:pt>
                <c:pt idx="138">
                  <c:v>6.0209962947715343E-3</c:v>
                </c:pt>
                <c:pt idx="139">
                  <c:v>4.8084300987262076E-3</c:v>
                </c:pt>
                <c:pt idx="140">
                  <c:v>-3.0545232398305203E-4</c:v>
                </c:pt>
                <c:pt idx="141">
                  <c:v>1.2731068900544889E-3</c:v>
                </c:pt>
                <c:pt idx="142">
                  <c:v>2.1869596175363415E-3</c:v>
                </c:pt>
                <c:pt idx="143">
                  <c:v>-1.0454199441766003E-2</c:v>
                </c:pt>
                <c:pt idx="144">
                  <c:v>-2.0154879737422523E-2</c:v>
                </c:pt>
                <c:pt idx="145">
                  <c:v>-1.5701873756934995E-3</c:v>
                </c:pt>
                <c:pt idx="146">
                  <c:v>-2.0549381421681601E-2</c:v>
                </c:pt>
                <c:pt idx="147">
                  <c:v>4.549347034896168E-3</c:v>
                </c:pt>
                <c:pt idx="148">
                  <c:v>2.8770845543182179E-3</c:v>
                </c:pt>
                <c:pt idx="149">
                  <c:v>1.1103437284173666E-2</c:v>
                </c:pt>
                <c:pt idx="150">
                  <c:v>-4.0458175704077585E-3</c:v>
                </c:pt>
                <c:pt idx="151">
                  <c:v>1.0973357953046665E-2</c:v>
                </c:pt>
                <c:pt idx="152">
                  <c:v>1.9829880498877807E-3</c:v>
                </c:pt>
                <c:pt idx="153">
                  <c:v>-5.8851101505129708E-3</c:v>
                </c:pt>
                <c:pt idx="154">
                  <c:v>-9.4300083822296734E-3</c:v>
                </c:pt>
                <c:pt idx="155">
                  <c:v>2.2741696636344164E-3</c:v>
                </c:pt>
                <c:pt idx="156">
                  <c:v>1.783547042372444E-2</c:v>
                </c:pt>
                <c:pt idx="157">
                  <c:v>-1.7782155632744146E-2</c:v>
                </c:pt>
                <c:pt idx="158">
                  <c:v>6.7032619022485201E-3</c:v>
                </c:pt>
                <c:pt idx="159">
                  <c:v>8.3888218948258608E-4</c:v>
                </c:pt>
                <c:pt idx="160">
                  <c:v>1.466813348001443E-3</c:v>
                </c:pt>
                <c:pt idx="161">
                  <c:v>1.9354501229272613E-3</c:v>
                </c:pt>
                <c:pt idx="162">
                  <c:v>7.3613866555288232E-3</c:v>
                </c:pt>
                <c:pt idx="163">
                  <c:v>-1.2904897641876181E-2</c:v>
                </c:pt>
                <c:pt idx="164">
                  <c:v>5.7754909167286386E-4</c:v>
                </c:pt>
                <c:pt idx="165">
                  <c:v>3.2533977016319699E-3</c:v>
                </c:pt>
                <c:pt idx="166">
                  <c:v>-1.7103404989800744E-2</c:v>
                </c:pt>
                <c:pt idx="167">
                  <c:v>-5.9599829714772484E-3</c:v>
                </c:pt>
                <c:pt idx="168">
                  <c:v>1.3115631691648822E-2</c:v>
                </c:pt>
                <c:pt idx="169">
                  <c:v>9.4583883751651731E-3</c:v>
                </c:pt>
                <c:pt idx="170">
                  <c:v>-7.4329983249581478E-3</c:v>
                </c:pt>
                <c:pt idx="171">
                  <c:v>2.6684948845058488E-2</c:v>
                </c:pt>
                <c:pt idx="172">
                  <c:v>-4.7462502568317168E-2</c:v>
                </c:pt>
                <c:pt idx="173">
                  <c:v>1.186367558239862E-2</c:v>
                </c:pt>
                <c:pt idx="174">
                  <c:v>-7.8874440417822326E-3</c:v>
                </c:pt>
                <c:pt idx="175">
                  <c:v>6.284916201117343E-3</c:v>
                </c:pt>
                <c:pt idx="176">
                  <c:v>7.7403512518016337E-3</c:v>
                </c:pt>
                <c:pt idx="177">
                  <c:v>-1.4302362538404733E-3</c:v>
                </c:pt>
                <c:pt idx="178">
                  <c:v>-5.9413293724469886E-3</c:v>
                </c:pt>
                <c:pt idx="179">
                  <c:v>-6.6172154330541065E-3</c:v>
                </c:pt>
                <c:pt idx="180">
                  <c:v>-1.2731668009669645E-2</c:v>
                </c:pt>
                <c:pt idx="181">
                  <c:v>-1.8065077810425535E-2</c:v>
                </c:pt>
                <c:pt idx="182">
                  <c:v>4.9872547933065003E-4</c:v>
                </c:pt>
                <c:pt idx="183">
                  <c:v>-1.3625034616449686E-2</c:v>
                </c:pt>
                <c:pt idx="184">
                  <c:v>2.1337525970015161E-2</c:v>
                </c:pt>
                <c:pt idx="185">
                  <c:v>6.2125460443124714E-3</c:v>
                </c:pt>
                <c:pt idx="186">
                  <c:v>5.9556332641240647E-3</c:v>
                </c:pt>
                <c:pt idx="187">
                  <c:v>1.3524523382760356E-2</c:v>
                </c:pt>
                <c:pt idx="188">
                  <c:v>4.7695605573419564E-3</c:v>
                </c:pt>
                <c:pt idx="189">
                  <c:v>-1.9414368766334251E-2</c:v>
                </c:pt>
                <c:pt idx="190">
                  <c:v>-5.983138428065864E-4</c:v>
                </c:pt>
                <c:pt idx="191">
                  <c:v>-2.8845107216720267E-3</c:v>
                </c:pt>
                <c:pt idx="192">
                  <c:v>1.266306424321819E-2</c:v>
                </c:pt>
                <c:pt idx="193">
                  <c:v>2.0481862771519186E-3</c:v>
                </c:pt>
                <c:pt idx="194">
                  <c:v>1.6836103490936574E-2</c:v>
                </c:pt>
                <c:pt idx="195">
                  <c:v>-4.0203131612357897E-3</c:v>
                </c:pt>
                <c:pt idx="196">
                  <c:v>-6.6390482260463143E-3</c:v>
                </c:pt>
                <c:pt idx="197">
                  <c:v>4.1704539378709053E-3</c:v>
                </c:pt>
                <c:pt idx="198">
                  <c:v>1.2246419253501848E-3</c:v>
                </c:pt>
                <c:pt idx="199">
                  <c:v>1.3295043607743032E-3</c:v>
                </c:pt>
                <c:pt idx="200">
                  <c:v>5.5765043284295495E-3</c:v>
                </c:pt>
                <c:pt idx="201">
                  <c:v>2.8097602197105637E-2</c:v>
                </c:pt>
                <c:pt idx="202">
                  <c:v>4.0069865406350469E-3</c:v>
                </c:pt>
                <c:pt idx="203">
                  <c:v>-2.3434302087597308E-2</c:v>
                </c:pt>
                <c:pt idx="204">
                  <c:v>2.6197212616577599E-3</c:v>
                </c:pt>
                <c:pt idx="205">
                  <c:v>-3.2817725752508339E-2</c:v>
                </c:pt>
                <c:pt idx="206">
                  <c:v>-3.5660255024853628E-3</c:v>
                </c:pt>
                <c:pt idx="207">
                  <c:v>5.8019737555579896E-3</c:v>
                </c:pt>
                <c:pt idx="208">
                  <c:v>-1.886894172192571E-3</c:v>
                </c:pt>
                <c:pt idx="209">
                  <c:v>-6.0494760721616315E-3</c:v>
                </c:pt>
                <c:pt idx="210">
                  <c:v>1.4291924790783585E-2</c:v>
                </c:pt>
                <c:pt idx="211">
                  <c:v>-3.2145727297075221E-4</c:v>
                </c:pt>
                <c:pt idx="212">
                  <c:v>-5.7344980974328979E-3</c:v>
                </c:pt>
                <c:pt idx="213">
                  <c:v>-2.317809400603684E-3</c:v>
                </c:pt>
                <c:pt idx="214">
                  <c:v>-3.2416662164352476E-3</c:v>
                </c:pt>
                <c:pt idx="215">
                  <c:v>-2.0055287549460921E-3</c:v>
                </c:pt>
                <c:pt idx="216">
                  <c:v>1.2328915924397157E-2</c:v>
                </c:pt>
                <c:pt idx="217">
                  <c:v>-1.6363538816460108E-2</c:v>
                </c:pt>
                <c:pt idx="218">
                  <c:v>9.2723900949046468E-4</c:v>
                </c:pt>
                <c:pt idx="219">
                  <c:v>-2.3922402048934591E-2</c:v>
                </c:pt>
                <c:pt idx="220">
                  <c:v>2.4006252791424744E-2</c:v>
                </c:pt>
                <c:pt idx="221">
                  <c:v>1.7991494929669363E-3</c:v>
                </c:pt>
                <c:pt idx="222">
                  <c:v>2.8299319727891404E-3</c:v>
                </c:pt>
                <c:pt idx="223">
                  <c:v>-8.6286427524828197E-3</c:v>
                </c:pt>
                <c:pt idx="224">
                  <c:v>-1.5217867308955526E-2</c:v>
                </c:pt>
                <c:pt idx="225">
                  <c:v>-1.4563646470261281E-2</c:v>
                </c:pt>
                <c:pt idx="226">
                  <c:v>1.2409747292419029E-3</c:v>
                </c:pt>
                <c:pt idx="227">
                  <c:v>1.8816901408450756E-2</c:v>
                </c:pt>
                <c:pt idx="228">
                  <c:v>-1.382437513824375E-3</c:v>
                </c:pt>
                <c:pt idx="229">
                  <c:v>-4.429924137549144E-3</c:v>
                </c:pt>
                <c:pt idx="230">
                  <c:v>-1.2514600367094944E-2</c:v>
                </c:pt>
                <c:pt idx="231">
                  <c:v>-2.9514475611129937E-2</c:v>
                </c:pt>
                <c:pt idx="232">
                  <c:v>6.1520603598374402E-3</c:v>
                </c:pt>
                <c:pt idx="233">
                  <c:v>-1.0267651130595268E-2</c:v>
                </c:pt>
                <c:pt idx="234">
                  <c:v>-8.8005595057698508E-3</c:v>
                </c:pt>
                <c:pt idx="235">
                  <c:v>-1.3347445169636058E-2</c:v>
                </c:pt>
                <c:pt idx="236">
                  <c:v>2.318235995232425E-2</c:v>
                </c:pt>
                <c:pt idx="237">
                  <c:v>2.8539810122895121E-3</c:v>
                </c:pt>
                <c:pt idx="238">
                  <c:v>4.6463003833195176E-4</c:v>
                </c:pt>
                <c:pt idx="239">
                  <c:v>3.8314176245211524E-3</c:v>
                </c:pt>
                <c:pt idx="240">
                  <c:v>9.8311357853345213E-4</c:v>
                </c:pt>
                <c:pt idx="241">
                  <c:v>-2.1953896816686012E-3</c:v>
                </c:pt>
                <c:pt idx="242">
                  <c:v>3.126628452318969E-3</c:v>
                </c:pt>
                <c:pt idx="243">
                  <c:v>3.2323232323231798E-3</c:v>
                </c:pt>
                <c:pt idx="244">
                  <c:v>-7.4794315632011974E-3</c:v>
                </c:pt>
                <c:pt idx="245">
                  <c:v>4.695379977972371E-3</c:v>
                </c:pt>
                <c:pt idx="246">
                  <c:v>-4.673436418186093E-3</c:v>
                </c:pt>
                <c:pt idx="247">
                  <c:v>-6.0866036751492667E-3</c:v>
                </c:pt>
                <c:pt idx="248">
                  <c:v>-1.6680275282864757E-2</c:v>
                </c:pt>
                <c:pt idx="249">
                  <c:v>1.7556346381969103E-2</c:v>
                </c:pt>
                <c:pt idx="250">
                  <c:v>7.6941011890883926E-3</c:v>
                </c:pt>
                <c:pt idx="251">
                  <c:v>8.2137899120777683E-3</c:v>
                </c:pt>
                <c:pt idx="252">
                  <c:v>-8.0321285140567467E-4</c:v>
                </c:pt>
                <c:pt idx="253">
                  <c:v>9.5314653192467482E-3</c:v>
                </c:pt>
                <c:pt idx="254">
                  <c:v>-1.4503469457399613E-2</c:v>
                </c:pt>
                <c:pt idx="255">
                  <c:v>8.5992958965775169E-3</c:v>
                </c:pt>
                <c:pt idx="256">
                  <c:v>-6.4660105287250831E-3</c:v>
                </c:pt>
                <c:pt idx="257">
                  <c:v>1.7566088809537524E-2</c:v>
                </c:pt>
                <c:pt idx="258">
                  <c:v>2.1507810731265309E-3</c:v>
                </c:pt>
                <c:pt idx="259">
                  <c:v>4.4052863436124376E-3</c:v>
                </c:pt>
                <c:pt idx="260">
                  <c:v>8.265856950067374E-3</c:v>
                </c:pt>
                <c:pt idx="261">
                  <c:v>-6.1903965199932576E-3</c:v>
                </c:pt>
                <c:pt idx="262">
                  <c:v>-1.0662177328844506E-3</c:v>
                </c:pt>
                <c:pt idx="263">
                  <c:v>-7.3029605078363832E-4</c:v>
                </c:pt>
                <c:pt idx="264">
                  <c:v>-2.7546660670113919E-3</c:v>
                </c:pt>
                <c:pt idx="265">
                  <c:v>-3.1568859574948624E-3</c:v>
                </c:pt>
                <c:pt idx="266">
                  <c:v>1.328960018096477E-2</c:v>
                </c:pt>
                <c:pt idx="267">
                  <c:v>-8.8179484317445888E-3</c:v>
                </c:pt>
                <c:pt idx="268">
                  <c:v>4.6734234234233982E-3</c:v>
                </c:pt>
                <c:pt idx="269">
                  <c:v>1.7597937566552761E-2</c:v>
                </c:pt>
                <c:pt idx="270">
                  <c:v>1.2061463898220996E-2</c:v>
                </c:pt>
                <c:pt idx="271">
                  <c:v>-8.1628210709621253E-4</c:v>
                </c:pt>
                <c:pt idx="272">
                  <c:v>-7.2436141822340584E-3</c:v>
                </c:pt>
                <c:pt idx="273">
                  <c:v>6.5832784726796445E-4</c:v>
                </c:pt>
                <c:pt idx="274">
                  <c:v>2.3903508771929774E-2</c:v>
                </c:pt>
                <c:pt idx="275">
                  <c:v>2.1417862497327637E-4</c:v>
                </c:pt>
                <c:pt idx="276">
                  <c:v>7.2269807280513918E-3</c:v>
                </c:pt>
                <c:pt idx="277">
                  <c:v>2.1259633271330903E-4</c:v>
                </c:pt>
                <c:pt idx="278">
                  <c:v>1.3815824432753647E-3</c:v>
                </c:pt>
                <c:pt idx="279">
                  <c:v>7.1637039002387902E-3</c:v>
                </c:pt>
                <c:pt idx="280">
                  <c:v>3.0558482613276894E-3</c:v>
                </c:pt>
                <c:pt idx="281">
                  <c:v>-2.7839058724655713E-3</c:v>
                </c:pt>
                <c:pt idx="282">
                  <c:v>3.4237555965235711E-3</c:v>
                </c:pt>
                <c:pt idx="283">
                  <c:v>2.5721784776903366E-3</c:v>
                </c:pt>
                <c:pt idx="284">
                  <c:v>-1.9163306979423075E-2</c:v>
                </c:pt>
                <c:pt idx="285">
                  <c:v>1.3612341856616667E-2</c:v>
                </c:pt>
                <c:pt idx="286">
                  <c:v>-2.3172530018958624E-3</c:v>
                </c:pt>
                <c:pt idx="287">
                  <c:v>5.8065878378373579E-4</c:v>
                </c:pt>
                <c:pt idx="288">
                  <c:v>4.7480875758379898E-4</c:v>
                </c:pt>
                <c:pt idx="289">
                  <c:v>-1.6083104830204597E-2</c:v>
                </c:pt>
                <c:pt idx="290">
                  <c:v>-5.091376815477785E-3</c:v>
                </c:pt>
                <c:pt idx="291">
                  <c:v>2.6933850463262228E-3</c:v>
                </c:pt>
                <c:pt idx="292">
                  <c:v>-4.652412162888156E-2</c:v>
                </c:pt>
                <c:pt idx="293">
                  <c:v>4.5638945233266491E-3</c:v>
                </c:pt>
                <c:pt idx="294">
                  <c:v>-3.0848617421055584E-3</c:v>
                </c:pt>
                <c:pt idx="295">
                  <c:v>3.375717339934736E-3</c:v>
                </c:pt>
                <c:pt idx="296">
                  <c:v>-3.7568689020971431E-3</c:v>
                </c:pt>
                <c:pt idx="297">
                  <c:v>2.2513648899645409E-3</c:v>
                </c:pt>
                <c:pt idx="298">
                  <c:v>-9.6029651260740919E-3</c:v>
                </c:pt>
                <c:pt idx="299">
                  <c:v>4.5361760036289412E-3</c:v>
                </c:pt>
                <c:pt idx="300">
                  <c:v>2.9351998193723446E-3</c:v>
                </c:pt>
                <c:pt idx="301">
                  <c:v>9.7928860873480929E-3</c:v>
                </c:pt>
                <c:pt idx="302">
                  <c:v>4.4030765800913297E-3</c:v>
                </c:pt>
                <c:pt idx="303">
                  <c:v>-1.0543255091281637E-3</c:v>
                </c:pt>
                <c:pt idx="304">
                  <c:v>3.166314853905147E-3</c:v>
                </c:pt>
                <c:pt idx="305">
                  <c:v>2.214962068774572E-3</c:v>
                </c:pt>
                <c:pt idx="306">
                  <c:v>8.3430023758218185E-3</c:v>
                </c:pt>
                <c:pt idx="307">
                  <c:v>2.1917808219178081E-3</c:v>
                </c:pt>
                <c:pt idx="308">
                  <c:v>-1.0825587752870396E-2</c:v>
                </c:pt>
                <c:pt idx="309">
                  <c:v>1.2160070749502793E-3</c:v>
                </c:pt>
                <c:pt idx="310">
                  <c:v>-4.4164734459534059E-3</c:v>
                </c:pt>
                <c:pt idx="311">
                  <c:v>1.1090163025396472E-3</c:v>
                </c:pt>
                <c:pt idx="312">
                  <c:v>-3.4341420183893016E-3</c:v>
                </c:pt>
                <c:pt idx="313">
                  <c:v>3.3348154735432918E-4</c:v>
                </c:pt>
                <c:pt idx="314">
                  <c:v>-5.5561729080958467E-5</c:v>
                </c:pt>
                <c:pt idx="315">
                  <c:v>2.0058898705339726E-2</c:v>
                </c:pt>
                <c:pt idx="316">
                  <c:v>-7.4082144024403039E-3</c:v>
                </c:pt>
                <c:pt idx="317">
                  <c:v>-4.4451761606849613E-3</c:v>
                </c:pt>
                <c:pt idx="318">
                  <c:v>2.2049501130041947E-4</c:v>
                </c:pt>
                <c:pt idx="319">
                  <c:v>-3.0862496555524436E-3</c:v>
                </c:pt>
                <c:pt idx="320">
                  <c:v>-4.5552545746033547E-2</c:v>
                </c:pt>
                <c:pt idx="321">
                  <c:v>3.0118737329858356E-3</c:v>
                </c:pt>
                <c:pt idx="322">
                  <c:v>1.2473292140670965E-2</c:v>
                </c:pt>
                <c:pt idx="323">
                  <c:v>-8.5552957280556671E-4</c:v>
                </c:pt>
                <c:pt idx="324">
                  <c:v>2.1691973969631236E-2</c:v>
                </c:pt>
                <c:pt idx="325">
                  <c:v>-1.117443289753045E-3</c:v>
                </c:pt>
                <c:pt idx="326">
                  <c:v>-1.9017787224520997E-3</c:v>
                </c:pt>
                <c:pt idx="327">
                  <c:v>-7.2853620264524868E-4</c:v>
                </c:pt>
                <c:pt idx="328">
                  <c:v>1.3011048174527534E-2</c:v>
                </c:pt>
                <c:pt idx="329">
                  <c:v>1.2179593644466842E-3</c:v>
                </c:pt>
                <c:pt idx="330">
                  <c:v>-9.6765275089853477E-3</c:v>
                </c:pt>
                <c:pt idx="331">
                  <c:v>2.3450586264656872E-3</c:v>
                </c:pt>
                <c:pt idx="332">
                  <c:v>9.46969696969697E-3</c:v>
                </c:pt>
                <c:pt idx="333">
                  <c:v>3.2557112901445001E-3</c:v>
                </c:pt>
                <c:pt idx="334">
                  <c:v>-1.1550519773389303E-3</c:v>
                </c:pt>
                <c:pt idx="335">
                  <c:v>-2.4779735682819385E-3</c:v>
                </c:pt>
                <c:pt idx="336">
                  <c:v>-7.1763731714049135E-3</c:v>
                </c:pt>
                <c:pt idx="337">
                  <c:v>-2.7800945232137894E-3</c:v>
                </c:pt>
                <c:pt idx="338">
                  <c:v>3.6241984945637024E-3</c:v>
                </c:pt>
                <c:pt idx="339">
                  <c:v>-3.1111111111110606E-3</c:v>
                </c:pt>
                <c:pt idx="340">
                  <c:v>7.0775746767720782E-3</c:v>
                </c:pt>
                <c:pt idx="341">
                  <c:v>-6.8064855293010649E-3</c:v>
                </c:pt>
                <c:pt idx="342">
                  <c:v>-2.1227991976821878E-2</c:v>
                </c:pt>
                <c:pt idx="343">
                  <c:v>4.0416690385381166E-3</c:v>
                </c:pt>
                <c:pt idx="344">
                  <c:v>8.1641909513550815E-3</c:v>
                </c:pt>
                <c:pt idx="345">
                  <c:v>3.37419862782538E-4</c:v>
                </c:pt>
                <c:pt idx="346">
                  <c:v>-1.6303125702720935E-2</c:v>
                </c:pt>
                <c:pt idx="347">
                  <c:v>1.2572865470339728E-3</c:v>
                </c:pt>
                <c:pt idx="348">
                  <c:v>-8.2762557077625566E-3</c:v>
                </c:pt>
                <c:pt idx="349">
                  <c:v>-8.4028776978416746E-3</c:v>
                </c:pt>
                <c:pt idx="350">
                  <c:v>1.9792210807359632E-2</c:v>
                </c:pt>
                <c:pt idx="351">
                  <c:v>6.0330108138872563E-3</c:v>
                </c:pt>
                <c:pt idx="352">
                  <c:v>-3.7904503281284332E-3</c:v>
                </c:pt>
                <c:pt idx="353">
                  <c:v>5.111022772445133E-4</c:v>
                </c:pt>
                <c:pt idx="354">
                  <c:v>-1.4757634237710915E-3</c:v>
                </c:pt>
                <c:pt idx="355">
                  <c:v>-1.9895407003183265E-3</c:v>
                </c:pt>
                <c:pt idx="356">
                  <c:v>2.0504642023124161E-3</c:v>
                </c:pt>
                <c:pt idx="357">
                  <c:v>2.0121639288353376E-2</c:v>
                </c:pt>
                <c:pt idx="358">
                  <c:v>1.7830278040898452E-3</c:v>
                </c:pt>
                <c:pt idx="359">
                  <c:v>-1.7909783636464789E-2</c:v>
                </c:pt>
                <c:pt idx="360">
                  <c:v>2.7184685960242139E-3</c:v>
                </c:pt>
                <c:pt idx="361">
                  <c:v>8.1332956791867212E-3</c:v>
                </c:pt>
                <c:pt idx="362">
                  <c:v>-1.6807664294918481E-3</c:v>
                </c:pt>
                <c:pt idx="363">
                  <c:v>1.3973848139626164E-2</c:v>
                </c:pt>
                <c:pt idx="364">
                  <c:v>-7.4164268319680451E-3</c:v>
                </c:pt>
                <c:pt idx="365">
                  <c:v>3.0110404817664011E-3</c:v>
                </c:pt>
                <c:pt idx="366">
                  <c:v>2.1125194574160297E-3</c:v>
                </c:pt>
                <c:pt idx="367">
                  <c:v>-3.7723288583157411E-3</c:v>
                </c:pt>
                <c:pt idx="368">
                  <c:v>-3.5638712551508316E-3</c:v>
                </c:pt>
                <c:pt idx="369">
                  <c:v>-1.4250586788867776E-2</c:v>
                </c:pt>
                <c:pt idx="370">
                  <c:v>1.6780996655139126E-2</c:v>
                </c:pt>
                <c:pt idx="371">
                  <c:v>1.9236130471145804E-2</c:v>
                </c:pt>
                <c:pt idx="372">
                  <c:v>1.5317286652078526E-3</c:v>
                </c:pt>
                <c:pt idx="373">
                  <c:v>9.558662879615468E-3</c:v>
                </c:pt>
                <c:pt idx="374">
                  <c:v>8.4401882811232683E-3</c:v>
                </c:pt>
                <c:pt idx="375">
                  <c:v>1.4485755673586662E-3</c:v>
                </c:pt>
                <c:pt idx="376">
                  <c:v>-6.6966677381335047E-3</c:v>
                </c:pt>
                <c:pt idx="377">
                  <c:v>8.6834582816461559E-3</c:v>
                </c:pt>
                <c:pt idx="378">
                  <c:v>-4.7053791038391369E-3</c:v>
                </c:pt>
                <c:pt idx="379">
                  <c:v>-2.9601375308907347E-2</c:v>
                </c:pt>
                <c:pt idx="380">
                  <c:v>-1.2456402590931739E-2</c:v>
                </c:pt>
                <c:pt idx="381">
                  <c:v>2.8030048211682924E-4</c:v>
                </c:pt>
                <c:pt idx="382">
                  <c:v>5.0439948439168919E-4</c:v>
                </c:pt>
                <c:pt idx="383">
                  <c:v>-4.8734035402196087E-3</c:v>
                </c:pt>
                <c:pt idx="384">
                  <c:v>4.3906557838446127E-3</c:v>
                </c:pt>
                <c:pt idx="385">
                  <c:v>-1.2105587625399266E-2</c:v>
                </c:pt>
                <c:pt idx="386">
                  <c:v>9.530833380609267E-3</c:v>
                </c:pt>
                <c:pt idx="387">
                  <c:v>2.9221691486372831E-3</c:v>
                </c:pt>
                <c:pt idx="388">
                  <c:v>4.4825460861766937E-4</c:v>
                </c:pt>
                <c:pt idx="389">
                  <c:v>-4.928591430971691E-3</c:v>
                </c:pt>
                <c:pt idx="390">
                  <c:v>6.5289581808971172E-3</c:v>
                </c:pt>
                <c:pt idx="391">
                  <c:v>-8.9470446793043674E-3</c:v>
                </c:pt>
                <c:pt idx="392">
                  <c:v>-4.4010607684928935E-3</c:v>
                </c:pt>
                <c:pt idx="393">
                  <c:v>1.9098894871068316E-2</c:v>
                </c:pt>
                <c:pt idx="394">
                  <c:v>-2.0020020020020779E-3</c:v>
                </c:pt>
                <c:pt idx="395">
                  <c:v>-3.2876406998773341E-3</c:v>
                </c:pt>
                <c:pt idx="396">
                  <c:v>7.5473807793369485E-3</c:v>
                </c:pt>
                <c:pt idx="397">
                  <c:v>3.6621906558650034E-3</c:v>
                </c:pt>
                <c:pt idx="398">
                  <c:v>1.1609907120743788E-3</c:v>
                </c:pt>
                <c:pt idx="399">
                  <c:v>-2.8162791981888209E-3</c:v>
                </c:pt>
                <c:pt idx="400">
                  <c:v>4.5963008085059005E-3</c:v>
                </c:pt>
                <c:pt idx="401">
                  <c:v>-7.7173253955129268E-3</c:v>
                </c:pt>
                <c:pt idx="402">
                  <c:v>8.0551080495528029E-3</c:v>
                </c:pt>
                <c:pt idx="403">
                  <c:v>5.7863992064366805E-3</c:v>
                </c:pt>
                <c:pt idx="404">
                  <c:v>-1.9670155059996638E-2</c:v>
                </c:pt>
                <c:pt idx="405">
                  <c:v>5.3655264922870044E-3</c:v>
                </c:pt>
                <c:pt idx="406">
                  <c:v>1.095174560818326E-2</c:v>
                </c:pt>
                <c:pt idx="407">
                  <c:v>4.8391531481990404E-3</c:v>
                </c:pt>
                <c:pt idx="408">
                  <c:v>-3.2288075302357925E-3</c:v>
                </c:pt>
                <c:pt idx="409">
                  <c:v>-4.9412539804545947E-3</c:v>
                </c:pt>
                <c:pt idx="410">
                  <c:v>1.6994041050540695E-2</c:v>
                </c:pt>
                <c:pt idx="411">
                  <c:v>-3.2552083333340737E-4</c:v>
                </c:pt>
                <c:pt idx="412">
                  <c:v>-4.8844024747631801E-4</c:v>
                </c:pt>
                <c:pt idx="413">
                  <c:v>5.8641472552532735E-3</c:v>
                </c:pt>
                <c:pt idx="414">
                  <c:v>-1.2307692307692283E-2</c:v>
                </c:pt>
                <c:pt idx="415">
                  <c:v>-1.8964857626933403E-2</c:v>
                </c:pt>
                <c:pt idx="416">
                  <c:v>7.7994428969364394E-4</c:v>
                </c:pt>
                <c:pt idx="417">
                  <c:v>2.8390113560453735E-3</c:v>
                </c:pt>
                <c:pt idx="418">
                  <c:v>4.8848182070496552E-3</c:v>
                </c:pt>
                <c:pt idx="419">
                  <c:v>-3.4248467104899994E-3</c:v>
                </c:pt>
                <c:pt idx="420">
                  <c:v>9.8109860872457443E-3</c:v>
                </c:pt>
                <c:pt idx="421">
                  <c:v>3.3483368097486752E-3</c:v>
                </c:pt>
                <c:pt idx="422">
                  <c:v>4.7595601509928427E-3</c:v>
                </c:pt>
                <c:pt idx="423">
                  <c:v>4.3558749863888813E-4</c:v>
                </c:pt>
                <c:pt idx="424">
                  <c:v>1.7415913791226732E-2</c:v>
                </c:pt>
                <c:pt idx="425">
                  <c:v>-7.061089119503608E-3</c:v>
                </c:pt>
                <c:pt idx="426">
                  <c:v>8.2426462665660775E-3</c:v>
                </c:pt>
                <c:pt idx="427">
                  <c:v>1.6297087897408497E-2</c:v>
                </c:pt>
                <c:pt idx="428">
                  <c:v>2.83911671924295E-3</c:v>
                </c:pt>
                <c:pt idx="429">
                  <c:v>1.5728216420257941E-3</c:v>
                </c:pt>
                <c:pt idx="430">
                  <c:v>8.3228643216079687E-3</c:v>
                </c:pt>
                <c:pt idx="431">
                  <c:v>-1.328972641852251E-2</c:v>
                </c:pt>
                <c:pt idx="432">
                  <c:v>2.2675856263481828E-2</c:v>
                </c:pt>
                <c:pt idx="433">
                  <c:v>-1.1060808725177488E-2</c:v>
                </c:pt>
                <c:pt idx="434">
                  <c:v>7.0748582427301344E-3</c:v>
                </c:pt>
                <c:pt idx="435">
                  <c:v>3.0993336432666975E-2</c:v>
                </c:pt>
                <c:pt idx="436">
                  <c:v>2.3748684803847817E-2</c:v>
                </c:pt>
                <c:pt idx="437">
                  <c:v>-2.6966182156315719E-2</c:v>
                </c:pt>
                <c:pt idx="438">
                  <c:v>6.1362036012473824E-3</c:v>
                </c:pt>
                <c:pt idx="439">
                  <c:v>-1.9796040791841697E-2</c:v>
                </c:pt>
                <c:pt idx="440">
                  <c:v>-1.586087311301505E-2</c:v>
                </c:pt>
                <c:pt idx="441">
                  <c:v>-1.062341296574597E-2</c:v>
                </c:pt>
                <c:pt idx="442">
                  <c:v>1.7808506180599204E-2</c:v>
                </c:pt>
                <c:pt idx="443">
                  <c:v>-7.0502264306299117E-3</c:v>
                </c:pt>
                <c:pt idx="444">
                  <c:v>-4.1461518528116094E-3</c:v>
                </c:pt>
                <c:pt idx="445">
                  <c:v>8.2227426489721329E-3</c:v>
                </c:pt>
                <c:pt idx="446">
                  <c:v>1.2852939658287354E-2</c:v>
                </c:pt>
                <c:pt idx="447">
                  <c:v>-1.1415757822851947E-2</c:v>
                </c:pt>
                <c:pt idx="448">
                  <c:v>-1.123827198680274E-2</c:v>
                </c:pt>
                <c:pt idx="449">
                  <c:v>1.0948905109489052E-2</c:v>
                </c:pt>
                <c:pt idx="450">
                  <c:v>7.7359463641052091E-3</c:v>
                </c:pt>
                <c:pt idx="451">
                  <c:v>-1.1975435005117753E-2</c:v>
                </c:pt>
                <c:pt idx="452">
                  <c:v>-3.3668289650885738E-3</c:v>
                </c:pt>
                <c:pt idx="453">
                  <c:v>-2.286783431214523E-3</c:v>
                </c:pt>
                <c:pt idx="454">
                  <c:v>7.8137208938896703E-3</c:v>
                </c:pt>
                <c:pt idx="455">
                  <c:v>5.3755104150513587E-3</c:v>
                </c:pt>
                <c:pt idx="456">
                  <c:v>1.4446558017582715E-2</c:v>
                </c:pt>
                <c:pt idx="457">
                  <c:v>4.4090816947091249E-3</c:v>
                </c:pt>
                <c:pt idx="458">
                  <c:v>8.5776275291377872E-4</c:v>
                </c:pt>
                <c:pt idx="459">
                  <c:v>-1.3762855414398041E-2</c:v>
                </c:pt>
                <c:pt idx="460">
                  <c:v>-1.7379747482491764E-3</c:v>
                </c:pt>
                <c:pt idx="461">
                  <c:v>-3.8404424189666646E-3</c:v>
                </c:pt>
                <c:pt idx="462">
                  <c:v>-2.6781124704431034E-2</c:v>
                </c:pt>
                <c:pt idx="463">
                  <c:v>4.3310621665874644E-3</c:v>
                </c:pt>
                <c:pt idx="464">
                  <c:v>-8.2566394951354427E-3</c:v>
                </c:pt>
                <c:pt idx="465">
                  <c:v>2.916534096934988E-3</c:v>
                </c:pt>
                <c:pt idx="466">
                  <c:v>-1.4646010680484347E-2</c:v>
                </c:pt>
                <c:pt idx="467">
                  <c:v>3.7561708521141879E-3</c:v>
                </c:pt>
                <c:pt idx="468">
                  <c:v>-9.6225809900564235E-4</c:v>
                </c:pt>
                <c:pt idx="469">
                  <c:v>3.6922089041096376E-3</c:v>
                </c:pt>
                <c:pt idx="470">
                  <c:v>-9.1165964706510297E-3</c:v>
                </c:pt>
                <c:pt idx="471">
                  <c:v>-9.469493166899769E-3</c:v>
                </c:pt>
                <c:pt idx="472">
                  <c:v>6.898424769147227E-3</c:v>
                </c:pt>
                <c:pt idx="473">
                  <c:v>-1.5698333063602597E-2</c:v>
                </c:pt>
                <c:pt idx="474">
                  <c:v>-5.8094924915049377E-3</c:v>
                </c:pt>
                <c:pt idx="475">
                  <c:v>2.7012127894157061E-3</c:v>
                </c:pt>
                <c:pt idx="476">
                  <c:v>-1.6493485073396008E-3</c:v>
                </c:pt>
                <c:pt idx="477">
                  <c:v>1.3932485269012584E-2</c:v>
                </c:pt>
                <c:pt idx="478">
                  <c:v>3.5846187269171783E-3</c:v>
                </c:pt>
                <c:pt idx="479">
                  <c:v>9.5248403506873781E-3</c:v>
                </c:pt>
                <c:pt idx="480">
                  <c:v>-1.0239090811622244E-2</c:v>
                </c:pt>
                <c:pt idx="481">
                  <c:v>7.0411092455178168E-4</c:v>
                </c:pt>
                <c:pt idx="482">
                  <c:v>-1.2989824637366658E-3</c:v>
                </c:pt>
                <c:pt idx="483">
                  <c:v>3.251680034684094E-4</c:v>
                </c:pt>
                <c:pt idx="484">
                  <c:v>1.2244013435908623E-2</c:v>
                </c:pt>
                <c:pt idx="485">
                  <c:v>-1.4771997430957041E-2</c:v>
                </c:pt>
                <c:pt idx="486">
                  <c:v>4.5632333767927479E-3</c:v>
                </c:pt>
                <c:pt idx="487">
                  <c:v>2.3794073112696646E-3</c:v>
                </c:pt>
                <c:pt idx="488">
                  <c:v>-1.8882175226586104E-3</c:v>
                </c:pt>
                <c:pt idx="489">
                  <c:v>-1.1296686665585571E-2</c:v>
                </c:pt>
                <c:pt idx="490">
                  <c:v>-1.0223048327137571E-2</c:v>
                </c:pt>
                <c:pt idx="491">
                  <c:v>3.203534935100776E-3</c:v>
                </c:pt>
                <c:pt idx="492">
                  <c:v>1.6682266145460527E-2</c:v>
                </c:pt>
                <c:pt idx="493">
                  <c:v>-6.0652009097800384E-3</c:v>
                </c:pt>
                <c:pt idx="494">
                  <c:v>-1.0896807235482481E-4</c:v>
                </c:pt>
                <c:pt idx="495">
                  <c:v>-4.8496076721883672E-3</c:v>
                </c:pt>
                <c:pt idx="496">
                  <c:v>-2.9020423807698376E-3</c:v>
                </c:pt>
                <c:pt idx="497">
                  <c:v>-1.9220208676551346E-3</c:v>
                </c:pt>
                <c:pt idx="498">
                  <c:v>0</c:v>
                </c:pt>
                <c:pt idx="499">
                  <c:v>-5.612104539202226E-3</c:v>
                </c:pt>
                <c:pt idx="500">
                  <c:v>-2.40137221269296E-2</c:v>
                </c:pt>
                <c:pt idx="501">
                  <c:v>-1.5533760417257264E-2</c:v>
                </c:pt>
                <c:pt idx="502">
                  <c:v>1.8427872156637176E-3</c:v>
                </c:pt>
                <c:pt idx="503">
                  <c:v>-4.5984939932172215E-3</c:v>
                </c:pt>
                <c:pt idx="504">
                  <c:v>-3.9845238782699605E-3</c:v>
                </c:pt>
                <c:pt idx="505">
                  <c:v>6.2036178107606945E-3</c:v>
                </c:pt>
                <c:pt idx="506">
                  <c:v>-1.7113223854796914E-2</c:v>
                </c:pt>
                <c:pt idx="507">
                  <c:v>2.5794348692696045E-3</c:v>
                </c:pt>
                <c:pt idx="508">
                  <c:v>2.9236346626125597E-4</c:v>
                </c:pt>
                <c:pt idx="509">
                  <c:v>-6.1378383118021861E-3</c:v>
                </c:pt>
                <c:pt idx="510">
                  <c:v>7.7637924950006145E-3</c:v>
                </c:pt>
                <c:pt idx="511">
                  <c:v>3.3267188047156637E-3</c:v>
                </c:pt>
                <c:pt idx="512">
                  <c:v>-8.1437961724150059E-4</c:v>
                </c:pt>
                <c:pt idx="513">
                  <c:v>8.1504337195078505E-4</c:v>
                </c:pt>
                <c:pt idx="514">
                  <c:v>2.0534000349019942E-2</c:v>
                </c:pt>
                <c:pt idx="515">
                  <c:v>1.0430916552667552E-2</c:v>
                </c:pt>
                <c:pt idx="516">
                  <c:v>1.1846336097477909E-3</c:v>
                </c:pt>
                <c:pt idx="517">
                  <c:v>-7.8318683795356465E-3</c:v>
                </c:pt>
                <c:pt idx="518">
                  <c:v>1.7207110000567866E-2</c:v>
                </c:pt>
                <c:pt idx="519">
                  <c:v>-8.9325591782053173E-4</c:v>
                </c:pt>
                <c:pt idx="520">
                  <c:v>4.0232454179705219E-3</c:v>
                </c:pt>
                <c:pt idx="521">
                  <c:v>9.4612644701694434E-4</c:v>
                </c:pt>
                <c:pt idx="522">
                  <c:v>-3.5585209897137007E-3</c:v>
                </c:pt>
                <c:pt idx="523">
                  <c:v>-4.9104402656101531E-3</c:v>
                </c:pt>
                <c:pt idx="524">
                  <c:v>-4.7103684181011964E-3</c:v>
                </c:pt>
                <c:pt idx="525">
                  <c:v>-7.3243563017634794E-3</c:v>
                </c:pt>
                <c:pt idx="526">
                  <c:v>-3.0648731483058577E-3</c:v>
                </c:pt>
                <c:pt idx="527">
                  <c:v>-1.2581838884144554E-2</c:v>
                </c:pt>
                <c:pt idx="528">
                  <c:v>7.437730627306194E-3</c:v>
                </c:pt>
                <c:pt idx="529">
                  <c:v>2.8615578320837865E-4</c:v>
                </c:pt>
                <c:pt idx="530">
                  <c:v>5.7214784300263187E-3</c:v>
                </c:pt>
                <c:pt idx="531">
                  <c:v>-1.2003640914779788E-2</c:v>
                </c:pt>
                <c:pt idx="532">
                  <c:v>-5.6428859330914689E-3</c:v>
                </c:pt>
                <c:pt idx="533">
                  <c:v>-5.7907232613353407E-3</c:v>
                </c:pt>
                <c:pt idx="534">
                  <c:v>-1.0076300308696011E-2</c:v>
                </c:pt>
                <c:pt idx="535">
                  <c:v>2.2358201929866921E-3</c:v>
                </c:pt>
                <c:pt idx="536">
                  <c:v>8.6885053422566354E-3</c:v>
                </c:pt>
                <c:pt idx="537">
                  <c:v>-4.4232336165755653E-3</c:v>
                </c:pt>
                <c:pt idx="538">
                  <c:v>1.1808722085817869E-2</c:v>
                </c:pt>
                <c:pt idx="539">
                  <c:v>-1.3693089900624015E-2</c:v>
                </c:pt>
                <c:pt idx="540">
                  <c:v>-5.2135200046862307E-3</c:v>
                </c:pt>
                <c:pt idx="541">
                  <c:v>-1.8490166058179301E-2</c:v>
                </c:pt>
                <c:pt idx="542">
                  <c:v>4.7996160307172699E-4</c:v>
                </c:pt>
                <c:pt idx="543">
                  <c:v>-3.9577836411608955E-3</c:v>
                </c:pt>
                <c:pt idx="544">
                  <c:v>2.8898254063816704E-3</c:v>
                </c:pt>
                <c:pt idx="545">
                  <c:v>3.3617481090167708E-3</c:v>
                </c:pt>
                <c:pt idx="546">
                  <c:v>-2.8598779466315772E-2</c:v>
                </c:pt>
                <c:pt idx="547">
                  <c:v>1.7861542251786716E-3</c:v>
                </c:pt>
                <c:pt idx="548">
                  <c:v>2.0780817706732218E-2</c:v>
                </c:pt>
                <c:pt idx="549">
                  <c:v>1.9875926037462837E-3</c:v>
                </c:pt>
                <c:pt idx="550">
                  <c:v>2.0197162779514388E-2</c:v>
                </c:pt>
                <c:pt idx="551">
                  <c:v>1.6674522743341948E-2</c:v>
                </c:pt>
                <c:pt idx="552">
                  <c:v>-5.7374674007534578E-3</c:v>
                </c:pt>
                <c:pt idx="553">
                  <c:v>-5.8288645371828551E-5</c:v>
                </c:pt>
                <c:pt idx="554">
                  <c:v>-2.6464587583794864E-2</c:v>
                </c:pt>
                <c:pt idx="555">
                  <c:v>6.4666786419975949E-3</c:v>
                </c:pt>
                <c:pt idx="556">
                  <c:v>-5.116306740436752E-3</c:v>
                </c:pt>
                <c:pt idx="557">
                  <c:v>-2.989894157746816E-4</c:v>
                </c:pt>
                <c:pt idx="558">
                  <c:v>-7.7162339992821296E-3</c:v>
                </c:pt>
                <c:pt idx="559">
                  <c:v>-4.9430345409609052E-3</c:v>
                </c:pt>
                <c:pt idx="560">
                  <c:v>-1.3145938086872264E-2</c:v>
                </c:pt>
                <c:pt idx="561">
                  <c:v>1.7188459177409174E-3</c:v>
                </c:pt>
                <c:pt idx="562">
                  <c:v>1.0663071454835207E-2</c:v>
                </c:pt>
                <c:pt idx="563">
                  <c:v>2.4860538442880845E-3</c:v>
                </c:pt>
                <c:pt idx="564">
                  <c:v>6.7138450371984132E-3</c:v>
                </c:pt>
                <c:pt idx="565">
                  <c:v>-2.4633501562125308E-3</c:v>
                </c:pt>
                <c:pt idx="566">
                  <c:v>-1.1805095464675005E-2</c:v>
                </c:pt>
                <c:pt idx="567">
                  <c:v>5.485463521667581E-3</c:v>
                </c:pt>
                <c:pt idx="568">
                  <c:v>1.8185124568100534E-4</c:v>
                </c:pt>
                <c:pt idx="569">
                  <c:v>-1.1575757575757521E-2</c:v>
                </c:pt>
                <c:pt idx="570">
                  <c:v>3.0412655588938565E-2</c:v>
                </c:pt>
                <c:pt idx="571">
                  <c:v>2.1124665278191016E-2</c:v>
                </c:pt>
                <c:pt idx="572">
                  <c:v>-1.3403263403263138E-3</c:v>
                </c:pt>
                <c:pt idx="573">
                  <c:v>2.3341308280329112E-2</c:v>
                </c:pt>
                <c:pt idx="574">
                  <c:v>1.3229172606489164E-2</c:v>
                </c:pt>
                <c:pt idx="575">
                  <c:v>-5.6277787157485742E-5</c:v>
                </c:pt>
                <c:pt idx="576">
                  <c:v>-5.628095452498875E-4</c:v>
                </c:pt>
                <c:pt idx="577">
                  <c:v>-7.208018921049642E-3</c:v>
                </c:pt>
                <c:pt idx="578">
                  <c:v>-1.3272830402722683E-2</c:v>
                </c:pt>
                <c:pt idx="579">
                  <c:v>1.7245343757196018E-4</c:v>
                </c:pt>
                <c:pt idx="580">
                  <c:v>3.2760503477210286E-3</c:v>
                </c:pt>
                <c:pt idx="581">
                  <c:v>-3.0362053162236221E-3</c:v>
                </c:pt>
                <c:pt idx="582">
                  <c:v>9.1938171579612708E-3</c:v>
                </c:pt>
                <c:pt idx="583">
                  <c:v>-1.7650743039343559E-3</c:v>
                </c:pt>
                <c:pt idx="584">
                  <c:v>3.1371206935888657E-2</c:v>
                </c:pt>
                <c:pt idx="585">
                  <c:v>-1.874792611436793E-2</c:v>
                </c:pt>
                <c:pt idx="586">
                  <c:v>6.7632305698024316E-4</c:v>
                </c:pt>
                <c:pt idx="587">
                  <c:v>8.7299352295128127E-3</c:v>
                </c:pt>
                <c:pt idx="588">
                  <c:v>1.7867113344500532E-3</c:v>
                </c:pt>
                <c:pt idx="589">
                  <c:v>-5.1276334856760926E-3</c:v>
                </c:pt>
                <c:pt idx="590">
                  <c:v>1.8655462184873923E-2</c:v>
                </c:pt>
                <c:pt idx="591">
                  <c:v>-3.739756915800448E-3</c:v>
                </c:pt>
                <c:pt idx="592">
                  <c:v>-1.7057686999724035E-2</c:v>
                </c:pt>
                <c:pt idx="593">
                  <c:v>5.8407278445468331E-3</c:v>
                </c:pt>
                <c:pt idx="594">
                  <c:v>1.541038525963144E-2</c:v>
                </c:pt>
                <c:pt idx="595">
                  <c:v>-5.4987352908780961E-5</c:v>
                </c:pt>
                <c:pt idx="596">
                  <c:v>-1.6497113005224086E-2</c:v>
                </c:pt>
                <c:pt idx="597">
                  <c:v>1.5543751747274227E-2</c:v>
                </c:pt>
                <c:pt idx="598">
                  <c:v>-4.1292737983813247E-3</c:v>
                </c:pt>
                <c:pt idx="599">
                  <c:v>9.5090667846086056E-3</c:v>
                </c:pt>
                <c:pt idx="600">
                  <c:v>1.1007667031763367E-2</c:v>
                </c:pt>
                <c:pt idx="601">
                  <c:v>6.9877038080277841E-3</c:v>
                </c:pt>
                <c:pt idx="602">
                  <c:v>-9.8977945131791777E-3</c:v>
                </c:pt>
                <c:pt idx="603">
                  <c:v>2.0210800825817693E-2</c:v>
                </c:pt>
                <c:pt idx="604">
                  <c:v>-6.922994994141839E-4</c:v>
                </c:pt>
                <c:pt idx="605">
                  <c:v>1.2789768185452123E-3</c:v>
                </c:pt>
                <c:pt idx="606">
                  <c:v>1.0591303422215053E-2</c:v>
                </c:pt>
                <c:pt idx="607">
                  <c:v>5.8457973456920876E-3</c:v>
                </c:pt>
                <c:pt idx="608">
                  <c:v>-1.5184041049270071E-3</c:v>
                </c:pt>
                <c:pt idx="609">
                  <c:v>8.8620870477189775E-3</c:v>
                </c:pt>
                <c:pt idx="610">
                  <c:v>2.4429544155100671E-3</c:v>
                </c:pt>
                <c:pt idx="611">
                  <c:v>3.5258736907602312E-3</c:v>
                </c:pt>
                <c:pt idx="612">
                  <c:v>3.720161206985542E-3</c:v>
                </c:pt>
                <c:pt idx="613">
                  <c:v>-6.4861525790177645E-3</c:v>
                </c:pt>
                <c:pt idx="614">
                  <c:v>1.0362694300520492E-4</c:v>
                </c:pt>
                <c:pt idx="615">
                  <c:v>3.3157185783855886E-3</c:v>
                </c:pt>
                <c:pt idx="616">
                  <c:v>-1.1876484560569838E-3</c:v>
                </c:pt>
                <c:pt idx="617">
                  <c:v>-6.2554929431835335E-3</c:v>
                </c:pt>
                <c:pt idx="618">
                  <c:v>-2.653209863697846E-2</c:v>
                </c:pt>
                <c:pt idx="619">
                  <c:v>2.8324070115433703E-3</c:v>
                </c:pt>
                <c:pt idx="620">
                  <c:v>3.0375699440447885E-3</c:v>
                </c:pt>
                <c:pt idx="621">
                  <c:v>-6.4817766443523777E-3</c:v>
                </c:pt>
                <c:pt idx="622">
                  <c:v>-7.9679144385027233E-3</c:v>
                </c:pt>
                <c:pt idx="623">
                  <c:v>1.0242035469786486E-3</c:v>
                </c:pt>
                <c:pt idx="624">
                  <c:v>-1.0770059235325794E-2</c:v>
                </c:pt>
                <c:pt idx="625">
                  <c:v>3.4839412084921562E-3</c:v>
                </c:pt>
                <c:pt idx="626">
                  <c:v>-4.9907779103830121E-3</c:v>
                </c:pt>
                <c:pt idx="627">
                  <c:v>-4.9067713444558446E-4</c:v>
                </c:pt>
                <c:pt idx="628">
                  <c:v>-7.9092347133584255E-3</c:v>
                </c:pt>
                <c:pt idx="629">
                  <c:v>3.3538596877062551E-3</c:v>
                </c:pt>
                <c:pt idx="630">
                  <c:v>6.4661077319304915E-3</c:v>
                </c:pt>
                <c:pt idx="631">
                  <c:v>4.7367561387270897E-3</c:v>
                </c:pt>
                <c:pt idx="632">
                  <c:v>-2.6552508941151461E-3</c:v>
                </c:pt>
                <c:pt idx="633">
                  <c:v>7.6609616951914747E-3</c:v>
                </c:pt>
                <c:pt idx="634">
                  <c:v>-1.8656314029979464E-2</c:v>
                </c:pt>
                <c:pt idx="635">
                  <c:v>-7.6923076923081921E-4</c:v>
                </c:pt>
                <c:pt idx="636">
                  <c:v>8.7979764654129555E-3</c:v>
                </c:pt>
                <c:pt idx="637">
                  <c:v>4.4641883789381935E-2</c:v>
                </c:pt>
                <c:pt idx="638">
                  <c:v>-2.9219932168014135E-3</c:v>
                </c:pt>
                <c:pt idx="639">
                  <c:v>1.0675597885812895E-2</c:v>
                </c:pt>
                <c:pt idx="640">
                  <c:v>-4.2976233625019187E-3</c:v>
                </c:pt>
                <c:pt idx="641">
                  <c:v>3.1097243889755568E-2</c:v>
                </c:pt>
                <c:pt idx="642">
                  <c:v>-2.1030865442808175E-2</c:v>
                </c:pt>
                <c:pt idx="643">
                  <c:v>4.3789603832878263E-3</c:v>
                </c:pt>
                <c:pt idx="644">
                  <c:v>2.3748461222815032E-2</c:v>
                </c:pt>
                <c:pt idx="645">
                  <c:v>-2.1093241144345975E-2</c:v>
                </c:pt>
                <c:pt idx="646">
                  <c:v>1.008291534445698E-2</c:v>
                </c:pt>
                <c:pt idx="647">
                  <c:v>-3.3443121357992953E-3</c:v>
                </c:pt>
                <c:pt idx="648">
                  <c:v>1.098174792821186E-2</c:v>
                </c:pt>
                <c:pt idx="649">
                  <c:v>1.4080965551923333E-3</c:v>
                </c:pt>
                <c:pt idx="650">
                  <c:v>1.9133229548536201E-2</c:v>
                </c:pt>
                <c:pt idx="651">
                  <c:v>-1.2811668473441098E-3</c:v>
                </c:pt>
                <c:pt idx="652">
                  <c:v>-1.578843497138346E-2</c:v>
                </c:pt>
                <c:pt idx="653">
                  <c:v>7.6198115099258305E-3</c:v>
                </c:pt>
                <c:pt idx="654">
                  <c:v>2.8358208955224107E-3</c:v>
                </c:pt>
                <c:pt idx="655">
                  <c:v>1.493277769509347E-2</c:v>
                </c:pt>
                <c:pt idx="656">
                  <c:v>-2.3560465343630876E-2</c:v>
                </c:pt>
                <c:pt idx="657">
                  <c:v>6.3576291549860059E-3</c:v>
                </c:pt>
                <c:pt idx="658">
                  <c:v>-6.118489777645105E-3</c:v>
                </c:pt>
                <c:pt idx="659">
                  <c:v>5.9059059059058828E-3</c:v>
                </c:pt>
                <c:pt idx="660">
                  <c:v>-9.5531893720768469E-3</c:v>
                </c:pt>
                <c:pt idx="661">
                  <c:v>2.2606249372048629E-3</c:v>
                </c:pt>
                <c:pt idx="662">
                  <c:v>-4.110069670693107E-3</c:v>
                </c:pt>
                <c:pt idx="663">
                  <c:v>6.0898887714529708E-3</c:v>
                </c:pt>
                <c:pt idx="664">
                  <c:v>-3.40170085042519E-3</c:v>
                </c:pt>
                <c:pt idx="665">
                  <c:v>1.561088244152189E-2</c:v>
                </c:pt>
                <c:pt idx="666">
                  <c:v>6.7711164928582245E-3</c:v>
                </c:pt>
                <c:pt idx="667">
                  <c:v>9.1801669121255852E-3</c:v>
                </c:pt>
                <c:pt idx="668">
                  <c:v>-1.0945176825412158E-2</c:v>
                </c:pt>
                <c:pt idx="669">
                  <c:v>4.7708046429274275E-3</c:v>
                </c:pt>
                <c:pt idx="670">
                  <c:v>-2.839101277595664E-3</c:v>
                </c:pt>
                <c:pt idx="671">
                  <c:v>-8.1488390358843005E-3</c:v>
                </c:pt>
                <c:pt idx="672">
                  <c:v>1.0888393961890847E-3</c:v>
                </c:pt>
                <c:pt idx="673">
                  <c:v>-1.4683344045088271E-2</c:v>
                </c:pt>
                <c:pt idx="674">
                  <c:v>-4.0642247867535919E-3</c:v>
                </c:pt>
                <c:pt idx="675">
                  <c:v>-1.2645473323593196E-2</c:v>
                </c:pt>
                <c:pt idx="676">
                  <c:v>8.8784569854067213E-3</c:v>
                </c:pt>
                <c:pt idx="677">
                  <c:v>-1.3655674691483136E-3</c:v>
                </c:pt>
                <c:pt idx="678">
                  <c:v>-5.0139275766017174E-3</c:v>
                </c:pt>
                <c:pt idx="679">
                  <c:v>-1.0638297872340356E-2</c:v>
                </c:pt>
                <c:pt idx="680">
                  <c:v>1.2553377578844402E-2</c:v>
                </c:pt>
                <c:pt idx="681">
                  <c:v>2.5405213149738326E-3</c:v>
                </c:pt>
                <c:pt idx="682">
                  <c:v>6.7913435710304044E-3</c:v>
                </c:pt>
                <c:pt idx="683">
                  <c:v>-1.0470677070223989E-2</c:v>
                </c:pt>
                <c:pt idx="684">
                  <c:v>3.6628173169863383E-3</c:v>
                </c:pt>
                <c:pt idx="685">
                  <c:v>-1.1657965431598154E-2</c:v>
                </c:pt>
                <c:pt idx="686">
                  <c:v>1.0256936253141186E-2</c:v>
                </c:pt>
                <c:pt idx="687">
                  <c:v>-4.5687598355246455E-3</c:v>
                </c:pt>
                <c:pt idx="688">
                  <c:v>-5.6096690295272577E-3</c:v>
                </c:pt>
                <c:pt idx="689">
                  <c:v>5.2310374891019118E-3</c:v>
                </c:pt>
                <c:pt idx="690">
                  <c:v>8.6730268863835806E-4</c:v>
                </c:pt>
                <c:pt idx="691">
                  <c:v>-1.1672953410133481E-2</c:v>
                </c:pt>
                <c:pt idx="692">
                  <c:v>-1.4441177987519634E-3</c:v>
                </c:pt>
                <c:pt idx="693">
                  <c:v>-1.0898197407158675E-2</c:v>
                </c:pt>
                <c:pt idx="694">
                  <c:v>5.2741514360312844E-3</c:v>
                </c:pt>
                <c:pt idx="695">
                  <c:v>-5.1945353488130489E-3</c:v>
                </c:pt>
                <c:pt idx="696">
                  <c:v>-8.8768210537299266E-4</c:v>
                </c:pt>
                <c:pt idx="697">
                  <c:v>2.3518344308560675E-3</c:v>
                </c:pt>
                <c:pt idx="698">
                  <c:v>6.0482819750768595E-3</c:v>
                </c:pt>
                <c:pt idx="699">
                  <c:v>-1.24384555584353E-3</c:v>
                </c:pt>
                <c:pt idx="700">
                  <c:v>-6.0712988428207248E-3</c:v>
                </c:pt>
                <c:pt idx="701">
                  <c:v>8.1445128954787029E-3</c:v>
                </c:pt>
                <c:pt idx="702">
                  <c:v>3.1589849818746294E-3</c:v>
                </c:pt>
                <c:pt idx="703">
                  <c:v>1.269939600433645E-2</c:v>
                </c:pt>
                <c:pt idx="704">
                  <c:v>1.0705000764642447E-3</c:v>
                </c:pt>
                <c:pt idx="705">
                  <c:v>-3.7682045014766595E-3</c:v>
                </c:pt>
                <c:pt idx="706">
                  <c:v>1.2471887139644174E-2</c:v>
                </c:pt>
                <c:pt idx="707">
                  <c:v>0</c:v>
                </c:pt>
                <c:pt idx="708">
                  <c:v>-4.9979806138933077E-3</c:v>
                </c:pt>
                <c:pt idx="709">
                  <c:v>-4.414227002892103E-3</c:v>
                </c:pt>
                <c:pt idx="710">
                  <c:v>7.6444806849454688E-4</c:v>
                </c:pt>
                <c:pt idx="711">
                  <c:v>3.2591536385394222E-3</c:v>
                </c:pt>
                <c:pt idx="712">
                  <c:v>-1.238515811380126E-2</c:v>
                </c:pt>
                <c:pt idx="713">
                  <c:v>1.7423035411419985E-2</c:v>
                </c:pt>
                <c:pt idx="714">
                  <c:v>-1.510406142655075E-2</c:v>
                </c:pt>
                <c:pt idx="715">
                  <c:v>-1.8977278555675466E-3</c:v>
                </c:pt>
                <c:pt idx="716">
                  <c:v>-3.1346351490235914E-3</c:v>
                </c:pt>
                <c:pt idx="717">
                  <c:v>4.1239239136035594E-4</c:v>
                </c:pt>
                <c:pt idx="718">
                  <c:v>-5.1012521255217654E-3</c:v>
                </c:pt>
                <c:pt idx="719">
                  <c:v>-4.6094882950071803E-3</c:v>
                </c:pt>
                <c:pt idx="720">
                  <c:v>-9.3657318278796077E-4</c:v>
                </c:pt>
                <c:pt idx="721">
                  <c:v>-2.3436279360449976E-3</c:v>
                </c:pt>
                <c:pt idx="722">
                  <c:v>-4.5416579661723836E-3</c:v>
                </c:pt>
                <c:pt idx="723">
                  <c:v>-3.5135560333525856E-3</c:v>
                </c:pt>
                <c:pt idx="724">
                  <c:v>-6.8413851173560677E-3</c:v>
                </c:pt>
                <c:pt idx="725">
                  <c:v>4.50402713013989E-3</c:v>
                </c:pt>
                <c:pt idx="726">
                  <c:v>1.5297779184469396E-3</c:v>
                </c:pt>
                <c:pt idx="727">
                  <c:v>1.1534815126935685E-2</c:v>
                </c:pt>
                <c:pt idx="728">
                  <c:v>-7.2897682895084145E-4</c:v>
                </c:pt>
                <c:pt idx="729">
                  <c:v>-3.12646553071705E-4</c:v>
                </c:pt>
                <c:pt idx="730">
                  <c:v>9.3302058900182911E-3</c:v>
                </c:pt>
                <c:pt idx="731">
                  <c:v>9.0890311919024514E-3</c:v>
                </c:pt>
                <c:pt idx="732">
                  <c:v>-3.5823950870010235E-3</c:v>
                </c:pt>
                <c:pt idx="733">
                  <c:v>-6.5228556753980718E-3</c:v>
                </c:pt>
                <c:pt idx="734">
                  <c:v>-4.3943545468644986E-3</c:v>
                </c:pt>
                <c:pt idx="735">
                  <c:v>-8.8275002596325972E-4</c:v>
                </c:pt>
                <c:pt idx="736">
                  <c:v>2.6505898861806229E-3</c:v>
                </c:pt>
                <c:pt idx="737">
                  <c:v>-6.2201948994401821E-3</c:v>
                </c:pt>
                <c:pt idx="738">
                  <c:v>-1.460463175464195E-3</c:v>
                </c:pt>
                <c:pt idx="739">
                  <c:v>0</c:v>
                </c:pt>
                <c:pt idx="740">
                  <c:v>1.0865022983702441E-2</c:v>
                </c:pt>
                <c:pt idx="741">
                  <c:v>5.1674245555967887E-5</c:v>
                </c:pt>
                <c:pt idx="742">
                  <c:v>6.8723195370226607E-3</c:v>
                </c:pt>
                <c:pt idx="743">
                  <c:v>-1.40613773991583E-2</c:v>
                </c:pt>
                <c:pt idx="744">
                  <c:v>-1.5615240474703309E-3</c:v>
                </c:pt>
                <c:pt idx="745">
                  <c:v>-8.653946408090989E-3</c:v>
                </c:pt>
                <c:pt idx="746">
                  <c:v>-1.5408077408498084E-2</c:v>
                </c:pt>
                <c:pt idx="747">
                  <c:v>-1.4954868343748089E-3</c:v>
                </c:pt>
                <c:pt idx="748">
                  <c:v>-1.6742444503878018E-2</c:v>
                </c:pt>
                <c:pt idx="749">
                  <c:v>-3.0464584920031207E-3</c:v>
                </c:pt>
                <c:pt idx="750">
                  <c:v>-3.5468732947724546E-3</c:v>
                </c:pt>
                <c:pt idx="751">
                  <c:v>-1.5880838946387731E-3</c:v>
                </c:pt>
                <c:pt idx="752">
                  <c:v>1.7825800789820097E-2</c:v>
                </c:pt>
                <c:pt idx="753">
                  <c:v>5.9276822762299938E-3</c:v>
                </c:pt>
                <c:pt idx="754">
                  <c:v>6.267745218835402E-3</c:v>
                </c:pt>
                <c:pt idx="755">
                  <c:v>-2.2359454855196154E-3</c:v>
                </c:pt>
                <c:pt idx="756">
                  <c:v>2.7158254188453666E-2</c:v>
                </c:pt>
                <c:pt idx="757">
                  <c:v>6.7528959534579082E-4</c:v>
                </c:pt>
                <c:pt idx="758">
                  <c:v>1.6818936877076342E-2</c:v>
                </c:pt>
                <c:pt idx="759">
                  <c:v>6.3304063712477489E-3</c:v>
                </c:pt>
                <c:pt idx="760">
                  <c:v>3.5511363636363635E-3</c:v>
                </c:pt>
                <c:pt idx="761">
                  <c:v>-7.0771408351030785E-4</c:v>
                </c:pt>
                <c:pt idx="762">
                  <c:v>4.4010522055848069E-3</c:v>
                </c:pt>
                <c:pt idx="763">
                  <c:v>1.2087635356333875E-3</c:v>
                </c:pt>
                <c:pt idx="764">
                  <c:v>8.9038684038431591E-3</c:v>
                </c:pt>
                <c:pt idx="765">
                  <c:v>-5.6342241723174886E-3</c:v>
                </c:pt>
                <c:pt idx="766">
                  <c:v>-3.4097176954319586E-3</c:v>
                </c:pt>
                <c:pt idx="767">
                  <c:v>3.0188679245283017E-3</c:v>
                </c:pt>
                <c:pt idx="768">
                  <c:v>-2.4579884625031806E-3</c:v>
                </c:pt>
                <c:pt idx="769">
                  <c:v>-7.5932817057225736E-3</c:v>
                </c:pt>
                <c:pt idx="770">
                  <c:v>-7.9554091715226989E-3</c:v>
                </c:pt>
                <c:pt idx="771">
                  <c:v>6.1293288384921853E-3</c:v>
                </c:pt>
                <c:pt idx="772">
                  <c:v>-9.9502487562188602E-3</c:v>
                </c:pt>
                <c:pt idx="773">
                  <c:v>8.358117116193187E-3</c:v>
                </c:pt>
                <c:pt idx="774">
                  <c:v>-1.1187388761759703E-3</c:v>
                </c:pt>
                <c:pt idx="775">
                  <c:v>1.1709005752685435E-2</c:v>
                </c:pt>
                <c:pt idx="776">
                  <c:v>-3.5223670306445934E-3</c:v>
                </c:pt>
                <c:pt idx="777">
                  <c:v>1.0755946068777436E-2</c:v>
                </c:pt>
                <c:pt idx="778">
                  <c:v>-4.3964828137489781E-3</c:v>
                </c:pt>
                <c:pt idx="779">
                  <c:v>9.8354074668808387E-3</c:v>
                </c:pt>
                <c:pt idx="780">
                  <c:v>1.371496720333925E-2</c:v>
                </c:pt>
                <c:pt idx="781">
                  <c:v>8.5784313725490204E-3</c:v>
                </c:pt>
                <c:pt idx="782">
                  <c:v>-4.8116646415553299E-3</c:v>
                </c:pt>
                <c:pt idx="783">
                  <c:v>-7.1791365501073547E-3</c:v>
                </c:pt>
                <c:pt idx="784">
                  <c:v>-2.9514486693885582E-3</c:v>
                </c:pt>
                <c:pt idx="785">
                  <c:v>5.6736888845034285E-3</c:v>
                </c:pt>
                <c:pt idx="786">
                  <c:v>-7.3587127158555724E-4</c:v>
                </c:pt>
                <c:pt idx="787">
                  <c:v>-2.5823555402818072E-2</c:v>
                </c:pt>
                <c:pt idx="788">
                  <c:v>-2.0158242201273174E-4</c:v>
                </c:pt>
                <c:pt idx="789">
                  <c:v>2.1170421896264014E-3</c:v>
                </c:pt>
                <c:pt idx="790">
                  <c:v>2.3690961219254635E-2</c:v>
                </c:pt>
                <c:pt idx="791">
                  <c:v>-2.1128144654087824E-3</c:v>
                </c:pt>
                <c:pt idx="792">
                  <c:v>5.7609926633511339E-3</c:v>
                </c:pt>
                <c:pt idx="793">
                  <c:v>-2.2030745128757468E-3</c:v>
                </c:pt>
                <c:pt idx="794">
                  <c:v>1.8154163191207722E-3</c:v>
                </c:pt>
                <c:pt idx="795">
                  <c:v>9.1096091683809076E-3</c:v>
                </c:pt>
                <c:pt idx="796">
                  <c:v>1.1162880993981751E-2</c:v>
                </c:pt>
                <c:pt idx="797">
                  <c:v>4.7998464049106768E-5</c:v>
                </c:pt>
                <c:pt idx="798">
                  <c:v>-4.8476121910246747E-3</c:v>
                </c:pt>
                <c:pt idx="799">
                  <c:v>-1.4758367898138388E-2</c:v>
                </c:pt>
                <c:pt idx="800">
                  <c:v>3.5245741139612518E-3</c:v>
                </c:pt>
                <c:pt idx="801">
                  <c:v>-8.0487804878048783E-3</c:v>
                </c:pt>
                <c:pt idx="802">
                  <c:v>-2.4588148512417015E-4</c:v>
                </c:pt>
                <c:pt idx="803">
                  <c:v>-2.5577963600590483E-3</c:v>
                </c:pt>
                <c:pt idx="804">
                  <c:v>-4.2410494131570713E-3</c:v>
                </c:pt>
                <c:pt idx="805">
                  <c:v>5.4477020602218696E-3</c:v>
                </c:pt>
                <c:pt idx="806">
                  <c:v>-1.1673726726430916E-2</c:v>
                </c:pt>
                <c:pt idx="807">
                  <c:v>7.5255419885372089E-3</c:v>
                </c:pt>
                <c:pt idx="808">
                  <c:v>2.9679461812432551E-4</c:v>
                </c:pt>
                <c:pt idx="809">
                  <c:v>1.7802393432894417E-3</c:v>
                </c:pt>
                <c:pt idx="810">
                  <c:v>-4.8375950241879529E-3</c:v>
                </c:pt>
                <c:pt idx="811">
                  <c:v>8.9285714285712028E-4</c:v>
                </c:pt>
                <c:pt idx="812">
                  <c:v>3.7664783427495967E-3</c:v>
                </c:pt>
                <c:pt idx="813">
                  <c:v>7.7515552483459153E-3</c:v>
                </c:pt>
                <c:pt idx="814">
                  <c:v>7.9858899612954698E-3</c:v>
                </c:pt>
                <c:pt idx="815">
                  <c:v>1.8469913483035517E-3</c:v>
                </c:pt>
                <c:pt idx="816">
                  <c:v>-1.3729866097418848E-2</c:v>
                </c:pt>
                <c:pt idx="817">
                  <c:v>4.2304097594568889E-3</c:v>
                </c:pt>
                <c:pt idx="818">
                  <c:v>1.4695077149152805E-4</c:v>
                </c:pt>
                <c:pt idx="819">
                  <c:v>-1.812126555000512E-3</c:v>
                </c:pt>
                <c:pt idx="820">
                  <c:v>-7.2125999705607274E-3</c:v>
                </c:pt>
                <c:pt idx="821">
                  <c:v>-1.2701393693782764E-2</c:v>
                </c:pt>
                <c:pt idx="822">
                  <c:v>-1.5017269860339391E-3</c:v>
                </c:pt>
                <c:pt idx="823">
                  <c:v>5.3140823181430331E-3</c:v>
                </c:pt>
                <c:pt idx="824">
                  <c:v>1.2317358998653591E-2</c:v>
                </c:pt>
                <c:pt idx="825">
                  <c:v>-2.7093596059113299E-3</c:v>
                </c:pt>
                <c:pt idx="826">
                  <c:v>-1.8276117559891556E-3</c:v>
                </c:pt>
                <c:pt idx="827">
                  <c:v>4.1072842438637939E-3</c:v>
                </c:pt>
                <c:pt idx="828">
                  <c:v>2.6119954659702244E-3</c:v>
                </c:pt>
                <c:pt idx="829">
                  <c:v>4.0798269760125606E-3</c:v>
                </c:pt>
                <c:pt idx="830">
                  <c:v>5.8745777647230494E-3</c:v>
                </c:pt>
                <c:pt idx="831">
                  <c:v>3.4846936292402965E-2</c:v>
                </c:pt>
                <c:pt idx="832">
                  <c:v>7.3366881437237959E-3</c:v>
                </c:pt>
                <c:pt idx="833">
                  <c:v>7.6100658294036725E-3</c:v>
                </c:pt>
                <c:pt idx="834">
                  <c:v>3.2434436104160878E-3</c:v>
                </c:pt>
                <c:pt idx="835">
                  <c:v>1.080731572141146E-2</c:v>
                </c:pt>
                <c:pt idx="836">
                  <c:v>-1.0280544640409395E-2</c:v>
                </c:pt>
                <c:pt idx="837">
                  <c:v>6.7863902866904914E-3</c:v>
                </c:pt>
                <c:pt idx="838">
                  <c:v>-6.098679383712482E-3</c:v>
                </c:pt>
                <c:pt idx="839">
                  <c:v>-1.4763552479814617E-3</c:v>
                </c:pt>
                <c:pt idx="840">
                  <c:v>-2.1253985122212092E-3</c:v>
                </c:pt>
                <c:pt idx="841">
                  <c:v>6.0193545399832478E-4</c:v>
                </c:pt>
                <c:pt idx="842">
                  <c:v>1.0967144840351604E-2</c:v>
                </c:pt>
                <c:pt idx="843">
                  <c:v>-3.7991486245249817E-3</c:v>
                </c:pt>
                <c:pt idx="844">
                  <c:v>3.6757948906438484E-4</c:v>
                </c:pt>
                <c:pt idx="845">
                  <c:v>1.1115193826933803E-2</c:v>
                </c:pt>
                <c:pt idx="846">
                  <c:v>2.0214409012446623E-2</c:v>
                </c:pt>
                <c:pt idx="847">
                  <c:v>1.0864241506745665E-2</c:v>
                </c:pt>
                <c:pt idx="848">
                  <c:v>1.4535523939567457E-2</c:v>
                </c:pt>
                <c:pt idx="849">
                  <c:v>-2.7786219771632399E-3</c:v>
                </c:pt>
                <c:pt idx="850">
                  <c:v>1.8329052200792333E-2</c:v>
                </c:pt>
                <c:pt idx="851">
                  <c:v>4.9593843522872634E-3</c:v>
                </c:pt>
                <c:pt idx="852">
                  <c:v>-5.9559261465157833E-3</c:v>
                </c:pt>
                <c:pt idx="853">
                  <c:v>1.0356928871009276E-2</c:v>
                </c:pt>
                <c:pt idx="854">
                  <c:v>4.2782107760080939E-3</c:v>
                </c:pt>
                <c:pt idx="855">
                  <c:v>1.0375806655700329E-2</c:v>
                </c:pt>
                <c:pt idx="856">
                  <c:v>-8.056773116259729E-3</c:v>
                </c:pt>
                <c:pt idx="857">
                  <c:v>4.0400639676796413E-3</c:v>
                </c:pt>
                <c:pt idx="858">
                  <c:v>-2.1460306815324112E-2</c:v>
                </c:pt>
                <c:pt idx="859">
                  <c:v>-2.0131928381734851E-3</c:v>
                </c:pt>
                <c:pt idx="860">
                  <c:v>-1.6738915833297955E-3</c:v>
                </c:pt>
                <c:pt idx="861">
                  <c:v>1.8486672398968969E-3</c:v>
                </c:pt>
                <c:pt idx="862">
                  <c:v>1.1758142728403911E-2</c:v>
                </c:pt>
                <c:pt idx="863">
                  <c:v>-2.3242991050600046E-2</c:v>
                </c:pt>
                <c:pt idx="864">
                  <c:v>3.5173042685309429E-3</c:v>
                </c:pt>
                <c:pt idx="865">
                  <c:v>-6.0579835569021681E-4</c:v>
                </c:pt>
                <c:pt idx="866">
                  <c:v>9.3522687911326251E-3</c:v>
                </c:pt>
                <c:pt idx="867">
                  <c:v>-3.0027453671928623E-3</c:v>
                </c:pt>
                <c:pt idx="868">
                  <c:v>-8.174855864381879E-4</c:v>
                </c:pt>
                <c:pt idx="869">
                  <c:v>7.7509365715023896E-3</c:v>
                </c:pt>
                <c:pt idx="870">
                  <c:v>1.1536982438148176E-3</c:v>
                </c:pt>
                <c:pt idx="871">
                  <c:v>7.2129748186086605E-3</c:v>
                </c:pt>
                <c:pt idx="872">
                  <c:v>1.483113691258104E-2</c:v>
                </c:pt>
                <c:pt idx="873">
                  <c:v>-3.9250073071944924E-3</c:v>
                </c:pt>
                <c:pt idx="874">
                  <c:v>2.2217564451896876E-2</c:v>
                </c:pt>
                <c:pt idx="875">
                  <c:v>-5.1671109288496655E-3</c:v>
                </c:pt>
                <c:pt idx="876">
                  <c:v>-1.360319881281174E-2</c:v>
                </c:pt>
                <c:pt idx="877">
                  <c:v>-2.3277195035312913E-2</c:v>
                </c:pt>
                <c:pt idx="878">
                  <c:v>8.2577443094301664E-3</c:v>
                </c:pt>
                <c:pt idx="879">
                  <c:v>-6.4926798217696509E-3</c:v>
                </c:pt>
                <c:pt idx="880">
                  <c:v>5.7662737057919021E-3</c:v>
                </c:pt>
                <c:pt idx="881">
                  <c:v>1.1891111394233583E-3</c:v>
                </c:pt>
                <c:pt idx="882">
                  <c:v>-9.2470837751856549E-3</c:v>
                </c:pt>
                <c:pt idx="883">
                  <c:v>1.1945027186710661E-2</c:v>
                </c:pt>
                <c:pt idx="884">
                  <c:v>6.4731765104079292E-3</c:v>
                </c:pt>
                <c:pt idx="885">
                  <c:v>-2.6819118079784848E-2</c:v>
                </c:pt>
                <c:pt idx="886">
                  <c:v>-2.1597339207809598E-4</c:v>
                </c:pt>
                <c:pt idx="887">
                  <c:v>1.2140326622310512E-2</c:v>
                </c:pt>
                <c:pt idx="888">
                  <c:v>-1.5708370683399382E-2</c:v>
                </c:pt>
                <c:pt idx="889">
                  <c:v>4.7703716553189638E-3</c:v>
                </c:pt>
                <c:pt idx="890">
                  <c:v>7.7258405628210496E-3</c:v>
                </c:pt>
                <c:pt idx="891">
                  <c:v>9.5083090628746859E-3</c:v>
                </c:pt>
                <c:pt idx="892">
                  <c:v>-1.0436996181586724E-2</c:v>
                </c:pt>
                <c:pt idx="893">
                  <c:v>-6.002400960384153E-3</c:v>
                </c:pt>
                <c:pt idx="894">
                  <c:v>-7.505175983436892E-3</c:v>
                </c:pt>
                <c:pt idx="895">
                  <c:v>1.5471534115601872E-2</c:v>
                </c:pt>
                <c:pt idx="896">
                  <c:v>9.8433621501334495E-4</c:v>
                </c:pt>
                <c:pt idx="897">
                  <c:v>-2.3515327718158108E-3</c:v>
                </c:pt>
                <c:pt idx="898">
                  <c:v>1.542813062483929E-2</c:v>
                </c:pt>
                <c:pt idx="899">
                  <c:v>-2.490081877268545E-3</c:v>
                </c:pt>
                <c:pt idx="900">
                  <c:v>1.8616458641845107E-3</c:v>
                </c:pt>
                <c:pt idx="901">
                  <c:v>4.9833185523036139E-3</c:v>
                </c:pt>
                <c:pt idx="902">
                  <c:v>1.77333277303863E-2</c:v>
                </c:pt>
                <c:pt idx="903">
                  <c:v>2.8902927453652088E-3</c:v>
                </c:pt>
                <c:pt idx="904">
                  <c:v>1.6015480258553292E-2</c:v>
                </c:pt>
                <c:pt idx="905">
                  <c:v>-3.2012318664397807E-3</c:v>
                </c:pt>
                <c:pt idx="906">
                  <c:v>-1.4228220659376397E-3</c:v>
                </c:pt>
                <c:pt idx="907">
                  <c:v>-2.5118058948054172E-2</c:v>
                </c:pt>
                <c:pt idx="908">
                  <c:v>5.2616194095295296E-3</c:v>
                </c:pt>
                <c:pt idx="909">
                  <c:v>3.4893864495491363E-3</c:v>
                </c:pt>
                <c:pt idx="910">
                  <c:v>-2.5748230326613331E-2</c:v>
                </c:pt>
                <c:pt idx="911">
                  <c:v>1.0325047801147305E-2</c:v>
                </c:pt>
                <c:pt idx="912">
                  <c:v>1.6738161325594973E-2</c:v>
                </c:pt>
                <c:pt idx="913">
                  <c:v>8.6449371277300176E-3</c:v>
                </c:pt>
                <c:pt idx="914">
                  <c:v>3.0346524502768467E-3</c:v>
                </c:pt>
                <c:pt idx="915">
                  <c:v>-1.3941698352344703E-2</c:v>
                </c:pt>
                <c:pt idx="916">
                  <c:v>-5.3487022141139769E-3</c:v>
                </c:pt>
                <c:pt idx="917">
                  <c:v>4.5854349910371794E-4</c:v>
                </c:pt>
                <c:pt idx="918">
                  <c:v>1.2625000000000075E-2</c:v>
                </c:pt>
                <c:pt idx="919">
                  <c:v>1.6294284656215244E-2</c:v>
                </c:pt>
                <c:pt idx="920">
                  <c:v>1.6194987651321916E-3</c:v>
                </c:pt>
                <c:pt idx="921">
                  <c:v>-1.1196895589959283E-2</c:v>
                </c:pt>
                <c:pt idx="922">
                  <c:v>5.0690867467909784E-3</c:v>
                </c:pt>
                <c:pt idx="923">
                  <c:v>1.9604653054584021E-2</c:v>
                </c:pt>
                <c:pt idx="924">
                  <c:v>3.7099090473909869E-3</c:v>
                </c:pt>
                <c:pt idx="925">
                  <c:v>-1.311553594849063E-3</c:v>
                </c:pt>
                <c:pt idx="926">
                  <c:v>-1.2217446673034173E-2</c:v>
                </c:pt>
                <c:pt idx="927">
                  <c:v>1.5349905322106245E-2</c:v>
                </c:pt>
                <c:pt idx="928">
                  <c:v>-9.9198476311403855E-4</c:v>
                </c:pt>
                <c:pt idx="929">
                  <c:v>-5.9975374349604442E-3</c:v>
                </c:pt>
                <c:pt idx="930">
                  <c:v>1.3625829137696759E-2</c:v>
                </c:pt>
                <c:pt idx="931">
                  <c:v>-1.4585879291993536E-2</c:v>
                </c:pt>
                <c:pt idx="932">
                  <c:v>1.200144017282074E-3</c:v>
                </c:pt>
                <c:pt idx="933">
                  <c:v>6.7926639229632007E-3</c:v>
                </c:pt>
                <c:pt idx="934">
                  <c:v>-4.1274754931141158E-3</c:v>
                </c:pt>
                <c:pt idx="935">
                  <c:v>4.0648786514166568E-3</c:v>
                </c:pt>
                <c:pt idx="936">
                  <c:v>-1.9845207382417147E-4</c:v>
                </c:pt>
                <c:pt idx="937">
                  <c:v>1.512504962286618E-2</c:v>
                </c:pt>
                <c:pt idx="938">
                  <c:v>1.0989010989010953E-2</c:v>
                </c:pt>
                <c:pt idx="939">
                  <c:v>-6.3051214606218969E-3</c:v>
                </c:pt>
                <c:pt idx="940">
                  <c:v>2.3356300362022656E-3</c:v>
                </c:pt>
                <c:pt idx="941">
                  <c:v>6.2138335469338613E-3</c:v>
                </c:pt>
                <c:pt idx="942">
                  <c:v>1.4550928248870979E-2</c:v>
                </c:pt>
                <c:pt idx="943">
                  <c:v>9.2825077988283079E-3</c:v>
                </c:pt>
                <c:pt idx="944">
                  <c:v>2.9023746701846279E-3</c:v>
                </c:pt>
                <c:pt idx="945">
                  <c:v>3.6456571578908836E-3</c:v>
                </c:pt>
                <c:pt idx="946">
                  <c:v>-8.425704014379868E-3</c:v>
                </c:pt>
                <c:pt idx="947">
                  <c:v>1.1556327655878208E-2</c:v>
                </c:pt>
                <c:pt idx="948">
                  <c:v>-7.6162030987493336E-3</c:v>
                </c:pt>
                <c:pt idx="949">
                  <c:v>3.4987397012904639E-3</c:v>
                </c:pt>
                <c:pt idx="950">
                  <c:v>-5.0236185049111837E-3</c:v>
                </c:pt>
                <c:pt idx="951">
                  <c:v>-1.1492087415222306E-2</c:v>
                </c:pt>
                <c:pt idx="952">
                  <c:v>-3.5829998094149386E-3</c:v>
                </c:pt>
                <c:pt idx="953">
                  <c:v>5.0877931219158344E-3</c:v>
                </c:pt>
                <c:pt idx="954">
                  <c:v>1.0009895714394354E-2</c:v>
                </c:pt>
                <c:pt idx="955">
                  <c:v>5.0118702189396623E-3</c:v>
                </c:pt>
                <c:pt idx="956">
                  <c:v>4.6119235095613727E-3</c:v>
                </c:pt>
                <c:pt idx="957">
                  <c:v>6.0463553913334888E-3</c:v>
                </c:pt>
                <c:pt idx="958">
                  <c:v>1.1611945835652081E-2</c:v>
                </c:pt>
                <c:pt idx="959">
                  <c:v>7.5546428047527899E-3</c:v>
                </c:pt>
                <c:pt idx="960">
                  <c:v>-1.1028608866564819E-2</c:v>
                </c:pt>
                <c:pt idx="961">
                  <c:v>7.1399654042913737E-3</c:v>
                </c:pt>
                <c:pt idx="962">
                  <c:v>2.5945550886168132E-3</c:v>
                </c:pt>
                <c:pt idx="963">
                  <c:v>9.1850123924771369E-3</c:v>
                </c:pt>
                <c:pt idx="964">
                  <c:v>1.1557353366079166E-2</c:v>
                </c:pt>
                <c:pt idx="965">
                  <c:v>-1.8387603541845186E-2</c:v>
                </c:pt>
                <c:pt idx="966">
                  <c:v>-1.1275597424800362E-3</c:v>
                </c:pt>
                <c:pt idx="967">
                  <c:v>1.2744883839487292E-3</c:v>
                </c:pt>
                <c:pt idx="968">
                  <c:v>-2.6693821144124684E-2</c:v>
                </c:pt>
                <c:pt idx="969">
                  <c:v>1.1022680566453686E-2</c:v>
                </c:pt>
                <c:pt idx="970">
                  <c:v>-3.2559686599157499E-2</c:v>
                </c:pt>
                <c:pt idx="971">
                  <c:v>-4.3549681017685899E-3</c:v>
                </c:pt>
                <c:pt idx="972">
                  <c:v>-7.5969765568047352E-3</c:v>
                </c:pt>
                <c:pt idx="973">
                  <c:v>-5.2580707519814069E-3</c:v>
                </c:pt>
                <c:pt idx="974">
                  <c:v>1.6207392436550123E-2</c:v>
                </c:pt>
                <c:pt idx="975">
                  <c:v>6.2724699762870383E-3</c:v>
                </c:pt>
                <c:pt idx="976">
                  <c:v>7.8677309007981061E-3</c:v>
                </c:pt>
                <c:pt idx="977">
                  <c:v>8.7491043481541172E-3</c:v>
                </c:pt>
                <c:pt idx="978">
                  <c:v>-2.1084900370107327E-2</c:v>
                </c:pt>
                <c:pt idx="979">
                  <c:v>1.0693144930304303E-3</c:v>
                </c:pt>
                <c:pt idx="980">
                  <c:v>1.1826193110288787E-2</c:v>
                </c:pt>
                <c:pt idx="981">
                  <c:v>-2.186781284168526E-3</c:v>
                </c:pt>
                <c:pt idx="982">
                  <c:v>3.551860948422479E-3</c:v>
                </c:pt>
                <c:pt idx="983">
                  <c:v>3.1627696825935053E-3</c:v>
                </c:pt>
                <c:pt idx="984">
                  <c:v>-1.0584393649363913E-2</c:v>
                </c:pt>
                <c:pt idx="985">
                  <c:v>1.4111756003186629E-2</c:v>
                </c:pt>
                <c:pt idx="986">
                  <c:v>1.2082444918265711E-2</c:v>
                </c:pt>
                <c:pt idx="987">
                  <c:v>1.3268775872264967E-2</c:v>
                </c:pt>
                <c:pt idx="988">
                  <c:v>-1.6925041035929268E-2</c:v>
                </c:pt>
                <c:pt idx="989">
                  <c:v>-1.413676672479682E-2</c:v>
                </c:pt>
                <c:pt idx="990">
                  <c:v>-2.785095972901803E-3</c:v>
                </c:pt>
                <c:pt idx="991">
                  <c:v>-3.3212560386472402E-3</c:v>
                </c:pt>
                <c:pt idx="992">
                  <c:v>-1.6964556195092465E-2</c:v>
                </c:pt>
                <c:pt idx="993">
                  <c:v>7.5115562403697995E-3</c:v>
                </c:pt>
                <c:pt idx="994">
                  <c:v>9.481934620531516E-3</c:v>
                </c:pt>
                <c:pt idx="995">
                  <c:v>-8.4081354391547444E-3</c:v>
                </c:pt>
                <c:pt idx="996">
                  <c:v>1.9441579771590119E-2</c:v>
                </c:pt>
                <c:pt idx="997">
                  <c:v>-8.0929186961408422E-3</c:v>
                </c:pt>
                <c:pt idx="998">
                  <c:v>6.7991236685049482E-3</c:v>
                </c:pt>
                <c:pt idx="999">
                  <c:v>2.6262474675470848E-3</c:v>
                </c:pt>
                <c:pt idx="1000">
                  <c:v>6.8851968268223655E-3</c:v>
                </c:pt>
                <c:pt idx="1001">
                  <c:v>-4.5339675932809095E-3</c:v>
                </c:pt>
                <c:pt idx="1002">
                  <c:v>1.3813185992683763E-3</c:v>
                </c:pt>
                <c:pt idx="1003">
                  <c:v>1.3234910338142638E-2</c:v>
                </c:pt>
                <c:pt idx="1004">
                  <c:v>1.2178968283170177E-2</c:v>
                </c:pt>
                <c:pt idx="1005">
                  <c:v>1.2614053582463855E-2</c:v>
                </c:pt>
                <c:pt idx="1006">
                  <c:v>4.2360712234348731E-3</c:v>
                </c:pt>
                <c:pt idx="1007">
                  <c:v>-6.8277686423106844E-3</c:v>
                </c:pt>
                <c:pt idx="1008">
                  <c:v>-9.3222474174855449E-3</c:v>
                </c:pt>
                <c:pt idx="1009">
                  <c:v>1.0390931550646675E-2</c:v>
                </c:pt>
                <c:pt idx="1010">
                  <c:v>1.7979144192736425E-4</c:v>
                </c:pt>
                <c:pt idx="1011">
                  <c:v>2.2901312241596194E-2</c:v>
                </c:pt>
                <c:pt idx="1012">
                  <c:v>4.182482778012123E-3</c:v>
                </c:pt>
                <c:pt idx="1013">
                  <c:v>6.5450981764727427E-3</c:v>
                </c:pt>
                <c:pt idx="1014">
                  <c:v>5.9809444328534035E-3</c:v>
                </c:pt>
                <c:pt idx="1015">
                  <c:v>-5.6342896647079786E-3</c:v>
                </c:pt>
                <c:pt idx="1016">
                  <c:v>2.0057705009212039E-2</c:v>
                </c:pt>
                <c:pt idx="1017">
                  <c:v>-6.1341330425306083E-4</c:v>
                </c:pt>
                <c:pt idx="1018">
                  <c:v>-1.3298779240264922E-3</c:v>
                </c:pt>
                <c:pt idx="1019">
                  <c:v>5.7021886843993154E-3</c:v>
                </c:pt>
                <c:pt idx="1020">
                  <c:v>1.2222448563861984E-3</c:v>
                </c:pt>
                <c:pt idx="1021">
                  <c:v>-4.3743641912513025E-3</c:v>
                </c:pt>
                <c:pt idx="1022">
                  <c:v>6.8117570927420735E-3</c:v>
                </c:pt>
                <c:pt idx="1023">
                  <c:v>-2.1650147153344243E-3</c:v>
                </c:pt>
                <c:pt idx="1024">
                  <c:v>-1.4815065938908981E-2</c:v>
                </c:pt>
                <c:pt idx="1025">
                  <c:v>4.0605643496215357E-3</c:v>
                </c:pt>
                <c:pt idx="1026">
                  <c:v>-7.5056549455069198E-3</c:v>
                </c:pt>
                <c:pt idx="1027">
                  <c:v>1.7956421147138431E-3</c:v>
                </c:pt>
                <c:pt idx="1028">
                  <c:v>6.7215883630347114E-3</c:v>
                </c:pt>
                <c:pt idx="1029">
                  <c:v>1.8489351503116109E-3</c:v>
                </c:pt>
                <c:pt idx="1030">
                  <c:v>2.0505809979491082E-4</c:v>
                </c:pt>
                <c:pt idx="1031">
                  <c:v>-9.2940613681404428E-3</c:v>
                </c:pt>
                <c:pt idx="1032">
                  <c:v>7.4153273090984337E-3</c:v>
                </c:pt>
                <c:pt idx="1033">
                  <c:v>8.8671299941799064E-3</c:v>
                </c:pt>
                <c:pt idx="1034">
                  <c:v>1.5101126645853127E-2</c:v>
                </c:pt>
                <c:pt idx="1035">
                  <c:v>1.4308160331628296E-2</c:v>
                </c:pt>
                <c:pt idx="1036">
                  <c:v>1.1469628555420119E-2</c:v>
                </c:pt>
                <c:pt idx="1037">
                  <c:v>6.5169930593964639E-5</c:v>
                </c:pt>
                <c:pt idx="1038">
                  <c:v>7.1682252126039324E-4</c:v>
                </c:pt>
                <c:pt idx="1039">
                  <c:v>-8.8887441799889878E-3</c:v>
                </c:pt>
                <c:pt idx="1040">
                  <c:v>-1.4454664914586369E-3</c:v>
                </c:pt>
                <c:pt idx="1041">
                  <c:v>-7.5667851033021688E-4</c:v>
                </c:pt>
                <c:pt idx="1042">
                  <c:v>1.2675731735422907E-2</c:v>
                </c:pt>
                <c:pt idx="1043">
                  <c:v>2.4221340789388125E-2</c:v>
                </c:pt>
                <c:pt idx="1044">
                  <c:v>-1.3649493699013368E-3</c:v>
                </c:pt>
                <c:pt idx="1045">
                  <c:v>6.420851875397272E-3</c:v>
                </c:pt>
                <c:pt idx="1046">
                  <c:v>-1.4054702798307121E-2</c:v>
                </c:pt>
                <c:pt idx="1047">
                  <c:v>-4.7442098856392327E-2</c:v>
                </c:pt>
                <c:pt idx="1048">
                  <c:v>5.5824589722894506E-3</c:v>
                </c:pt>
                <c:pt idx="1049">
                  <c:v>2.9830780549796092E-2</c:v>
                </c:pt>
                <c:pt idx="1050">
                  <c:v>3.1856855231538583E-2</c:v>
                </c:pt>
                <c:pt idx="1051">
                  <c:v>1.5357985837922953E-2</c:v>
                </c:pt>
                <c:pt idx="1052">
                  <c:v>4.3703313393050579E-3</c:v>
                </c:pt>
                <c:pt idx="1053">
                  <c:v>3.2712010862856439E-2</c:v>
                </c:pt>
                <c:pt idx="1054">
                  <c:v>2.3577575902462376E-2</c:v>
                </c:pt>
                <c:pt idx="1055">
                  <c:v>-1.7224768633404637E-3</c:v>
                </c:pt>
                <c:pt idx="1056">
                  <c:v>-3.6643855647189617E-2</c:v>
                </c:pt>
                <c:pt idx="1057">
                  <c:v>1.654473148963298E-2</c:v>
                </c:pt>
                <c:pt idx="1058">
                  <c:v>-4.65866332198528E-3</c:v>
                </c:pt>
                <c:pt idx="1059">
                  <c:v>1.8001800180015274E-4</c:v>
                </c:pt>
                <c:pt idx="1060">
                  <c:v>-4.3496520278377727E-3</c:v>
                </c:pt>
                <c:pt idx="1061">
                  <c:v>-2.9194661203338284E-2</c:v>
                </c:pt>
                <c:pt idx="1062">
                  <c:v>3.1065731487803477E-2</c:v>
                </c:pt>
                <c:pt idx="1063">
                  <c:v>3.0250127923426542E-2</c:v>
                </c:pt>
                <c:pt idx="1064">
                  <c:v>-9.02769662264815E-3</c:v>
                </c:pt>
                <c:pt idx="1065">
                  <c:v>-2.5325039063651668E-2</c:v>
                </c:pt>
                <c:pt idx="1066">
                  <c:v>-2.3593466424682397E-2</c:v>
                </c:pt>
                <c:pt idx="1067">
                  <c:v>6.1338289962825842E-3</c:v>
                </c:pt>
                <c:pt idx="1068">
                  <c:v>-1.8320093601822771E-2</c:v>
                </c:pt>
                <c:pt idx="1069">
                  <c:v>1.2012671329548577E-2</c:v>
                </c:pt>
                <c:pt idx="1070">
                  <c:v>1.0785346804686104E-2</c:v>
                </c:pt>
                <c:pt idx="1071">
                  <c:v>1.5698779665174408E-2</c:v>
                </c:pt>
                <c:pt idx="1072">
                  <c:v>8.8450159995170502E-3</c:v>
                </c:pt>
                <c:pt idx="1073">
                  <c:v>-5.475926867949424E-3</c:v>
                </c:pt>
                <c:pt idx="1074">
                  <c:v>1.4042002647731398E-2</c:v>
                </c:pt>
                <c:pt idx="1075">
                  <c:v>-1.6785005355654047E-2</c:v>
                </c:pt>
                <c:pt idx="1076">
                  <c:v>-1.6295983341882599E-3</c:v>
                </c:pt>
                <c:pt idx="1077">
                  <c:v>1.0760813710969352E-2</c:v>
                </c:pt>
                <c:pt idx="1078">
                  <c:v>1.5939471874158836E-2</c:v>
                </c:pt>
                <c:pt idx="1079">
                  <c:v>-5.9166372306605174E-3</c:v>
                </c:pt>
                <c:pt idx="1080">
                  <c:v>6.5440762784637436E-3</c:v>
                </c:pt>
                <c:pt idx="1081">
                  <c:v>-7.0899035067074345E-3</c:v>
                </c:pt>
                <c:pt idx="1082">
                  <c:v>-5.9850078516191577E-3</c:v>
                </c:pt>
                <c:pt idx="1083">
                  <c:v>-3.4278219917136129E-3</c:v>
                </c:pt>
                <c:pt idx="1084">
                  <c:v>8.9729018364457478E-5</c:v>
                </c:pt>
                <c:pt idx="1085">
                  <c:v>1.7555402697610516E-2</c:v>
                </c:pt>
                <c:pt idx="1086">
                  <c:v>4.3792616976252325E-3</c:v>
                </c:pt>
                <c:pt idx="1087">
                  <c:v>-3.0433383080209785E-3</c:v>
                </c:pt>
                <c:pt idx="1088">
                  <c:v>3.5222636414330272E-4</c:v>
                </c:pt>
                <c:pt idx="1089">
                  <c:v>-8.0690120595052969E-3</c:v>
                </c:pt>
                <c:pt idx="1090">
                  <c:v>-1.7925811986037956E-2</c:v>
                </c:pt>
                <c:pt idx="1091">
                  <c:v>2.7108433734939759E-3</c:v>
                </c:pt>
                <c:pt idx="1092">
                  <c:v>1.4719134875338213E-3</c:v>
                </c:pt>
                <c:pt idx="1093">
                  <c:v>-7.8586640271154726E-3</c:v>
                </c:pt>
                <c:pt idx="1094">
                  <c:v>1.2727877377029467E-2</c:v>
                </c:pt>
                <c:pt idx="1095">
                  <c:v>2.955400322407199E-3</c:v>
                </c:pt>
                <c:pt idx="1096">
                  <c:v>-5.0004464684346005E-3</c:v>
                </c:pt>
                <c:pt idx="1097">
                  <c:v>-2.9914146399805272E-5</c:v>
                </c:pt>
                <c:pt idx="1098">
                  <c:v>-7.7479956922340823E-3</c:v>
                </c:pt>
                <c:pt idx="1099">
                  <c:v>1.2360939431396512E-3</c:v>
                </c:pt>
                <c:pt idx="1100">
                  <c:v>1.4152363745859133E-3</c:v>
                </c:pt>
                <c:pt idx="1101">
                  <c:v>1.0042998466488286E-2</c:v>
                </c:pt>
                <c:pt idx="1102">
                  <c:v>-6.6684528593968896E-3</c:v>
                </c:pt>
                <c:pt idx="1103">
                  <c:v>6.7132196481553908E-3</c:v>
                </c:pt>
                <c:pt idx="1104">
                  <c:v>-4.1082432794497716E-3</c:v>
                </c:pt>
                <c:pt idx="1105">
                  <c:v>3.5153797865662244E-2</c:v>
                </c:pt>
                <c:pt idx="1106">
                  <c:v>1.1233359323110714E-2</c:v>
                </c:pt>
                <c:pt idx="1107">
                  <c:v>-1.3335998629276449E-2</c:v>
                </c:pt>
                <c:pt idx="1108">
                  <c:v>-6.9462533645914737E-3</c:v>
                </c:pt>
                <c:pt idx="1109">
                  <c:v>-2.2470927690827987E-2</c:v>
                </c:pt>
                <c:pt idx="1110">
                  <c:v>4.2635658914729228E-3</c:v>
                </c:pt>
                <c:pt idx="1111">
                  <c:v>-4.6017278745954932E-3</c:v>
                </c:pt>
                <c:pt idx="1112">
                  <c:v>-1.2526843235505466E-3</c:v>
                </c:pt>
                <c:pt idx="1113">
                  <c:v>2.3233590157080625E-2</c:v>
                </c:pt>
                <c:pt idx="1114">
                  <c:v>2.4223674994162175E-3</c:v>
                </c:pt>
                <c:pt idx="1115">
                  <c:v>-3.7849011558497897E-4</c:v>
                </c:pt>
                <c:pt idx="1116">
                  <c:v>5.912506553270731E-3</c:v>
                </c:pt>
                <c:pt idx="1117">
                  <c:v>-1.4187682774994933E-2</c:v>
                </c:pt>
                <c:pt idx="1118">
                  <c:v>-1.6741563133315176E-3</c:v>
                </c:pt>
                <c:pt idx="1119">
                  <c:v>2.7360988526037603E-3</c:v>
                </c:pt>
                <c:pt idx="1120">
                  <c:v>-7.3643752017135706E-3</c:v>
                </c:pt>
                <c:pt idx="1121">
                  <c:v>-1.5370063844880049E-3</c:v>
                </c:pt>
                <c:pt idx="1122">
                  <c:v>-5.7134399052694443E-3</c:v>
                </c:pt>
                <c:pt idx="1123">
                  <c:v>8.8724804239736152E-3</c:v>
                </c:pt>
                <c:pt idx="1124">
                  <c:v>-2.0362992474546528E-3</c:v>
                </c:pt>
                <c:pt idx="1125">
                  <c:v>6.8902294771706245E-3</c:v>
                </c:pt>
                <c:pt idx="1126">
                  <c:v>4.464154600722435E-3</c:v>
                </c:pt>
                <c:pt idx="1127">
                  <c:v>4.5612701383000234E-3</c:v>
                </c:pt>
                <c:pt idx="1128">
                  <c:v>1.1234973949995741E-2</c:v>
                </c:pt>
                <c:pt idx="1129">
                  <c:v>1.0851106697752012E-2</c:v>
                </c:pt>
                <c:pt idx="1130">
                  <c:v>2.2835990888382635E-2</c:v>
                </c:pt>
                <c:pt idx="1131">
                  <c:v>1.2053894549301315E-2</c:v>
                </c:pt>
                <c:pt idx="1132">
                  <c:v>-7.9218814468436753E-3</c:v>
                </c:pt>
                <c:pt idx="1133">
                  <c:v>1.9602406632101443E-2</c:v>
                </c:pt>
                <c:pt idx="1134">
                  <c:v>1.3052700277369138E-3</c:v>
                </c:pt>
                <c:pt idx="1135">
                  <c:v>-5.4315354950795208E-5</c:v>
                </c:pt>
                <c:pt idx="1136">
                  <c:v>-2.2813688212928005E-3</c:v>
                </c:pt>
                <c:pt idx="1137">
                  <c:v>1.2358449477351941E-2</c:v>
                </c:pt>
                <c:pt idx="1138">
                  <c:v>1.6402258671685693E-3</c:v>
                </c:pt>
                <c:pt idx="1139">
                  <c:v>-1.9596789347936234E-3</c:v>
                </c:pt>
                <c:pt idx="1140">
                  <c:v>-1.0624562913551024E-2</c:v>
                </c:pt>
                <c:pt idx="1141">
                  <c:v>2.264633118560197E-2</c:v>
                </c:pt>
                <c:pt idx="1142">
                  <c:v>1.0686941726924786E-2</c:v>
                </c:pt>
                <c:pt idx="1143">
                  <c:v>-1.2730811720763872E-2</c:v>
                </c:pt>
                <c:pt idx="1144">
                  <c:v>8.2591783449669875E-4</c:v>
                </c:pt>
                <c:pt idx="1145">
                  <c:v>2.6274457606814804E-2</c:v>
                </c:pt>
                <c:pt idx="1146">
                  <c:v>4.6690184685619423E-3</c:v>
                </c:pt>
                <c:pt idx="1147">
                  <c:v>6.2738820613446721E-3</c:v>
                </c:pt>
                <c:pt idx="1148">
                  <c:v>-7.5432969852469766E-3</c:v>
                </c:pt>
                <c:pt idx="1149">
                  <c:v>2.7972389545254848E-2</c:v>
                </c:pt>
                <c:pt idx="1150">
                  <c:v>7.0668712119306663E-3</c:v>
                </c:pt>
                <c:pt idx="1151">
                  <c:v>1.6506842473279371E-2</c:v>
                </c:pt>
                <c:pt idx="1152">
                  <c:v>-2.4051099373541357E-2</c:v>
                </c:pt>
                <c:pt idx="1153">
                  <c:v>4.0376579570054902E-2</c:v>
                </c:pt>
                <c:pt idx="1154">
                  <c:v>7.3554318896684335E-3</c:v>
                </c:pt>
                <c:pt idx="1155">
                  <c:v>9.1751933515878195E-3</c:v>
                </c:pt>
                <c:pt idx="1156">
                  <c:v>2.4514470677837012E-2</c:v>
                </c:pt>
                <c:pt idx="1157">
                  <c:v>1.27305673000974E-2</c:v>
                </c:pt>
                <c:pt idx="1158">
                  <c:v>-5.7416158186906291E-2</c:v>
                </c:pt>
                <c:pt idx="1159">
                  <c:v>-1.063493222360134E-2</c:v>
                </c:pt>
                <c:pt idx="1160">
                  <c:v>1.9727456092881457E-2</c:v>
                </c:pt>
                <c:pt idx="1161">
                  <c:v>-3.3794866846777391E-2</c:v>
                </c:pt>
                <c:pt idx="1162">
                  <c:v>-9.1873673698664796E-3</c:v>
                </c:pt>
                <c:pt idx="1163">
                  <c:v>4.4095043717086203E-3</c:v>
                </c:pt>
                <c:pt idx="1164">
                  <c:v>7.4507049320155219E-3</c:v>
                </c:pt>
                <c:pt idx="1165">
                  <c:v>-4.7311935058146141E-4</c:v>
                </c:pt>
                <c:pt idx="1166">
                  <c:v>-1.332835077229696E-2</c:v>
                </c:pt>
                <c:pt idx="1167">
                  <c:v>8.1807852543870959E-3</c:v>
                </c:pt>
                <c:pt idx="1168">
                  <c:v>-4.7584462420799189E-4</c:v>
                </c:pt>
                <c:pt idx="1169">
                  <c:v>3.2823853670759205E-2</c:v>
                </c:pt>
                <c:pt idx="1170">
                  <c:v>-1.3828238719067972E-3</c:v>
                </c:pt>
                <c:pt idx="1171">
                  <c:v>2.3637732915482393E-2</c:v>
                </c:pt>
                <c:pt idx="1172">
                  <c:v>-4.5329409531043195E-3</c:v>
                </c:pt>
                <c:pt idx="1173">
                  <c:v>-2.0193110025032737E-2</c:v>
                </c:pt>
                <c:pt idx="1174">
                  <c:v>-1.9708988271936257E-3</c:v>
                </c:pt>
                <c:pt idx="1175">
                  <c:v>4.0227222858814637E-3</c:v>
                </c:pt>
                <c:pt idx="1176">
                  <c:v>-5.4635520372978488E-3</c:v>
                </c:pt>
                <c:pt idx="1177">
                  <c:v>4.2483580340358295E-3</c:v>
                </c:pt>
                <c:pt idx="1178">
                  <c:v>1.1353966594539354E-2</c:v>
                </c:pt>
                <c:pt idx="1179">
                  <c:v>1.021683734794942E-2</c:v>
                </c:pt>
                <c:pt idx="1180">
                  <c:v>1.7252456987839993E-2</c:v>
                </c:pt>
                <c:pt idx="1181">
                  <c:v>-1.2632169926078412E-2</c:v>
                </c:pt>
                <c:pt idx="1182">
                  <c:v>2.7719863532979097E-3</c:v>
                </c:pt>
                <c:pt idx="1183">
                  <c:v>2.4808033077377434E-3</c:v>
                </c:pt>
                <c:pt idx="1184">
                  <c:v>-5.9627621965590814E-3</c:v>
                </c:pt>
                <c:pt idx="1185">
                  <c:v>4.3862768807643978E-3</c:v>
                </c:pt>
                <c:pt idx="1186">
                  <c:v>-2.7146971342240688E-3</c:v>
                </c:pt>
                <c:pt idx="1187">
                  <c:v>2.0900892371055978E-2</c:v>
                </c:pt>
                <c:pt idx="1188">
                  <c:v>5.1472293067470016E-3</c:v>
                </c:pt>
                <c:pt idx="1189">
                  <c:v>-6.6894260933743224E-4</c:v>
                </c:pt>
                <c:pt idx="1190">
                  <c:v>9.6022897767928019E-3</c:v>
                </c:pt>
                <c:pt idx="1191">
                  <c:v>-2.1491117766751955E-3</c:v>
                </c:pt>
                <c:pt idx="1192">
                  <c:v>2.4034826440600215E-2</c:v>
                </c:pt>
                <c:pt idx="1193">
                  <c:v>8.1218955564505719E-3</c:v>
                </c:pt>
                <c:pt idx="1194">
                  <c:v>4.8383159109572724E-3</c:v>
                </c:pt>
                <c:pt idx="1195">
                  <c:v>-4.428492545554942E-2</c:v>
                </c:pt>
                <c:pt idx="1196">
                  <c:v>1.370464525075114E-2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7-4A50-B146-D8A02FC80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396975"/>
        <c:axId val="1405397455"/>
      </c:areaChart>
      <c:dateAx>
        <c:axId val="1405396975"/>
        <c:scaling>
          <c:orientation val="minMax"/>
        </c:scaling>
        <c:delete val="1"/>
        <c:axPos val="b"/>
        <c:numFmt formatCode="m/d/yyyy" sourceLinked="0"/>
        <c:majorTickMark val="none"/>
        <c:minorTickMark val="none"/>
        <c:tickLblPos val="nextTo"/>
        <c:crossAx val="1405397455"/>
        <c:crosses val="autoZero"/>
        <c:auto val="0"/>
        <c:lblOffset val="100"/>
        <c:baseTimeUnit val="days"/>
      </c:dateAx>
      <c:valAx>
        <c:axId val="14053974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5396975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Figure 3. Silver Daily Return (2020-2025)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>
        <c:manualLayout>
          <c:layoutTarget val="inner"/>
          <c:xMode val="edge"/>
          <c:yMode val="edge"/>
          <c:x val="5.2544744661737267E-2"/>
          <c:y val="0.16860439133517974"/>
          <c:w val="0.8989728762250242"/>
          <c:h val="0.6714577865266842"/>
        </c:manualLayout>
      </c:layout>
      <c:areaChart>
        <c:grouping val="standard"/>
        <c:varyColors val="0"/>
        <c:ser>
          <c:idx val="0"/>
          <c:order val="0"/>
          <c:tx>
            <c:strRef>
              <c:f>Analysis!$E$1</c:f>
              <c:strCache>
                <c:ptCount val="1"/>
                <c:pt idx="0">
                  <c:v>Daily Return Silver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E8E8E8">
                  <a:lumMod val="90000"/>
                </a:srgbClr>
              </a:solidFill>
            </a:ln>
            <a:effectLst/>
          </c:spPr>
          <c:cat>
            <c:strRef>
              <c:f>Analysis!$A$2:$A$1328</c:f>
              <c:strCache>
                <c:ptCount val="1197"/>
                <c:pt idx="0">
                  <c:v>02.01.2020</c:v>
                </c:pt>
                <c:pt idx="1">
                  <c:v>06.01.2020</c:v>
                </c:pt>
                <c:pt idx="2">
                  <c:v>07.01.2020</c:v>
                </c:pt>
                <c:pt idx="3">
                  <c:v>08.01.2020</c:v>
                </c:pt>
                <c:pt idx="4">
                  <c:v>09.01.2020</c:v>
                </c:pt>
                <c:pt idx="5">
                  <c:v>13.01.2020</c:v>
                </c:pt>
                <c:pt idx="6">
                  <c:v>14.01.2020</c:v>
                </c:pt>
                <c:pt idx="7">
                  <c:v>15.01.2020</c:v>
                </c:pt>
                <c:pt idx="8">
                  <c:v>16.01.2020</c:v>
                </c:pt>
                <c:pt idx="9">
                  <c:v>21.01.2020</c:v>
                </c:pt>
                <c:pt idx="10">
                  <c:v>22.01.2020</c:v>
                </c:pt>
                <c:pt idx="11">
                  <c:v>23.01.2020</c:v>
                </c:pt>
                <c:pt idx="12">
                  <c:v>27.01.2020</c:v>
                </c:pt>
                <c:pt idx="13">
                  <c:v>28.01.2020</c:v>
                </c:pt>
                <c:pt idx="14">
                  <c:v>29.01.2020</c:v>
                </c:pt>
                <c:pt idx="15">
                  <c:v>30.01.2020</c:v>
                </c:pt>
                <c:pt idx="16">
                  <c:v>03.02.2020</c:v>
                </c:pt>
                <c:pt idx="17">
                  <c:v>04.02.2020</c:v>
                </c:pt>
                <c:pt idx="18">
                  <c:v>05.02.2020</c:v>
                </c:pt>
                <c:pt idx="19">
                  <c:v>06.02.2020</c:v>
                </c:pt>
                <c:pt idx="20">
                  <c:v>10.02.2020</c:v>
                </c:pt>
                <c:pt idx="21">
                  <c:v>11.02.2020</c:v>
                </c:pt>
                <c:pt idx="22">
                  <c:v>12.02.2020</c:v>
                </c:pt>
                <c:pt idx="23">
                  <c:v>13.02.2020</c:v>
                </c:pt>
                <c:pt idx="24">
                  <c:v>18.02.2020</c:v>
                </c:pt>
                <c:pt idx="25">
                  <c:v>19.02.2020</c:v>
                </c:pt>
                <c:pt idx="26">
                  <c:v>20.02.2020</c:v>
                </c:pt>
                <c:pt idx="27">
                  <c:v>24.02.2020</c:v>
                </c:pt>
                <c:pt idx="28">
                  <c:v>25.02.2020</c:v>
                </c:pt>
                <c:pt idx="29">
                  <c:v>26.02.2020</c:v>
                </c:pt>
                <c:pt idx="30">
                  <c:v>27.02.2020</c:v>
                </c:pt>
                <c:pt idx="31">
                  <c:v>02.03.2020</c:v>
                </c:pt>
                <c:pt idx="32">
                  <c:v>03.03.2020</c:v>
                </c:pt>
                <c:pt idx="33">
                  <c:v>04.03.2020</c:v>
                </c:pt>
                <c:pt idx="34">
                  <c:v>05.03.2020</c:v>
                </c:pt>
                <c:pt idx="35">
                  <c:v>09.03.2020</c:v>
                </c:pt>
                <c:pt idx="36">
                  <c:v>10.03.2020</c:v>
                </c:pt>
                <c:pt idx="37">
                  <c:v>11.03.2020</c:v>
                </c:pt>
                <c:pt idx="38">
                  <c:v>12.03.2020</c:v>
                </c:pt>
                <c:pt idx="39">
                  <c:v>16.03.2020</c:v>
                </c:pt>
                <c:pt idx="40">
                  <c:v>17.03.2020</c:v>
                </c:pt>
                <c:pt idx="41">
                  <c:v>18.03.2020</c:v>
                </c:pt>
                <c:pt idx="42">
                  <c:v>19.03.2020</c:v>
                </c:pt>
                <c:pt idx="43">
                  <c:v>23.03.2020</c:v>
                </c:pt>
                <c:pt idx="44">
                  <c:v>24.03.2020</c:v>
                </c:pt>
                <c:pt idx="45">
                  <c:v>25.03.2020</c:v>
                </c:pt>
                <c:pt idx="46">
                  <c:v>26.03.2020</c:v>
                </c:pt>
                <c:pt idx="47">
                  <c:v>30.03.2020</c:v>
                </c:pt>
                <c:pt idx="48">
                  <c:v>31.03.2020</c:v>
                </c:pt>
                <c:pt idx="49">
                  <c:v>01.04.2020</c:v>
                </c:pt>
                <c:pt idx="50">
                  <c:v>02.04.2020</c:v>
                </c:pt>
                <c:pt idx="51">
                  <c:v>06.04.2020</c:v>
                </c:pt>
                <c:pt idx="52">
                  <c:v>07.04.2020</c:v>
                </c:pt>
                <c:pt idx="53">
                  <c:v>08.04.2020</c:v>
                </c:pt>
                <c:pt idx="54">
                  <c:v>13.04.2020</c:v>
                </c:pt>
                <c:pt idx="55">
                  <c:v>14.04.2020</c:v>
                </c:pt>
                <c:pt idx="56">
                  <c:v>15.04.2020</c:v>
                </c:pt>
                <c:pt idx="57">
                  <c:v>16.04.2020</c:v>
                </c:pt>
                <c:pt idx="58">
                  <c:v>20.04.2020</c:v>
                </c:pt>
                <c:pt idx="59">
                  <c:v>21.04.2020</c:v>
                </c:pt>
                <c:pt idx="60">
                  <c:v>22.04.2020</c:v>
                </c:pt>
                <c:pt idx="61">
                  <c:v>23.04.2020</c:v>
                </c:pt>
                <c:pt idx="62">
                  <c:v>27.04.2020</c:v>
                </c:pt>
                <c:pt idx="63">
                  <c:v>28.04.2020</c:v>
                </c:pt>
                <c:pt idx="64">
                  <c:v>29.04.2020</c:v>
                </c:pt>
                <c:pt idx="65">
                  <c:v>30.04.2020</c:v>
                </c:pt>
                <c:pt idx="66">
                  <c:v>04.05.2020</c:v>
                </c:pt>
                <c:pt idx="67">
                  <c:v>05.05.2020</c:v>
                </c:pt>
                <c:pt idx="68">
                  <c:v>06.05.2020</c:v>
                </c:pt>
                <c:pt idx="69">
                  <c:v>07.05.2020</c:v>
                </c:pt>
                <c:pt idx="70">
                  <c:v>11.05.2020</c:v>
                </c:pt>
                <c:pt idx="71">
                  <c:v>12.05.2020</c:v>
                </c:pt>
                <c:pt idx="72">
                  <c:v>13.05.2020</c:v>
                </c:pt>
                <c:pt idx="73">
                  <c:v>14.05.2020</c:v>
                </c:pt>
                <c:pt idx="74">
                  <c:v>18.05.2020</c:v>
                </c:pt>
                <c:pt idx="75">
                  <c:v>19.05.2020</c:v>
                </c:pt>
                <c:pt idx="76">
                  <c:v>20.05.2020</c:v>
                </c:pt>
                <c:pt idx="77">
                  <c:v>21.05.2020</c:v>
                </c:pt>
                <c:pt idx="78">
                  <c:v>26.05.2020</c:v>
                </c:pt>
                <c:pt idx="79">
                  <c:v>27.05.2020</c:v>
                </c:pt>
                <c:pt idx="80">
                  <c:v>28.05.2020</c:v>
                </c:pt>
                <c:pt idx="81">
                  <c:v>01.06.2020</c:v>
                </c:pt>
                <c:pt idx="82">
                  <c:v>02.06.2020</c:v>
                </c:pt>
                <c:pt idx="83">
                  <c:v>03.06.2020</c:v>
                </c:pt>
                <c:pt idx="84">
                  <c:v>04.06.2020</c:v>
                </c:pt>
                <c:pt idx="85">
                  <c:v>08.06.2020</c:v>
                </c:pt>
                <c:pt idx="86">
                  <c:v>09.06.2020</c:v>
                </c:pt>
                <c:pt idx="87">
                  <c:v>10.06.2020</c:v>
                </c:pt>
                <c:pt idx="88">
                  <c:v>11.06.2020</c:v>
                </c:pt>
                <c:pt idx="89">
                  <c:v>15.06.2020</c:v>
                </c:pt>
                <c:pt idx="90">
                  <c:v>16.06.2020</c:v>
                </c:pt>
                <c:pt idx="91">
                  <c:v>17.06.2020</c:v>
                </c:pt>
                <c:pt idx="92">
                  <c:v>18.06.2020</c:v>
                </c:pt>
                <c:pt idx="93">
                  <c:v>22.06.2020</c:v>
                </c:pt>
                <c:pt idx="94">
                  <c:v>23.06.2020</c:v>
                </c:pt>
                <c:pt idx="95">
                  <c:v>24.06.2020</c:v>
                </c:pt>
                <c:pt idx="96">
                  <c:v>25.06.2020</c:v>
                </c:pt>
                <c:pt idx="97">
                  <c:v>29.06.2020</c:v>
                </c:pt>
                <c:pt idx="98">
                  <c:v>30.06.2020</c:v>
                </c:pt>
                <c:pt idx="99">
                  <c:v>01.07.2020</c:v>
                </c:pt>
                <c:pt idx="100">
                  <c:v>02.07.2020</c:v>
                </c:pt>
                <c:pt idx="101">
                  <c:v>06.07.2020</c:v>
                </c:pt>
                <c:pt idx="102">
                  <c:v>07.07.2020</c:v>
                </c:pt>
                <c:pt idx="103">
                  <c:v>08.07.2020</c:v>
                </c:pt>
                <c:pt idx="104">
                  <c:v>09.07.2020</c:v>
                </c:pt>
                <c:pt idx="105">
                  <c:v>13.07.2020</c:v>
                </c:pt>
                <c:pt idx="106">
                  <c:v>14.07.2020</c:v>
                </c:pt>
                <c:pt idx="107">
                  <c:v>15.07.2020</c:v>
                </c:pt>
                <c:pt idx="108">
                  <c:v>16.07.2020</c:v>
                </c:pt>
                <c:pt idx="109">
                  <c:v>20.07.2020</c:v>
                </c:pt>
                <c:pt idx="110">
                  <c:v>21.07.2020</c:v>
                </c:pt>
                <c:pt idx="111">
                  <c:v>22.07.2020</c:v>
                </c:pt>
                <c:pt idx="112">
                  <c:v>23.07.2020</c:v>
                </c:pt>
                <c:pt idx="113">
                  <c:v>27.07.2020</c:v>
                </c:pt>
                <c:pt idx="114">
                  <c:v>28.07.2020</c:v>
                </c:pt>
                <c:pt idx="115">
                  <c:v>29.07.2020</c:v>
                </c:pt>
                <c:pt idx="116">
                  <c:v>30.07.2020</c:v>
                </c:pt>
                <c:pt idx="117">
                  <c:v>03.08.2020</c:v>
                </c:pt>
                <c:pt idx="118">
                  <c:v>04.08.2020</c:v>
                </c:pt>
                <c:pt idx="119">
                  <c:v>05.08.2020</c:v>
                </c:pt>
                <c:pt idx="120">
                  <c:v>06.08.2020</c:v>
                </c:pt>
                <c:pt idx="121">
                  <c:v>10.08.2020</c:v>
                </c:pt>
                <c:pt idx="122">
                  <c:v>11.08.2020</c:v>
                </c:pt>
                <c:pt idx="123">
                  <c:v>12.08.2020</c:v>
                </c:pt>
                <c:pt idx="124">
                  <c:v>13.08.2020</c:v>
                </c:pt>
                <c:pt idx="125">
                  <c:v>17.08.2020</c:v>
                </c:pt>
                <c:pt idx="126">
                  <c:v>18.08.2020</c:v>
                </c:pt>
                <c:pt idx="127">
                  <c:v>19.08.2020</c:v>
                </c:pt>
                <c:pt idx="128">
                  <c:v>20.08.2020</c:v>
                </c:pt>
                <c:pt idx="129">
                  <c:v>24.08.2020</c:v>
                </c:pt>
                <c:pt idx="130">
                  <c:v>25.08.2020</c:v>
                </c:pt>
                <c:pt idx="131">
                  <c:v>26.08.2020</c:v>
                </c:pt>
                <c:pt idx="132">
                  <c:v>27.08.2020</c:v>
                </c:pt>
                <c:pt idx="133">
                  <c:v>31.08.2020</c:v>
                </c:pt>
                <c:pt idx="134">
                  <c:v>01.09.2020</c:v>
                </c:pt>
                <c:pt idx="135">
                  <c:v>02.09.2020</c:v>
                </c:pt>
                <c:pt idx="136">
                  <c:v>03.09.2020</c:v>
                </c:pt>
                <c:pt idx="137">
                  <c:v>08.09.2020</c:v>
                </c:pt>
                <c:pt idx="138">
                  <c:v>09.09.2020</c:v>
                </c:pt>
                <c:pt idx="139">
                  <c:v>10.09.2020</c:v>
                </c:pt>
                <c:pt idx="140">
                  <c:v>14.09.2020</c:v>
                </c:pt>
                <c:pt idx="141">
                  <c:v>15.09.2020</c:v>
                </c:pt>
                <c:pt idx="142">
                  <c:v>16.09.2020</c:v>
                </c:pt>
                <c:pt idx="143">
                  <c:v>17.09.2020</c:v>
                </c:pt>
                <c:pt idx="144">
                  <c:v>21.09.2020</c:v>
                </c:pt>
                <c:pt idx="145">
                  <c:v>22.09.2020</c:v>
                </c:pt>
                <c:pt idx="146">
                  <c:v>23.09.2020</c:v>
                </c:pt>
                <c:pt idx="147">
                  <c:v>24.09.2020</c:v>
                </c:pt>
                <c:pt idx="148">
                  <c:v>28.09.2020</c:v>
                </c:pt>
                <c:pt idx="149">
                  <c:v>29.09.2020</c:v>
                </c:pt>
                <c:pt idx="150">
                  <c:v>30.09.2020</c:v>
                </c:pt>
                <c:pt idx="151">
                  <c:v>01.10.2020</c:v>
                </c:pt>
                <c:pt idx="152">
                  <c:v>05.10.2020</c:v>
                </c:pt>
                <c:pt idx="153">
                  <c:v>06.10.2020</c:v>
                </c:pt>
                <c:pt idx="154">
                  <c:v>07.10.2020</c:v>
                </c:pt>
                <c:pt idx="155">
                  <c:v>08.10.2020</c:v>
                </c:pt>
                <c:pt idx="156">
                  <c:v>12.10.2020</c:v>
                </c:pt>
                <c:pt idx="157">
                  <c:v>13.10.2020</c:v>
                </c:pt>
                <c:pt idx="158">
                  <c:v>14.10.2020</c:v>
                </c:pt>
                <c:pt idx="159">
                  <c:v>15.10.2020</c:v>
                </c:pt>
                <c:pt idx="160">
                  <c:v>19.10.2020</c:v>
                </c:pt>
                <c:pt idx="161">
                  <c:v>20.10.2020</c:v>
                </c:pt>
                <c:pt idx="162">
                  <c:v>21.10.2020</c:v>
                </c:pt>
                <c:pt idx="163">
                  <c:v>22.10.2020</c:v>
                </c:pt>
                <c:pt idx="164">
                  <c:v>26.10.2020</c:v>
                </c:pt>
                <c:pt idx="165">
                  <c:v>27.10.2020</c:v>
                </c:pt>
                <c:pt idx="166">
                  <c:v>28.10.2020</c:v>
                </c:pt>
                <c:pt idx="167">
                  <c:v>29.10.2020</c:v>
                </c:pt>
                <c:pt idx="168">
                  <c:v>02.11.2020</c:v>
                </c:pt>
                <c:pt idx="169">
                  <c:v>03.11.2020</c:v>
                </c:pt>
                <c:pt idx="170">
                  <c:v>04.11.2020</c:v>
                </c:pt>
                <c:pt idx="171">
                  <c:v>05.11.2020</c:v>
                </c:pt>
                <c:pt idx="172">
                  <c:v>09.11.2020</c:v>
                </c:pt>
                <c:pt idx="173">
                  <c:v>10.11.2020</c:v>
                </c:pt>
                <c:pt idx="174">
                  <c:v>11.11.2020</c:v>
                </c:pt>
                <c:pt idx="175">
                  <c:v>12.11.2020</c:v>
                </c:pt>
                <c:pt idx="176">
                  <c:v>16.11.2020</c:v>
                </c:pt>
                <c:pt idx="177">
                  <c:v>17.11.2020</c:v>
                </c:pt>
                <c:pt idx="178">
                  <c:v>18.11.2020</c:v>
                </c:pt>
                <c:pt idx="179">
                  <c:v>19.11.2020</c:v>
                </c:pt>
                <c:pt idx="180">
                  <c:v>23.11.2020</c:v>
                </c:pt>
                <c:pt idx="181">
                  <c:v>24.11.2020</c:v>
                </c:pt>
                <c:pt idx="182">
                  <c:v>25.11.2020</c:v>
                </c:pt>
                <c:pt idx="183">
                  <c:v>30.11.2020</c:v>
                </c:pt>
                <c:pt idx="184">
                  <c:v>01.12.2020</c:v>
                </c:pt>
                <c:pt idx="185">
                  <c:v>02.12.2020</c:v>
                </c:pt>
                <c:pt idx="186">
                  <c:v>03.12.2020</c:v>
                </c:pt>
                <c:pt idx="187">
                  <c:v>07.12.2020</c:v>
                </c:pt>
                <c:pt idx="188">
                  <c:v>08.12.2020</c:v>
                </c:pt>
                <c:pt idx="189">
                  <c:v>09.12.2020</c:v>
                </c:pt>
                <c:pt idx="190">
                  <c:v>10.12.2020</c:v>
                </c:pt>
                <c:pt idx="191">
                  <c:v>14.12.2020</c:v>
                </c:pt>
                <c:pt idx="192">
                  <c:v>15.12.2020</c:v>
                </c:pt>
                <c:pt idx="193">
                  <c:v>16.12.2020</c:v>
                </c:pt>
                <c:pt idx="194">
                  <c:v>17.12.2020</c:v>
                </c:pt>
                <c:pt idx="195">
                  <c:v>21.12.2020</c:v>
                </c:pt>
                <c:pt idx="196">
                  <c:v>22.12.2020</c:v>
                </c:pt>
                <c:pt idx="197">
                  <c:v>23.12.2020</c:v>
                </c:pt>
                <c:pt idx="198">
                  <c:v>28.12.2020</c:v>
                </c:pt>
                <c:pt idx="199">
                  <c:v>29.12.2020</c:v>
                </c:pt>
                <c:pt idx="200">
                  <c:v>30.12.2020</c:v>
                </c:pt>
                <c:pt idx="201">
                  <c:v>04.01.2021</c:v>
                </c:pt>
                <c:pt idx="202">
                  <c:v>05.01.2021</c:v>
                </c:pt>
                <c:pt idx="203">
                  <c:v>06.01.2021</c:v>
                </c:pt>
                <c:pt idx="204">
                  <c:v>07.01.2021</c:v>
                </c:pt>
                <c:pt idx="205">
                  <c:v>11.01.2021</c:v>
                </c:pt>
                <c:pt idx="206">
                  <c:v>12.01.2021</c:v>
                </c:pt>
                <c:pt idx="207">
                  <c:v>13.01.2021</c:v>
                </c:pt>
                <c:pt idx="208">
                  <c:v>14.01.2021</c:v>
                </c:pt>
                <c:pt idx="209">
                  <c:v>19.01.2021</c:v>
                </c:pt>
                <c:pt idx="210">
                  <c:v>20.01.2021</c:v>
                </c:pt>
                <c:pt idx="211">
                  <c:v>21.01.2021</c:v>
                </c:pt>
                <c:pt idx="212">
                  <c:v>25.01.2021</c:v>
                </c:pt>
                <c:pt idx="213">
                  <c:v>26.01.2021</c:v>
                </c:pt>
                <c:pt idx="214">
                  <c:v>27.01.2021</c:v>
                </c:pt>
                <c:pt idx="215">
                  <c:v>28.01.2021</c:v>
                </c:pt>
                <c:pt idx="216">
                  <c:v>01.02.2021</c:v>
                </c:pt>
                <c:pt idx="217">
                  <c:v>02.02.2021</c:v>
                </c:pt>
                <c:pt idx="218">
                  <c:v>03.02.2021</c:v>
                </c:pt>
                <c:pt idx="219">
                  <c:v>04.02.2021</c:v>
                </c:pt>
                <c:pt idx="220">
                  <c:v>08.02.2021</c:v>
                </c:pt>
                <c:pt idx="221">
                  <c:v>09.02.2021</c:v>
                </c:pt>
                <c:pt idx="222">
                  <c:v>10.02.2021</c:v>
                </c:pt>
                <c:pt idx="223">
                  <c:v>11.02.2021</c:v>
                </c:pt>
                <c:pt idx="224">
                  <c:v>16.02.2021</c:v>
                </c:pt>
                <c:pt idx="225">
                  <c:v>17.02.2021</c:v>
                </c:pt>
                <c:pt idx="226">
                  <c:v>18.02.2021</c:v>
                </c:pt>
                <c:pt idx="227">
                  <c:v>22.02.2021</c:v>
                </c:pt>
                <c:pt idx="228">
                  <c:v>23.02.2021</c:v>
                </c:pt>
                <c:pt idx="229">
                  <c:v>24.02.2021</c:v>
                </c:pt>
                <c:pt idx="230">
                  <c:v>25.02.2021</c:v>
                </c:pt>
                <c:pt idx="231">
                  <c:v>01.03.2021</c:v>
                </c:pt>
                <c:pt idx="232">
                  <c:v>02.03.2021</c:v>
                </c:pt>
                <c:pt idx="233">
                  <c:v>03.03.2021</c:v>
                </c:pt>
                <c:pt idx="234">
                  <c:v>04.03.2021</c:v>
                </c:pt>
                <c:pt idx="235">
                  <c:v>08.03.2021</c:v>
                </c:pt>
                <c:pt idx="236">
                  <c:v>09.03.2021</c:v>
                </c:pt>
                <c:pt idx="237">
                  <c:v>10.03.2021</c:v>
                </c:pt>
                <c:pt idx="238">
                  <c:v>11.03.2021</c:v>
                </c:pt>
                <c:pt idx="239">
                  <c:v>15.03.2021</c:v>
                </c:pt>
                <c:pt idx="240">
                  <c:v>16.03.2021</c:v>
                </c:pt>
                <c:pt idx="241">
                  <c:v>17.03.2021</c:v>
                </c:pt>
                <c:pt idx="242">
                  <c:v>18.03.2021</c:v>
                </c:pt>
                <c:pt idx="243">
                  <c:v>22.03.2021</c:v>
                </c:pt>
                <c:pt idx="244">
                  <c:v>23.03.2021</c:v>
                </c:pt>
                <c:pt idx="245">
                  <c:v>24.03.2021</c:v>
                </c:pt>
                <c:pt idx="246">
                  <c:v>25.03.2021</c:v>
                </c:pt>
                <c:pt idx="247">
                  <c:v>29.03.2021</c:v>
                </c:pt>
                <c:pt idx="248">
                  <c:v>30.03.2021</c:v>
                </c:pt>
                <c:pt idx="249">
                  <c:v>31.03.2021</c:v>
                </c:pt>
                <c:pt idx="250">
                  <c:v>05.04.2021</c:v>
                </c:pt>
                <c:pt idx="251">
                  <c:v>06.04.2021</c:v>
                </c:pt>
                <c:pt idx="252">
                  <c:v>07.04.2021</c:v>
                </c:pt>
                <c:pt idx="253">
                  <c:v>08.04.2021</c:v>
                </c:pt>
                <c:pt idx="254">
                  <c:v>12.04.2021</c:v>
                </c:pt>
                <c:pt idx="255">
                  <c:v>13.04.2021</c:v>
                </c:pt>
                <c:pt idx="256">
                  <c:v>14.04.2021</c:v>
                </c:pt>
                <c:pt idx="257">
                  <c:v>15.04.2021</c:v>
                </c:pt>
                <c:pt idx="258">
                  <c:v>19.04.2021</c:v>
                </c:pt>
                <c:pt idx="259">
                  <c:v>20.04.2021</c:v>
                </c:pt>
                <c:pt idx="260">
                  <c:v>21.04.2021</c:v>
                </c:pt>
                <c:pt idx="261">
                  <c:v>22.04.2021</c:v>
                </c:pt>
                <c:pt idx="262">
                  <c:v>26.04.2021</c:v>
                </c:pt>
                <c:pt idx="263">
                  <c:v>27.04.2021</c:v>
                </c:pt>
                <c:pt idx="264">
                  <c:v>28.04.2021</c:v>
                </c:pt>
                <c:pt idx="265">
                  <c:v>29.04.2021</c:v>
                </c:pt>
                <c:pt idx="266">
                  <c:v>03.05.2021</c:v>
                </c:pt>
                <c:pt idx="267">
                  <c:v>04.05.2021</c:v>
                </c:pt>
                <c:pt idx="268">
                  <c:v>05.05.2021</c:v>
                </c:pt>
                <c:pt idx="269">
                  <c:v>06.05.2021</c:v>
                </c:pt>
                <c:pt idx="270">
                  <c:v>10.05.2021</c:v>
                </c:pt>
                <c:pt idx="271">
                  <c:v>11.05.2021</c:v>
                </c:pt>
                <c:pt idx="272">
                  <c:v>12.05.2021</c:v>
                </c:pt>
                <c:pt idx="273">
                  <c:v>13.05.2021</c:v>
                </c:pt>
                <c:pt idx="274">
                  <c:v>17.05.2021</c:v>
                </c:pt>
                <c:pt idx="275">
                  <c:v>18.05.2021</c:v>
                </c:pt>
                <c:pt idx="276">
                  <c:v>19.05.2021</c:v>
                </c:pt>
                <c:pt idx="277">
                  <c:v>20.05.2021</c:v>
                </c:pt>
                <c:pt idx="278">
                  <c:v>24.05.2021</c:v>
                </c:pt>
                <c:pt idx="279">
                  <c:v>25.05.2021</c:v>
                </c:pt>
                <c:pt idx="280">
                  <c:v>26.05.2021</c:v>
                </c:pt>
                <c:pt idx="281">
                  <c:v>27.05.2021</c:v>
                </c:pt>
                <c:pt idx="282">
                  <c:v>01.06.2021</c:v>
                </c:pt>
                <c:pt idx="283">
                  <c:v>02.06.2021</c:v>
                </c:pt>
                <c:pt idx="284">
                  <c:v>03.06.2021</c:v>
                </c:pt>
                <c:pt idx="285">
                  <c:v>07.06.2021</c:v>
                </c:pt>
                <c:pt idx="286">
                  <c:v>08.06.2021</c:v>
                </c:pt>
                <c:pt idx="287">
                  <c:v>09.06.2021</c:v>
                </c:pt>
                <c:pt idx="288">
                  <c:v>10.06.2021</c:v>
                </c:pt>
                <c:pt idx="289">
                  <c:v>14.06.2021</c:v>
                </c:pt>
                <c:pt idx="290">
                  <c:v>15.06.2021</c:v>
                </c:pt>
                <c:pt idx="291">
                  <c:v>16.06.2021</c:v>
                </c:pt>
                <c:pt idx="292">
                  <c:v>17.06.2021</c:v>
                </c:pt>
                <c:pt idx="293">
                  <c:v>21.06.2021</c:v>
                </c:pt>
                <c:pt idx="294">
                  <c:v>22.06.2021</c:v>
                </c:pt>
                <c:pt idx="295">
                  <c:v>23.06.2021</c:v>
                </c:pt>
                <c:pt idx="296">
                  <c:v>24.06.2021</c:v>
                </c:pt>
                <c:pt idx="297">
                  <c:v>28.06.2021</c:v>
                </c:pt>
                <c:pt idx="298">
                  <c:v>29.06.2021</c:v>
                </c:pt>
                <c:pt idx="299">
                  <c:v>30.06.2021</c:v>
                </c:pt>
                <c:pt idx="300">
                  <c:v>01.07.2021</c:v>
                </c:pt>
                <c:pt idx="301">
                  <c:v>06.07.2021</c:v>
                </c:pt>
                <c:pt idx="302">
                  <c:v>07.07.2021</c:v>
                </c:pt>
                <c:pt idx="303">
                  <c:v>08.07.2021</c:v>
                </c:pt>
                <c:pt idx="304">
                  <c:v>12.07.2021</c:v>
                </c:pt>
                <c:pt idx="305">
                  <c:v>13.07.2021</c:v>
                </c:pt>
                <c:pt idx="306">
                  <c:v>14.07.2021</c:v>
                </c:pt>
                <c:pt idx="307">
                  <c:v>15.07.2021</c:v>
                </c:pt>
                <c:pt idx="308">
                  <c:v>19.07.2021</c:v>
                </c:pt>
                <c:pt idx="309">
                  <c:v>20.07.2021</c:v>
                </c:pt>
                <c:pt idx="310">
                  <c:v>21.07.2021</c:v>
                </c:pt>
                <c:pt idx="311">
                  <c:v>22.07.2021</c:v>
                </c:pt>
                <c:pt idx="312">
                  <c:v>26.07.2021</c:v>
                </c:pt>
                <c:pt idx="313">
                  <c:v>27.07.2021</c:v>
                </c:pt>
                <c:pt idx="314">
                  <c:v>28.07.2021</c:v>
                </c:pt>
                <c:pt idx="315">
                  <c:v>29.07.2021</c:v>
                </c:pt>
                <c:pt idx="316">
                  <c:v>02.08.2021</c:v>
                </c:pt>
                <c:pt idx="317">
                  <c:v>03.08.2021</c:v>
                </c:pt>
                <c:pt idx="318">
                  <c:v>04.08.2021</c:v>
                </c:pt>
                <c:pt idx="319">
                  <c:v>05.08.2021</c:v>
                </c:pt>
                <c:pt idx="320">
                  <c:v>09.08.2021</c:v>
                </c:pt>
                <c:pt idx="321">
                  <c:v>10.08.2021</c:v>
                </c:pt>
                <c:pt idx="322">
                  <c:v>11.08.2021</c:v>
                </c:pt>
                <c:pt idx="323">
                  <c:v>12.08.2021</c:v>
                </c:pt>
                <c:pt idx="324">
                  <c:v>16.08.2021</c:v>
                </c:pt>
                <c:pt idx="325">
                  <c:v>17.08.2021</c:v>
                </c:pt>
                <c:pt idx="326">
                  <c:v>18.08.2021</c:v>
                </c:pt>
                <c:pt idx="327">
                  <c:v>19.08.2021</c:v>
                </c:pt>
                <c:pt idx="328">
                  <c:v>23.08.2021</c:v>
                </c:pt>
                <c:pt idx="329">
                  <c:v>24.08.2021</c:v>
                </c:pt>
                <c:pt idx="330">
                  <c:v>25.08.2021</c:v>
                </c:pt>
                <c:pt idx="331">
                  <c:v>26.08.2021</c:v>
                </c:pt>
                <c:pt idx="332">
                  <c:v>30.08.2021</c:v>
                </c:pt>
                <c:pt idx="333">
                  <c:v>31.08.2021</c:v>
                </c:pt>
                <c:pt idx="334">
                  <c:v>01.09.2021</c:v>
                </c:pt>
                <c:pt idx="335">
                  <c:v>02.09.2021</c:v>
                </c:pt>
                <c:pt idx="336">
                  <c:v>07.09.2021</c:v>
                </c:pt>
                <c:pt idx="337">
                  <c:v>08.09.2021</c:v>
                </c:pt>
                <c:pt idx="338">
                  <c:v>09.09.2021</c:v>
                </c:pt>
                <c:pt idx="339">
                  <c:v>13.09.2021</c:v>
                </c:pt>
                <c:pt idx="340">
                  <c:v>14.09.2021</c:v>
                </c:pt>
                <c:pt idx="341">
                  <c:v>15.09.2021</c:v>
                </c:pt>
                <c:pt idx="342">
                  <c:v>16.09.2021</c:v>
                </c:pt>
                <c:pt idx="343">
                  <c:v>20.09.2021</c:v>
                </c:pt>
                <c:pt idx="344">
                  <c:v>21.09.2021</c:v>
                </c:pt>
                <c:pt idx="345">
                  <c:v>22.09.2021</c:v>
                </c:pt>
                <c:pt idx="346">
                  <c:v>23.09.2021</c:v>
                </c:pt>
                <c:pt idx="347">
                  <c:v>27.09.2021</c:v>
                </c:pt>
                <c:pt idx="348">
                  <c:v>28.09.2021</c:v>
                </c:pt>
                <c:pt idx="349">
                  <c:v>29.09.2021</c:v>
                </c:pt>
                <c:pt idx="350">
                  <c:v>30.09.2021</c:v>
                </c:pt>
                <c:pt idx="351">
                  <c:v>04.10.2021</c:v>
                </c:pt>
                <c:pt idx="352">
                  <c:v>05.10.2021</c:v>
                </c:pt>
                <c:pt idx="353">
                  <c:v>06.10.2021</c:v>
                </c:pt>
                <c:pt idx="354">
                  <c:v>07.10.2021</c:v>
                </c:pt>
                <c:pt idx="355">
                  <c:v>11.10.2021</c:v>
                </c:pt>
                <c:pt idx="356">
                  <c:v>12.10.2021</c:v>
                </c:pt>
                <c:pt idx="357">
                  <c:v>13.10.2021</c:v>
                </c:pt>
                <c:pt idx="358">
                  <c:v>14.10.2021</c:v>
                </c:pt>
                <c:pt idx="359">
                  <c:v>18.10.2021</c:v>
                </c:pt>
                <c:pt idx="360">
                  <c:v>19.10.2021</c:v>
                </c:pt>
                <c:pt idx="361">
                  <c:v>20.10.2021</c:v>
                </c:pt>
                <c:pt idx="362">
                  <c:v>21.10.2021</c:v>
                </c:pt>
                <c:pt idx="363">
                  <c:v>25.10.2021</c:v>
                </c:pt>
                <c:pt idx="364">
                  <c:v>26.10.2021</c:v>
                </c:pt>
                <c:pt idx="365">
                  <c:v>27.10.2021</c:v>
                </c:pt>
                <c:pt idx="366">
                  <c:v>28.10.2021</c:v>
                </c:pt>
                <c:pt idx="367">
                  <c:v>01.11.2021</c:v>
                </c:pt>
                <c:pt idx="368">
                  <c:v>02.11.2021</c:v>
                </c:pt>
                <c:pt idx="369">
                  <c:v>03.11.2021</c:v>
                </c:pt>
                <c:pt idx="370">
                  <c:v>04.11.2021</c:v>
                </c:pt>
                <c:pt idx="371">
                  <c:v>08.11.2021</c:v>
                </c:pt>
                <c:pt idx="372">
                  <c:v>09.11.2021</c:v>
                </c:pt>
                <c:pt idx="373">
                  <c:v>10.11.2021</c:v>
                </c:pt>
                <c:pt idx="374">
                  <c:v>11.11.2021</c:v>
                </c:pt>
                <c:pt idx="375">
                  <c:v>15.11.2021</c:v>
                </c:pt>
                <c:pt idx="376">
                  <c:v>16.11.2021</c:v>
                </c:pt>
                <c:pt idx="377">
                  <c:v>17.11.2021</c:v>
                </c:pt>
                <c:pt idx="378">
                  <c:v>18.11.2021</c:v>
                </c:pt>
                <c:pt idx="379">
                  <c:v>22.11.2021</c:v>
                </c:pt>
                <c:pt idx="380">
                  <c:v>23.11.2021</c:v>
                </c:pt>
                <c:pt idx="381">
                  <c:v>24.11.2021</c:v>
                </c:pt>
                <c:pt idx="382">
                  <c:v>29.11.2021</c:v>
                </c:pt>
                <c:pt idx="383">
                  <c:v>30.11.2021</c:v>
                </c:pt>
                <c:pt idx="384">
                  <c:v>01.12.2021</c:v>
                </c:pt>
                <c:pt idx="385">
                  <c:v>02.12.2021</c:v>
                </c:pt>
                <c:pt idx="386">
                  <c:v>06.12.2021</c:v>
                </c:pt>
                <c:pt idx="387">
                  <c:v>07.12.2021</c:v>
                </c:pt>
                <c:pt idx="388">
                  <c:v>08.12.2021</c:v>
                </c:pt>
                <c:pt idx="389">
                  <c:v>09.12.2021</c:v>
                </c:pt>
                <c:pt idx="390">
                  <c:v>13.12.2021</c:v>
                </c:pt>
                <c:pt idx="391">
                  <c:v>14.12.2021</c:v>
                </c:pt>
                <c:pt idx="392">
                  <c:v>15.12.2021</c:v>
                </c:pt>
                <c:pt idx="393">
                  <c:v>16.12.2021</c:v>
                </c:pt>
                <c:pt idx="394">
                  <c:v>20.12.2021</c:v>
                </c:pt>
                <c:pt idx="395">
                  <c:v>21.12.2021</c:v>
                </c:pt>
                <c:pt idx="396">
                  <c:v>22.12.2021</c:v>
                </c:pt>
                <c:pt idx="397">
                  <c:v>27.12.2021</c:v>
                </c:pt>
                <c:pt idx="398">
                  <c:v>28.12.2021</c:v>
                </c:pt>
                <c:pt idx="399">
                  <c:v>29.12.2021</c:v>
                </c:pt>
                <c:pt idx="400">
                  <c:v>30.12.2021</c:v>
                </c:pt>
                <c:pt idx="401">
                  <c:v>03.01.2022</c:v>
                </c:pt>
                <c:pt idx="402">
                  <c:v>04.01.2022</c:v>
                </c:pt>
                <c:pt idx="403">
                  <c:v>05.01.2022</c:v>
                </c:pt>
                <c:pt idx="404">
                  <c:v>06.01.2022</c:v>
                </c:pt>
                <c:pt idx="405">
                  <c:v>10.01.2022</c:v>
                </c:pt>
                <c:pt idx="406">
                  <c:v>11.01.2022</c:v>
                </c:pt>
                <c:pt idx="407">
                  <c:v>12.01.2022</c:v>
                </c:pt>
                <c:pt idx="408">
                  <c:v>13.01.2022</c:v>
                </c:pt>
                <c:pt idx="409">
                  <c:v>18.01.2022</c:v>
                </c:pt>
                <c:pt idx="410">
                  <c:v>19.01.2022</c:v>
                </c:pt>
                <c:pt idx="411">
                  <c:v>20.01.2022</c:v>
                </c:pt>
                <c:pt idx="412">
                  <c:v>24.01.2022</c:v>
                </c:pt>
                <c:pt idx="413">
                  <c:v>25.01.2022</c:v>
                </c:pt>
                <c:pt idx="414">
                  <c:v>26.01.2022</c:v>
                </c:pt>
                <c:pt idx="415">
                  <c:v>27.01.2022</c:v>
                </c:pt>
                <c:pt idx="416">
                  <c:v>31.01.2022</c:v>
                </c:pt>
                <c:pt idx="417">
                  <c:v>01.02.2022</c:v>
                </c:pt>
                <c:pt idx="418">
                  <c:v>02.02.2022</c:v>
                </c:pt>
                <c:pt idx="419">
                  <c:v>03.02.2022</c:v>
                </c:pt>
                <c:pt idx="420">
                  <c:v>07.02.2022</c:v>
                </c:pt>
                <c:pt idx="421">
                  <c:v>08.02.2022</c:v>
                </c:pt>
                <c:pt idx="422">
                  <c:v>09.02.2022</c:v>
                </c:pt>
                <c:pt idx="423">
                  <c:v>10.02.2022</c:v>
                </c:pt>
                <c:pt idx="424">
                  <c:v>14.02.2022</c:v>
                </c:pt>
                <c:pt idx="425">
                  <c:v>15.02.2022</c:v>
                </c:pt>
                <c:pt idx="426">
                  <c:v>16.02.2022</c:v>
                </c:pt>
                <c:pt idx="427">
                  <c:v>17.02.2022</c:v>
                </c:pt>
                <c:pt idx="428">
                  <c:v>22.02.2022</c:v>
                </c:pt>
                <c:pt idx="429">
                  <c:v>23.02.2022</c:v>
                </c:pt>
                <c:pt idx="430">
                  <c:v>24.02.2022</c:v>
                </c:pt>
                <c:pt idx="431">
                  <c:v>28.02.2022</c:v>
                </c:pt>
                <c:pt idx="432">
                  <c:v>01.03.2022</c:v>
                </c:pt>
                <c:pt idx="433">
                  <c:v>02.03.2022</c:v>
                </c:pt>
                <c:pt idx="434">
                  <c:v>03.03.2022</c:v>
                </c:pt>
                <c:pt idx="435">
                  <c:v>07.03.2022</c:v>
                </c:pt>
                <c:pt idx="436">
                  <c:v>08.03.2022</c:v>
                </c:pt>
                <c:pt idx="437">
                  <c:v>09.03.2022</c:v>
                </c:pt>
                <c:pt idx="438">
                  <c:v>10.03.2022</c:v>
                </c:pt>
                <c:pt idx="439">
                  <c:v>14.03.2022</c:v>
                </c:pt>
                <c:pt idx="440">
                  <c:v>15.03.2022</c:v>
                </c:pt>
                <c:pt idx="441">
                  <c:v>16.03.2022</c:v>
                </c:pt>
                <c:pt idx="442">
                  <c:v>17.03.2022</c:v>
                </c:pt>
                <c:pt idx="443">
                  <c:v>21.03.2022</c:v>
                </c:pt>
                <c:pt idx="444">
                  <c:v>22.03.2022</c:v>
                </c:pt>
                <c:pt idx="445">
                  <c:v>23.03.2022</c:v>
                </c:pt>
                <c:pt idx="446">
                  <c:v>24.03.2022</c:v>
                </c:pt>
                <c:pt idx="447">
                  <c:v>28.03.2022</c:v>
                </c:pt>
                <c:pt idx="448">
                  <c:v>29.03.2022</c:v>
                </c:pt>
                <c:pt idx="449">
                  <c:v>30.03.2022</c:v>
                </c:pt>
                <c:pt idx="450">
                  <c:v>31.03.2022</c:v>
                </c:pt>
                <c:pt idx="451">
                  <c:v>04.04.2022</c:v>
                </c:pt>
                <c:pt idx="452">
                  <c:v>05.04.2022</c:v>
                </c:pt>
                <c:pt idx="453">
                  <c:v>06.04.2022</c:v>
                </c:pt>
                <c:pt idx="454">
                  <c:v>07.04.2022</c:v>
                </c:pt>
                <c:pt idx="455">
                  <c:v>11.04.2022</c:v>
                </c:pt>
                <c:pt idx="456">
                  <c:v>12.04.2022</c:v>
                </c:pt>
                <c:pt idx="457">
                  <c:v>13.04.2022</c:v>
                </c:pt>
                <c:pt idx="458">
                  <c:v>18.04.2022</c:v>
                </c:pt>
                <c:pt idx="459">
                  <c:v>19.04.2022</c:v>
                </c:pt>
                <c:pt idx="460">
                  <c:v>20.04.2022</c:v>
                </c:pt>
                <c:pt idx="461">
                  <c:v>21.04.2022</c:v>
                </c:pt>
                <c:pt idx="462">
                  <c:v>25.04.2022</c:v>
                </c:pt>
                <c:pt idx="463">
                  <c:v>26.04.2022</c:v>
                </c:pt>
                <c:pt idx="464">
                  <c:v>27.04.2022</c:v>
                </c:pt>
                <c:pt idx="465">
                  <c:v>28.04.2022</c:v>
                </c:pt>
                <c:pt idx="466">
                  <c:v>02.05.2022</c:v>
                </c:pt>
                <c:pt idx="467">
                  <c:v>03.05.2022</c:v>
                </c:pt>
                <c:pt idx="468">
                  <c:v>04.05.2022</c:v>
                </c:pt>
                <c:pt idx="469">
                  <c:v>05.05.2022</c:v>
                </c:pt>
                <c:pt idx="470">
                  <c:v>09.05.2022</c:v>
                </c:pt>
                <c:pt idx="471">
                  <c:v>10.05.2022</c:v>
                </c:pt>
                <c:pt idx="472">
                  <c:v>11.05.2022</c:v>
                </c:pt>
                <c:pt idx="473">
                  <c:v>12.05.2022</c:v>
                </c:pt>
                <c:pt idx="474">
                  <c:v>16.05.2022</c:v>
                </c:pt>
                <c:pt idx="475">
                  <c:v>17.05.2022</c:v>
                </c:pt>
                <c:pt idx="476">
                  <c:v>18.05.2022</c:v>
                </c:pt>
                <c:pt idx="477">
                  <c:v>19.05.2022</c:v>
                </c:pt>
                <c:pt idx="478">
                  <c:v>23.05.2022</c:v>
                </c:pt>
                <c:pt idx="479">
                  <c:v>24.05.2022</c:v>
                </c:pt>
                <c:pt idx="480">
                  <c:v>25.05.2022</c:v>
                </c:pt>
                <c:pt idx="481">
                  <c:v>26.05.2022</c:v>
                </c:pt>
                <c:pt idx="482">
                  <c:v>31.05.2022</c:v>
                </c:pt>
                <c:pt idx="483">
                  <c:v>01.06.2022</c:v>
                </c:pt>
                <c:pt idx="484">
                  <c:v>02.06.2022</c:v>
                </c:pt>
                <c:pt idx="485">
                  <c:v>06.06.2022</c:v>
                </c:pt>
                <c:pt idx="486">
                  <c:v>07.06.2022</c:v>
                </c:pt>
                <c:pt idx="487">
                  <c:v>08.06.2022</c:v>
                </c:pt>
                <c:pt idx="488">
                  <c:v>09.06.2022</c:v>
                </c:pt>
                <c:pt idx="489">
                  <c:v>13.06.2022</c:v>
                </c:pt>
                <c:pt idx="490">
                  <c:v>14.06.2022</c:v>
                </c:pt>
                <c:pt idx="491">
                  <c:v>15.06.2022</c:v>
                </c:pt>
                <c:pt idx="492">
                  <c:v>16.06.2022</c:v>
                </c:pt>
                <c:pt idx="493">
                  <c:v>21.06.2022</c:v>
                </c:pt>
                <c:pt idx="494">
                  <c:v>22.06.2022</c:v>
                </c:pt>
                <c:pt idx="495">
                  <c:v>23.06.2022</c:v>
                </c:pt>
                <c:pt idx="496">
                  <c:v>27.06.2022</c:v>
                </c:pt>
                <c:pt idx="497">
                  <c:v>28.06.2022</c:v>
                </c:pt>
                <c:pt idx="498">
                  <c:v>29.06.2022</c:v>
                </c:pt>
                <c:pt idx="499">
                  <c:v>30.06.2022</c:v>
                </c:pt>
                <c:pt idx="500">
                  <c:v>05.07.2022</c:v>
                </c:pt>
                <c:pt idx="501">
                  <c:v>06.07.2022</c:v>
                </c:pt>
                <c:pt idx="502">
                  <c:v>07.07.2022</c:v>
                </c:pt>
                <c:pt idx="503">
                  <c:v>11.07.2022</c:v>
                </c:pt>
                <c:pt idx="504">
                  <c:v>12.07.2022</c:v>
                </c:pt>
                <c:pt idx="505">
                  <c:v>13.07.2022</c:v>
                </c:pt>
                <c:pt idx="506">
                  <c:v>14.07.2022</c:v>
                </c:pt>
                <c:pt idx="507">
                  <c:v>18.07.2022</c:v>
                </c:pt>
                <c:pt idx="508">
                  <c:v>19.07.2022</c:v>
                </c:pt>
                <c:pt idx="509">
                  <c:v>20.07.2022</c:v>
                </c:pt>
                <c:pt idx="510">
                  <c:v>21.07.2022</c:v>
                </c:pt>
                <c:pt idx="511">
                  <c:v>25.07.2022</c:v>
                </c:pt>
                <c:pt idx="512">
                  <c:v>26.07.2022</c:v>
                </c:pt>
                <c:pt idx="513">
                  <c:v>27.07.2022</c:v>
                </c:pt>
                <c:pt idx="514">
                  <c:v>28.07.2022</c:v>
                </c:pt>
                <c:pt idx="515">
                  <c:v>01.08.2022</c:v>
                </c:pt>
                <c:pt idx="516">
                  <c:v>02.08.2022</c:v>
                </c:pt>
                <c:pt idx="517">
                  <c:v>03.08.2022</c:v>
                </c:pt>
                <c:pt idx="518">
                  <c:v>04.08.2022</c:v>
                </c:pt>
                <c:pt idx="519">
                  <c:v>08.08.2022</c:v>
                </c:pt>
                <c:pt idx="520">
                  <c:v>09.08.2022</c:v>
                </c:pt>
                <c:pt idx="521">
                  <c:v>10.08.2022</c:v>
                </c:pt>
                <c:pt idx="522">
                  <c:v>11.08.2022</c:v>
                </c:pt>
                <c:pt idx="523">
                  <c:v>15.08.2022</c:v>
                </c:pt>
                <c:pt idx="524">
                  <c:v>16.08.2022</c:v>
                </c:pt>
                <c:pt idx="525">
                  <c:v>17.08.2022</c:v>
                </c:pt>
                <c:pt idx="526">
                  <c:v>18.08.2022</c:v>
                </c:pt>
                <c:pt idx="527">
                  <c:v>22.08.2022</c:v>
                </c:pt>
                <c:pt idx="528">
                  <c:v>23.08.2022</c:v>
                </c:pt>
                <c:pt idx="529">
                  <c:v>24.08.2022</c:v>
                </c:pt>
                <c:pt idx="530">
                  <c:v>25.08.2022</c:v>
                </c:pt>
                <c:pt idx="531">
                  <c:v>29.08.2022</c:v>
                </c:pt>
                <c:pt idx="532">
                  <c:v>30.08.2022</c:v>
                </c:pt>
                <c:pt idx="533">
                  <c:v>31.08.2022</c:v>
                </c:pt>
                <c:pt idx="534">
                  <c:v>01.09.2022</c:v>
                </c:pt>
                <c:pt idx="535">
                  <c:v>06.09.2022</c:v>
                </c:pt>
                <c:pt idx="536">
                  <c:v>07.09.2022</c:v>
                </c:pt>
                <c:pt idx="537">
                  <c:v>08.09.2022</c:v>
                </c:pt>
                <c:pt idx="538">
                  <c:v>12.09.2022</c:v>
                </c:pt>
                <c:pt idx="539">
                  <c:v>13.09.2022</c:v>
                </c:pt>
                <c:pt idx="540">
                  <c:v>14.09.2022</c:v>
                </c:pt>
                <c:pt idx="541">
                  <c:v>15.09.2022</c:v>
                </c:pt>
                <c:pt idx="542">
                  <c:v>19.09.2022</c:v>
                </c:pt>
                <c:pt idx="543">
                  <c:v>20.09.2022</c:v>
                </c:pt>
                <c:pt idx="544">
                  <c:v>21.09.2022</c:v>
                </c:pt>
                <c:pt idx="545">
                  <c:v>22.09.2022</c:v>
                </c:pt>
                <c:pt idx="546">
                  <c:v>26.09.2022</c:v>
                </c:pt>
                <c:pt idx="547">
                  <c:v>27.09.2022</c:v>
                </c:pt>
                <c:pt idx="548">
                  <c:v>28.09.2022</c:v>
                </c:pt>
                <c:pt idx="549">
                  <c:v>29.09.2022</c:v>
                </c:pt>
                <c:pt idx="550">
                  <c:v>03.10.2022</c:v>
                </c:pt>
                <c:pt idx="551">
                  <c:v>04.10.2022</c:v>
                </c:pt>
                <c:pt idx="552">
                  <c:v>05.10.2022</c:v>
                </c:pt>
                <c:pt idx="553">
                  <c:v>06.10.2022</c:v>
                </c:pt>
                <c:pt idx="554">
                  <c:v>10.10.2022</c:v>
                </c:pt>
                <c:pt idx="555">
                  <c:v>11.10.2022</c:v>
                </c:pt>
                <c:pt idx="556">
                  <c:v>12.10.2022</c:v>
                </c:pt>
                <c:pt idx="557">
                  <c:v>13.10.2022</c:v>
                </c:pt>
                <c:pt idx="558">
                  <c:v>17.10.2022</c:v>
                </c:pt>
                <c:pt idx="559">
                  <c:v>18.10.2022</c:v>
                </c:pt>
                <c:pt idx="560">
                  <c:v>19.10.2022</c:v>
                </c:pt>
                <c:pt idx="561">
                  <c:v>20.10.2022</c:v>
                </c:pt>
                <c:pt idx="562">
                  <c:v>24.10.2022</c:v>
                </c:pt>
                <c:pt idx="563">
                  <c:v>25.10.2022</c:v>
                </c:pt>
                <c:pt idx="564">
                  <c:v>26.10.2022</c:v>
                </c:pt>
                <c:pt idx="565">
                  <c:v>27.10.2022</c:v>
                </c:pt>
                <c:pt idx="566">
                  <c:v>31.10.2022</c:v>
                </c:pt>
                <c:pt idx="567">
                  <c:v>01.11.2022</c:v>
                </c:pt>
                <c:pt idx="568">
                  <c:v>02.11.2022</c:v>
                </c:pt>
                <c:pt idx="569">
                  <c:v>03.11.2022</c:v>
                </c:pt>
                <c:pt idx="570">
                  <c:v>07.11.2022</c:v>
                </c:pt>
                <c:pt idx="571">
                  <c:v>08.11.2022</c:v>
                </c:pt>
                <c:pt idx="572">
                  <c:v>09.11.2022</c:v>
                </c:pt>
                <c:pt idx="573">
                  <c:v>10.11.2022</c:v>
                </c:pt>
                <c:pt idx="574">
                  <c:v>14.11.2022</c:v>
                </c:pt>
                <c:pt idx="575">
                  <c:v>15.11.2022</c:v>
                </c:pt>
                <c:pt idx="576">
                  <c:v>16.11.2022</c:v>
                </c:pt>
                <c:pt idx="577">
                  <c:v>17.11.2022</c:v>
                </c:pt>
                <c:pt idx="578">
                  <c:v>21.11.2022</c:v>
                </c:pt>
                <c:pt idx="579">
                  <c:v>22.11.2022</c:v>
                </c:pt>
                <c:pt idx="580">
                  <c:v>23.11.2022</c:v>
                </c:pt>
                <c:pt idx="581">
                  <c:v>28.11.2022</c:v>
                </c:pt>
                <c:pt idx="582">
                  <c:v>29.11.2022</c:v>
                </c:pt>
                <c:pt idx="583">
                  <c:v>30.11.2022</c:v>
                </c:pt>
                <c:pt idx="584">
                  <c:v>01.12.2022</c:v>
                </c:pt>
                <c:pt idx="585">
                  <c:v>05.12.2022</c:v>
                </c:pt>
                <c:pt idx="586">
                  <c:v>06.12.2022</c:v>
                </c:pt>
                <c:pt idx="587">
                  <c:v>07.12.2022</c:v>
                </c:pt>
                <c:pt idx="588">
                  <c:v>08.12.2022</c:v>
                </c:pt>
                <c:pt idx="589">
                  <c:v>12.12.2022</c:v>
                </c:pt>
                <c:pt idx="590">
                  <c:v>13.12.2022</c:v>
                </c:pt>
                <c:pt idx="591">
                  <c:v>14.12.2022</c:v>
                </c:pt>
                <c:pt idx="592">
                  <c:v>15.12.2022</c:v>
                </c:pt>
                <c:pt idx="593">
                  <c:v>19.12.2022</c:v>
                </c:pt>
                <c:pt idx="594">
                  <c:v>20.12.2022</c:v>
                </c:pt>
                <c:pt idx="595">
                  <c:v>21.12.2022</c:v>
                </c:pt>
                <c:pt idx="596">
                  <c:v>22.12.2022</c:v>
                </c:pt>
                <c:pt idx="597">
                  <c:v>27.12.2022</c:v>
                </c:pt>
                <c:pt idx="598">
                  <c:v>28.12.2022</c:v>
                </c:pt>
                <c:pt idx="599">
                  <c:v>29.12.2022</c:v>
                </c:pt>
                <c:pt idx="600">
                  <c:v>03.01.2023</c:v>
                </c:pt>
                <c:pt idx="601">
                  <c:v>04.01.2023</c:v>
                </c:pt>
                <c:pt idx="602">
                  <c:v>05.01.2023</c:v>
                </c:pt>
                <c:pt idx="603">
                  <c:v>09.01.2023</c:v>
                </c:pt>
                <c:pt idx="604">
                  <c:v>10.01.2023</c:v>
                </c:pt>
                <c:pt idx="605">
                  <c:v>11.01.2023</c:v>
                </c:pt>
                <c:pt idx="606">
                  <c:v>12.01.2023</c:v>
                </c:pt>
                <c:pt idx="607">
                  <c:v>17.01.2023</c:v>
                </c:pt>
                <c:pt idx="608">
                  <c:v>18.01.2023</c:v>
                </c:pt>
                <c:pt idx="609">
                  <c:v>19.01.2023</c:v>
                </c:pt>
                <c:pt idx="610">
                  <c:v>23.01.2023</c:v>
                </c:pt>
                <c:pt idx="611">
                  <c:v>24.01.2023</c:v>
                </c:pt>
                <c:pt idx="612">
                  <c:v>25.01.2023</c:v>
                </c:pt>
                <c:pt idx="613">
                  <c:v>26.01.2023</c:v>
                </c:pt>
                <c:pt idx="614">
                  <c:v>30.01.2023</c:v>
                </c:pt>
                <c:pt idx="615">
                  <c:v>31.01.2023</c:v>
                </c:pt>
                <c:pt idx="616">
                  <c:v>01.02.2023</c:v>
                </c:pt>
                <c:pt idx="617">
                  <c:v>02.02.2023</c:v>
                </c:pt>
                <c:pt idx="618">
                  <c:v>06.02.2023</c:v>
                </c:pt>
                <c:pt idx="619">
                  <c:v>07.02.2023</c:v>
                </c:pt>
                <c:pt idx="620">
                  <c:v>08.02.2023</c:v>
                </c:pt>
                <c:pt idx="621">
                  <c:v>09.02.2023</c:v>
                </c:pt>
                <c:pt idx="622">
                  <c:v>13.02.2023</c:v>
                </c:pt>
                <c:pt idx="623">
                  <c:v>14.02.2023</c:v>
                </c:pt>
                <c:pt idx="624">
                  <c:v>15.02.2023</c:v>
                </c:pt>
                <c:pt idx="625">
                  <c:v>16.02.2023</c:v>
                </c:pt>
                <c:pt idx="626">
                  <c:v>21.02.2023</c:v>
                </c:pt>
                <c:pt idx="627">
                  <c:v>22.02.2023</c:v>
                </c:pt>
                <c:pt idx="628">
                  <c:v>23.02.2023</c:v>
                </c:pt>
                <c:pt idx="629">
                  <c:v>27.02.2023</c:v>
                </c:pt>
                <c:pt idx="630">
                  <c:v>28.02.2023</c:v>
                </c:pt>
                <c:pt idx="631">
                  <c:v>01.03.2023</c:v>
                </c:pt>
                <c:pt idx="632">
                  <c:v>02.03.2023</c:v>
                </c:pt>
                <c:pt idx="633">
                  <c:v>06.03.2023</c:v>
                </c:pt>
                <c:pt idx="634">
                  <c:v>07.03.2023</c:v>
                </c:pt>
                <c:pt idx="635">
                  <c:v>08.03.2023</c:v>
                </c:pt>
                <c:pt idx="636">
                  <c:v>09.03.2023</c:v>
                </c:pt>
                <c:pt idx="637">
                  <c:v>13.03.2023</c:v>
                </c:pt>
                <c:pt idx="638">
                  <c:v>14.03.2023</c:v>
                </c:pt>
                <c:pt idx="639">
                  <c:v>15.03.2023</c:v>
                </c:pt>
                <c:pt idx="640">
                  <c:v>16.03.2023</c:v>
                </c:pt>
                <c:pt idx="641">
                  <c:v>20.03.2023</c:v>
                </c:pt>
                <c:pt idx="642">
                  <c:v>21.03.2023</c:v>
                </c:pt>
                <c:pt idx="643">
                  <c:v>22.03.2023</c:v>
                </c:pt>
                <c:pt idx="644">
                  <c:v>23.03.2023</c:v>
                </c:pt>
                <c:pt idx="645">
                  <c:v>27.03.2023</c:v>
                </c:pt>
                <c:pt idx="646">
                  <c:v>28.03.2023</c:v>
                </c:pt>
                <c:pt idx="647">
                  <c:v>29.03.2023</c:v>
                </c:pt>
                <c:pt idx="648">
                  <c:v>30.03.2023</c:v>
                </c:pt>
                <c:pt idx="649">
                  <c:v>03.04.2023</c:v>
                </c:pt>
                <c:pt idx="650">
                  <c:v>04.04.2023</c:v>
                </c:pt>
                <c:pt idx="651">
                  <c:v>05.04.2023</c:v>
                </c:pt>
                <c:pt idx="652">
                  <c:v>10.04.2023</c:v>
                </c:pt>
                <c:pt idx="653">
                  <c:v>11.04.2023</c:v>
                </c:pt>
                <c:pt idx="654">
                  <c:v>12.04.2023</c:v>
                </c:pt>
                <c:pt idx="655">
                  <c:v>13.04.2023</c:v>
                </c:pt>
                <c:pt idx="656">
                  <c:v>17.04.2023</c:v>
                </c:pt>
                <c:pt idx="657">
                  <c:v>18.04.2023</c:v>
                </c:pt>
                <c:pt idx="658">
                  <c:v>19.04.2023</c:v>
                </c:pt>
                <c:pt idx="659">
                  <c:v>20.04.2023</c:v>
                </c:pt>
                <c:pt idx="660">
                  <c:v>24.04.2023</c:v>
                </c:pt>
                <c:pt idx="661">
                  <c:v>25.04.2023</c:v>
                </c:pt>
                <c:pt idx="662">
                  <c:v>26.04.2023</c:v>
                </c:pt>
                <c:pt idx="663">
                  <c:v>27.04.2023</c:v>
                </c:pt>
                <c:pt idx="664">
                  <c:v>01.05.2023</c:v>
                </c:pt>
                <c:pt idx="665">
                  <c:v>02.05.2023</c:v>
                </c:pt>
                <c:pt idx="666">
                  <c:v>03.05.2023</c:v>
                </c:pt>
                <c:pt idx="667">
                  <c:v>04.05.2023</c:v>
                </c:pt>
                <c:pt idx="668">
                  <c:v>08.05.2023</c:v>
                </c:pt>
                <c:pt idx="669">
                  <c:v>09.05.2023</c:v>
                </c:pt>
                <c:pt idx="670">
                  <c:v>10.05.2023</c:v>
                </c:pt>
                <c:pt idx="671">
                  <c:v>11.05.2023</c:v>
                </c:pt>
                <c:pt idx="672">
                  <c:v>15.05.2023</c:v>
                </c:pt>
                <c:pt idx="673">
                  <c:v>16.05.2023</c:v>
                </c:pt>
                <c:pt idx="674">
                  <c:v>17.05.2023</c:v>
                </c:pt>
                <c:pt idx="675">
                  <c:v>18.05.2023</c:v>
                </c:pt>
                <c:pt idx="676">
                  <c:v>22.05.2023</c:v>
                </c:pt>
                <c:pt idx="677">
                  <c:v>23.05.2023</c:v>
                </c:pt>
                <c:pt idx="678">
                  <c:v>24.05.2023</c:v>
                </c:pt>
                <c:pt idx="679">
                  <c:v>25.05.2023</c:v>
                </c:pt>
                <c:pt idx="680">
                  <c:v>30.05.2023</c:v>
                </c:pt>
                <c:pt idx="681">
                  <c:v>31.05.2023</c:v>
                </c:pt>
                <c:pt idx="682">
                  <c:v>01.06.2023</c:v>
                </c:pt>
                <c:pt idx="683">
                  <c:v>05.06.2023</c:v>
                </c:pt>
                <c:pt idx="684">
                  <c:v>06.06.2023</c:v>
                </c:pt>
                <c:pt idx="685">
                  <c:v>07.06.2023</c:v>
                </c:pt>
                <c:pt idx="686">
                  <c:v>08.06.2023</c:v>
                </c:pt>
                <c:pt idx="687">
                  <c:v>12.06.2023</c:v>
                </c:pt>
                <c:pt idx="688">
                  <c:v>13.06.2023</c:v>
                </c:pt>
                <c:pt idx="689">
                  <c:v>14.06.2023</c:v>
                </c:pt>
                <c:pt idx="690">
                  <c:v>15.06.2023</c:v>
                </c:pt>
                <c:pt idx="691">
                  <c:v>20.06.2023</c:v>
                </c:pt>
                <c:pt idx="692">
                  <c:v>21.06.2023</c:v>
                </c:pt>
                <c:pt idx="693">
                  <c:v>22.06.2023</c:v>
                </c:pt>
                <c:pt idx="694">
                  <c:v>26.06.2023</c:v>
                </c:pt>
                <c:pt idx="695">
                  <c:v>27.06.2023</c:v>
                </c:pt>
                <c:pt idx="696">
                  <c:v>28.06.2023</c:v>
                </c:pt>
                <c:pt idx="697">
                  <c:v>29.06.2023</c:v>
                </c:pt>
                <c:pt idx="698">
                  <c:v>03.07.2023</c:v>
                </c:pt>
                <c:pt idx="699">
                  <c:v>05.07.2023</c:v>
                </c:pt>
                <c:pt idx="700">
                  <c:v>06.07.2023</c:v>
                </c:pt>
                <c:pt idx="701">
                  <c:v>10.07.2023</c:v>
                </c:pt>
                <c:pt idx="702">
                  <c:v>11.07.2023</c:v>
                </c:pt>
                <c:pt idx="703">
                  <c:v>12.07.2023</c:v>
                </c:pt>
                <c:pt idx="704">
                  <c:v>13.07.2023</c:v>
                </c:pt>
                <c:pt idx="705">
                  <c:v>17.07.2023</c:v>
                </c:pt>
                <c:pt idx="706">
                  <c:v>18.07.2023</c:v>
                </c:pt>
                <c:pt idx="707">
                  <c:v>19.07.2023</c:v>
                </c:pt>
                <c:pt idx="708">
                  <c:v>20.07.2023</c:v>
                </c:pt>
                <c:pt idx="709">
                  <c:v>24.07.2023</c:v>
                </c:pt>
                <c:pt idx="710">
                  <c:v>25.07.2023</c:v>
                </c:pt>
                <c:pt idx="711">
                  <c:v>26.07.2023</c:v>
                </c:pt>
                <c:pt idx="712">
                  <c:v>27.07.2023</c:v>
                </c:pt>
                <c:pt idx="713">
                  <c:v>31.07.2023</c:v>
                </c:pt>
                <c:pt idx="714">
                  <c:v>01.08.2023</c:v>
                </c:pt>
                <c:pt idx="715">
                  <c:v>02.08.2023</c:v>
                </c:pt>
                <c:pt idx="716">
                  <c:v>03.08.2023</c:v>
                </c:pt>
                <c:pt idx="717">
                  <c:v>07.08.2023</c:v>
                </c:pt>
                <c:pt idx="718">
                  <c:v>08.08.2023</c:v>
                </c:pt>
                <c:pt idx="719">
                  <c:v>09.08.2023</c:v>
                </c:pt>
                <c:pt idx="720">
                  <c:v>10.08.2023</c:v>
                </c:pt>
                <c:pt idx="721">
                  <c:v>14.08.2023</c:v>
                </c:pt>
                <c:pt idx="722">
                  <c:v>15.08.2023</c:v>
                </c:pt>
                <c:pt idx="723">
                  <c:v>16.08.2023</c:v>
                </c:pt>
                <c:pt idx="724">
                  <c:v>17.08.2023</c:v>
                </c:pt>
                <c:pt idx="725">
                  <c:v>21.08.2023</c:v>
                </c:pt>
                <c:pt idx="726">
                  <c:v>22.08.2023</c:v>
                </c:pt>
                <c:pt idx="727">
                  <c:v>23.08.2023</c:v>
                </c:pt>
                <c:pt idx="728">
                  <c:v>24.08.2023</c:v>
                </c:pt>
                <c:pt idx="729">
                  <c:v>28.08.2023</c:v>
                </c:pt>
                <c:pt idx="730">
                  <c:v>29.08.2023</c:v>
                </c:pt>
                <c:pt idx="731">
                  <c:v>30.08.2023</c:v>
                </c:pt>
                <c:pt idx="732">
                  <c:v>31.08.2023</c:v>
                </c:pt>
                <c:pt idx="733">
                  <c:v>05.09.2023</c:v>
                </c:pt>
                <c:pt idx="734">
                  <c:v>06.09.2023</c:v>
                </c:pt>
                <c:pt idx="735">
                  <c:v>07.09.2023</c:v>
                </c:pt>
                <c:pt idx="736">
                  <c:v>11.09.2023</c:v>
                </c:pt>
                <c:pt idx="737">
                  <c:v>12.09.2023</c:v>
                </c:pt>
                <c:pt idx="738">
                  <c:v>13.09.2023</c:v>
                </c:pt>
                <c:pt idx="739">
                  <c:v>14.09.2023</c:v>
                </c:pt>
                <c:pt idx="740">
                  <c:v>18.09.2023</c:v>
                </c:pt>
                <c:pt idx="741">
                  <c:v>19.09.2023</c:v>
                </c:pt>
                <c:pt idx="742">
                  <c:v>20.09.2023</c:v>
                </c:pt>
                <c:pt idx="743">
                  <c:v>21.09.2023</c:v>
                </c:pt>
                <c:pt idx="744">
                  <c:v>25.09.2023</c:v>
                </c:pt>
                <c:pt idx="745">
                  <c:v>26.09.2023</c:v>
                </c:pt>
                <c:pt idx="746">
                  <c:v>27.09.2023</c:v>
                </c:pt>
                <c:pt idx="747">
                  <c:v>28.09.2023</c:v>
                </c:pt>
                <c:pt idx="748">
                  <c:v>02.10.2023</c:v>
                </c:pt>
                <c:pt idx="749">
                  <c:v>03.10.2023</c:v>
                </c:pt>
                <c:pt idx="750">
                  <c:v>04.10.2023</c:v>
                </c:pt>
                <c:pt idx="751">
                  <c:v>05.10.2023</c:v>
                </c:pt>
                <c:pt idx="752">
                  <c:v>09.10.2023</c:v>
                </c:pt>
                <c:pt idx="753">
                  <c:v>10.10.2023</c:v>
                </c:pt>
                <c:pt idx="754">
                  <c:v>11.10.2023</c:v>
                </c:pt>
                <c:pt idx="755">
                  <c:v>12.10.2023</c:v>
                </c:pt>
                <c:pt idx="756">
                  <c:v>16.10.2023</c:v>
                </c:pt>
                <c:pt idx="757">
                  <c:v>17.10.2023</c:v>
                </c:pt>
                <c:pt idx="758">
                  <c:v>18.10.2023</c:v>
                </c:pt>
                <c:pt idx="759">
                  <c:v>19.10.2023</c:v>
                </c:pt>
                <c:pt idx="760">
                  <c:v>23.10.2023</c:v>
                </c:pt>
                <c:pt idx="761">
                  <c:v>24.10.2023</c:v>
                </c:pt>
                <c:pt idx="762">
                  <c:v>25.10.2023</c:v>
                </c:pt>
                <c:pt idx="763">
                  <c:v>26.10.2023</c:v>
                </c:pt>
                <c:pt idx="764">
                  <c:v>30.10.2023</c:v>
                </c:pt>
                <c:pt idx="765">
                  <c:v>31.10.2023</c:v>
                </c:pt>
                <c:pt idx="766">
                  <c:v>01.11.2023</c:v>
                </c:pt>
                <c:pt idx="767">
                  <c:v>02.11.2023</c:v>
                </c:pt>
                <c:pt idx="768">
                  <c:v>06.11.2023</c:v>
                </c:pt>
                <c:pt idx="769">
                  <c:v>07.11.2023</c:v>
                </c:pt>
                <c:pt idx="770">
                  <c:v>08.11.2023</c:v>
                </c:pt>
                <c:pt idx="771">
                  <c:v>09.11.2023</c:v>
                </c:pt>
                <c:pt idx="772">
                  <c:v>13.11.2023</c:v>
                </c:pt>
                <c:pt idx="773">
                  <c:v>14.11.2023</c:v>
                </c:pt>
                <c:pt idx="774">
                  <c:v>15.11.2023</c:v>
                </c:pt>
                <c:pt idx="775">
                  <c:v>16.11.2023</c:v>
                </c:pt>
                <c:pt idx="776">
                  <c:v>20.11.2023</c:v>
                </c:pt>
                <c:pt idx="777">
                  <c:v>21.11.2023</c:v>
                </c:pt>
                <c:pt idx="778">
                  <c:v>22.11.2023</c:v>
                </c:pt>
                <c:pt idx="779">
                  <c:v>27.11.2023</c:v>
                </c:pt>
                <c:pt idx="780">
                  <c:v>28.11.2023</c:v>
                </c:pt>
                <c:pt idx="781">
                  <c:v>29.11.2023</c:v>
                </c:pt>
                <c:pt idx="782">
                  <c:v>30.11.2023</c:v>
                </c:pt>
                <c:pt idx="783">
                  <c:v>04.12.2023</c:v>
                </c:pt>
                <c:pt idx="784">
                  <c:v>05.12.2023</c:v>
                </c:pt>
                <c:pt idx="785">
                  <c:v>06.12.2023</c:v>
                </c:pt>
                <c:pt idx="786">
                  <c:v>07.12.2023</c:v>
                </c:pt>
                <c:pt idx="787">
                  <c:v>11.12.2023</c:v>
                </c:pt>
                <c:pt idx="788">
                  <c:v>12.12.2023</c:v>
                </c:pt>
                <c:pt idx="789">
                  <c:v>13.12.2023</c:v>
                </c:pt>
                <c:pt idx="790">
                  <c:v>14.12.2023</c:v>
                </c:pt>
                <c:pt idx="791">
                  <c:v>18.12.2023</c:v>
                </c:pt>
                <c:pt idx="792">
                  <c:v>19.12.2023</c:v>
                </c:pt>
                <c:pt idx="793">
                  <c:v>20.12.2023</c:v>
                </c:pt>
                <c:pt idx="794">
                  <c:v>21.12.2023</c:v>
                </c:pt>
                <c:pt idx="795">
                  <c:v>26.12.2023</c:v>
                </c:pt>
                <c:pt idx="796">
                  <c:v>27.12.2023</c:v>
                </c:pt>
                <c:pt idx="797">
                  <c:v>28.12.2023</c:v>
                </c:pt>
                <c:pt idx="798">
                  <c:v>02.01.2024</c:v>
                </c:pt>
                <c:pt idx="799">
                  <c:v>03.01.2024</c:v>
                </c:pt>
                <c:pt idx="800">
                  <c:v>04.01.2024</c:v>
                </c:pt>
                <c:pt idx="801">
                  <c:v>08.01.2024</c:v>
                </c:pt>
                <c:pt idx="802">
                  <c:v>09.01.2024</c:v>
                </c:pt>
                <c:pt idx="803">
                  <c:v>10.01.2024</c:v>
                </c:pt>
                <c:pt idx="804">
                  <c:v>11.01.2024</c:v>
                </c:pt>
                <c:pt idx="805">
                  <c:v>16.01.2024</c:v>
                </c:pt>
                <c:pt idx="806">
                  <c:v>17.01.2024</c:v>
                </c:pt>
                <c:pt idx="807">
                  <c:v>18.01.2024</c:v>
                </c:pt>
                <c:pt idx="808">
                  <c:v>22.01.2024</c:v>
                </c:pt>
                <c:pt idx="809">
                  <c:v>23.01.2024</c:v>
                </c:pt>
                <c:pt idx="810">
                  <c:v>24.01.2024</c:v>
                </c:pt>
                <c:pt idx="811">
                  <c:v>25.01.2024</c:v>
                </c:pt>
                <c:pt idx="812">
                  <c:v>29.01.2024</c:v>
                </c:pt>
                <c:pt idx="813">
                  <c:v>30.01.2024</c:v>
                </c:pt>
                <c:pt idx="814">
                  <c:v>31.01.2024</c:v>
                </c:pt>
                <c:pt idx="815">
                  <c:v>01.02.2024</c:v>
                </c:pt>
                <c:pt idx="816">
                  <c:v>05.02.2024</c:v>
                </c:pt>
                <c:pt idx="817">
                  <c:v>06.02.2024</c:v>
                </c:pt>
                <c:pt idx="818">
                  <c:v>07.02.2024</c:v>
                </c:pt>
                <c:pt idx="819">
                  <c:v>08.02.2024</c:v>
                </c:pt>
                <c:pt idx="820">
                  <c:v>12.02.2024</c:v>
                </c:pt>
                <c:pt idx="821">
                  <c:v>13.02.2024</c:v>
                </c:pt>
                <c:pt idx="822">
                  <c:v>14.02.2024</c:v>
                </c:pt>
                <c:pt idx="823">
                  <c:v>15.02.2024</c:v>
                </c:pt>
                <c:pt idx="824">
                  <c:v>20.02.2024</c:v>
                </c:pt>
                <c:pt idx="825">
                  <c:v>21.02.2024</c:v>
                </c:pt>
                <c:pt idx="826">
                  <c:v>22.02.2024</c:v>
                </c:pt>
                <c:pt idx="827">
                  <c:v>26.02.2024</c:v>
                </c:pt>
                <c:pt idx="828">
                  <c:v>27.02.2024</c:v>
                </c:pt>
                <c:pt idx="829">
                  <c:v>28.02.2024</c:v>
                </c:pt>
                <c:pt idx="830">
                  <c:v>29.02.2024</c:v>
                </c:pt>
                <c:pt idx="831">
                  <c:v>04.03.2024</c:v>
                </c:pt>
                <c:pt idx="832">
                  <c:v>05.03.2024</c:v>
                </c:pt>
                <c:pt idx="833">
                  <c:v>06.03.2024</c:v>
                </c:pt>
                <c:pt idx="834">
                  <c:v>07.03.2024</c:v>
                </c:pt>
                <c:pt idx="835">
                  <c:v>11.03.2024</c:v>
                </c:pt>
                <c:pt idx="836">
                  <c:v>12.03.2024</c:v>
                </c:pt>
                <c:pt idx="837">
                  <c:v>13.03.2024</c:v>
                </c:pt>
                <c:pt idx="838">
                  <c:v>14.03.2024</c:v>
                </c:pt>
                <c:pt idx="839">
                  <c:v>18.03.2024</c:v>
                </c:pt>
                <c:pt idx="840">
                  <c:v>19.03.2024</c:v>
                </c:pt>
                <c:pt idx="841">
                  <c:v>20.03.2024</c:v>
                </c:pt>
                <c:pt idx="842">
                  <c:v>21.03.2024</c:v>
                </c:pt>
                <c:pt idx="843">
                  <c:v>25.03.2024</c:v>
                </c:pt>
                <c:pt idx="844">
                  <c:v>26.03.2024</c:v>
                </c:pt>
                <c:pt idx="845">
                  <c:v>27.03.2024</c:v>
                </c:pt>
                <c:pt idx="846">
                  <c:v>01.04.2024</c:v>
                </c:pt>
                <c:pt idx="847">
                  <c:v>02.04.2024</c:v>
                </c:pt>
                <c:pt idx="848">
                  <c:v>03.04.2024</c:v>
                </c:pt>
                <c:pt idx="849">
                  <c:v>04.04.2024</c:v>
                </c:pt>
                <c:pt idx="850">
                  <c:v>08.04.2024</c:v>
                </c:pt>
                <c:pt idx="851">
                  <c:v>09.04.2024</c:v>
                </c:pt>
                <c:pt idx="852">
                  <c:v>10.04.2024</c:v>
                </c:pt>
                <c:pt idx="853">
                  <c:v>11.04.2024</c:v>
                </c:pt>
                <c:pt idx="854">
                  <c:v>15.04.2024</c:v>
                </c:pt>
                <c:pt idx="855">
                  <c:v>16.04.2024</c:v>
                </c:pt>
                <c:pt idx="856">
                  <c:v>17.04.2024</c:v>
                </c:pt>
                <c:pt idx="857">
                  <c:v>18.04.2024</c:v>
                </c:pt>
                <c:pt idx="858">
                  <c:v>22.04.2024</c:v>
                </c:pt>
                <c:pt idx="859">
                  <c:v>23.04.2024</c:v>
                </c:pt>
                <c:pt idx="860">
                  <c:v>24.04.2024</c:v>
                </c:pt>
                <c:pt idx="861">
                  <c:v>25.04.2024</c:v>
                </c:pt>
                <c:pt idx="862">
                  <c:v>29.04.2024</c:v>
                </c:pt>
                <c:pt idx="863">
                  <c:v>30.04.2024</c:v>
                </c:pt>
                <c:pt idx="864">
                  <c:v>01.05.2024</c:v>
                </c:pt>
                <c:pt idx="865">
                  <c:v>02.05.2024</c:v>
                </c:pt>
                <c:pt idx="866">
                  <c:v>06.05.2024</c:v>
                </c:pt>
                <c:pt idx="867">
                  <c:v>07.05.2024</c:v>
                </c:pt>
                <c:pt idx="868">
                  <c:v>08.05.2024</c:v>
                </c:pt>
                <c:pt idx="869">
                  <c:v>09.05.2024</c:v>
                </c:pt>
                <c:pt idx="870">
                  <c:v>13.05.2024</c:v>
                </c:pt>
                <c:pt idx="871">
                  <c:v>14.05.2024</c:v>
                </c:pt>
                <c:pt idx="872">
                  <c:v>15.05.2024</c:v>
                </c:pt>
                <c:pt idx="873">
                  <c:v>16.05.2024</c:v>
                </c:pt>
                <c:pt idx="874">
                  <c:v>20.05.2024</c:v>
                </c:pt>
                <c:pt idx="875">
                  <c:v>21.05.2024</c:v>
                </c:pt>
                <c:pt idx="876">
                  <c:v>22.05.2024</c:v>
                </c:pt>
                <c:pt idx="877">
                  <c:v>23.05.2024</c:v>
                </c:pt>
                <c:pt idx="878">
                  <c:v>28.05.2024</c:v>
                </c:pt>
                <c:pt idx="879">
                  <c:v>29.05.2024</c:v>
                </c:pt>
                <c:pt idx="880">
                  <c:v>30.05.2024</c:v>
                </c:pt>
                <c:pt idx="881">
                  <c:v>03.06.2024</c:v>
                </c:pt>
                <c:pt idx="882">
                  <c:v>04.06.2024</c:v>
                </c:pt>
                <c:pt idx="883">
                  <c:v>05.06.2024</c:v>
                </c:pt>
                <c:pt idx="884">
                  <c:v>06.06.2024</c:v>
                </c:pt>
                <c:pt idx="885">
                  <c:v>10.06.2024</c:v>
                </c:pt>
                <c:pt idx="886">
                  <c:v>11.06.2024</c:v>
                </c:pt>
                <c:pt idx="887">
                  <c:v>12.06.2024</c:v>
                </c:pt>
                <c:pt idx="888">
                  <c:v>13.06.2024</c:v>
                </c:pt>
                <c:pt idx="889">
                  <c:v>17.06.2024</c:v>
                </c:pt>
                <c:pt idx="890">
                  <c:v>18.06.2024</c:v>
                </c:pt>
                <c:pt idx="891">
                  <c:v>20.06.2024</c:v>
                </c:pt>
                <c:pt idx="892">
                  <c:v>24.06.2024</c:v>
                </c:pt>
                <c:pt idx="893">
                  <c:v>25.06.2024</c:v>
                </c:pt>
                <c:pt idx="894">
                  <c:v>26.06.2024</c:v>
                </c:pt>
                <c:pt idx="895">
                  <c:v>27.06.2024</c:v>
                </c:pt>
                <c:pt idx="896">
                  <c:v>01.07.2024</c:v>
                </c:pt>
                <c:pt idx="897">
                  <c:v>02.07.2024</c:v>
                </c:pt>
                <c:pt idx="898">
                  <c:v>03.07.2024</c:v>
                </c:pt>
                <c:pt idx="899">
                  <c:v>08.07.2024</c:v>
                </c:pt>
                <c:pt idx="900">
                  <c:v>09.07.2024</c:v>
                </c:pt>
                <c:pt idx="901">
                  <c:v>10.07.2024</c:v>
                </c:pt>
                <c:pt idx="902">
                  <c:v>11.07.2024</c:v>
                </c:pt>
                <c:pt idx="903">
                  <c:v>15.07.2024</c:v>
                </c:pt>
                <c:pt idx="904">
                  <c:v>16.07.2024</c:v>
                </c:pt>
                <c:pt idx="905">
                  <c:v>17.07.2024</c:v>
                </c:pt>
                <c:pt idx="906">
                  <c:v>18.07.2024</c:v>
                </c:pt>
                <c:pt idx="907">
                  <c:v>22.07.2024</c:v>
                </c:pt>
                <c:pt idx="908">
                  <c:v>23.07.2024</c:v>
                </c:pt>
                <c:pt idx="909">
                  <c:v>24.07.2024</c:v>
                </c:pt>
                <c:pt idx="910">
                  <c:v>25.07.2024</c:v>
                </c:pt>
                <c:pt idx="911">
                  <c:v>29.07.2024</c:v>
                </c:pt>
                <c:pt idx="912">
                  <c:v>30.07.2024</c:v>
                </c:pt>
                <c:pt idx="913">
                  <c:v>31.07.2024</c:v>
                </c:pt>
                <c:pt idx="914">
                  <c:v>01.08.2024</c:v>
                </c:pt>
                <c:pt idx="915">
                  <c:v>05.08.2024</c:v>
                </c:pt>
                <c:pt idx="916">
                  <c:v>06.08.2024</c:v>
                </c:pt>
                <c:pt idx="917">
                  <c:v>07.08.2024</c:v>
                </c:pt>
                <c:pt idx="918">
                  <c:v>08.08.2024</c:v>
                </c:pt>
                <c:pt idx="919">
                  <c:v>12.08.2024</c:v>
                </c:pt>
                <c:pt idx="920">
                  <c:v>13.08.2024</c:v>
                </c:pt>
                <c:pt idx="921">
                  <c:v>14.08.2024</c:v>
                </c:pt>
                <c:pt idx="922">
                  <c:v>15.08.2024</c:v>
                </c:pt>
                <c:pt idx="923">
                  <c:v>19.08.2024</c:v>
                </c:pt>
                <c:pt idx="924">
                  <c:v>20.08.2024</c:v>
                </c:pt>
                <c:pt idx="925">
                  <c:v>21.08.2024</c:v>
                </c:pt>
                <c:pt idx="926">
                  <c:v>22.08.2024</c:v>
                </c:pt>
                <c:pt idx="927">
                  <c:v>26.08.2024</c:v>
                </c:pt>
                <c:pt idx="928">
                  <c:v>27.08.2024</c:v>
                </c:pt>
                <c:pt idx="929">
                  <c:v>28.08.2024</c:v>
                </c:pt>
                <c:pt idx="930">
                  <c:v>29.08.2024</c:v>
                </c:pt>
                <c:pt idx="931">
                  <c:v>03.09.2024</c:v>
                </c:pt>
                <c:pt idx="932">
                  <c:v>04.09.2024</c:v>
                </c:pt>
                <c:pt idx="933">
                  <c:v>05.09.2024</c:v>
                </c:pt>
                <c:pt idx="934">
                  <c:v>09.09.2024</c:v>
                </c:pt>
                <c:pt idx="935">
                  <c:v>10.09.2024</c:v>
                </c:pt>
                <c:pt idx="936">
                  <c:v>11.09.2024</c:v>
                </c:pt>
                <c:pt idx="937">
                  <c:v>12.09.2024</c:v>
                </c:pt>
                <c:pt idx="938">
                  <c:v>16.09.2024</c:v>
                </c:pt>
                <c:pt idx="939">
                  <c:v>17.09.2024</c:v>
                </c:pt>
                <c:pt idx="940">
                  <c:v>18.09.2024</c:v>
                </c:pt>
                <c:pt idx="941">
                  <c:v>19.09.2024</c:v>
                </c:pt>
                <c:pt idx="942">
                  <c:v>23.09.2024</c:v>
                </c:pt>
                <c:pt idx="943">
                  <c:v>24.09.2024</c:v>
                </c:pt>
                <c:pt idx="944">
                  <c:v>25.09.2024</c:v>
                </c:pt>
                <c:pt idx="945">
                  <c:v>26.09.2024</c:v>
                </c:pt>
                <c:pt idx="946">
                  <c:v>30.09.2024</c:v>
                </c:pt>
                <c:pt idx="947">
                  <c:v>01.10.2024</c:v>
                </c:pt>
                <c:pt idx="948">
                  <c:v>02.10.2024</c:v>
                </c:pt>
                <c:pt idx="949">
                  <c:v>03.10.2024</c:v>
                </c:pt>
                <c:pt idx="950">
                  <c:v>07.10.2024</c:v>
                </c:pt>
                <c:pt idx="951">
                  <c:v>08.10.2024</c:v>
                </c:pt>
                <c:pt idx="952">
                  <c:v>09.10.2024</c:v>
                </c:pt>
                <c:pt idx="953">
                  <c:v>10.10.2024</c:v>
                </c:pt>
                <c:pt idx="954">
                  <c:v>14.10.2024</c:v>
                </c:pt>
                <c:pt idx="955">
                  <c:v>15.10.2024</c:v>
                </c:pt>
                <c:pt idx="956">
                  <c:v>16.10.2024</c:v>
                </c:pt>
                <c:pt idx="957">
                  <c:v>17.10.2024</c:v>
                </c:pt>
                <c:pt idx="958">
                  <c:v>21.10.2024</c:v>
                </c:pt>
                <c:pt idx="959">
                  <c:v>22.10.2024</c:v>
                </c:pt>
                <c:pt idx="960">
                  <c:v>23.10.2024</c:v>
                </c:pt>
                <c:pt idx="961">
                  <c:v>24.10.2024</c:v>
                </c:pt>
                <c:pt idx="962">
                  <c:v>28.10.2024</c:v>
                </c:pt>
                <c:pt idx="963">
                  <c:v>29.10.2024</c:v>
                </c:pt>
                <c:pt idx="964">
                  <c:v>30.10.2024</c:v>
                </c:pt>
                <c:pt idx="965">
                  <c:v>31.10.2024</c:v>
                </c:pt>
                <c:pt idx="966">
                  <c:v>04.11.2024</c:v>
                </c:pt>
                <c:pt idx="967">
                  <c:v>05.11.2024</c:v>
                </c:pt>
                <c:pt idx="968">
                  <c:v>06.11.2024</c:v>
                </c:pt>
                <c:pt idx="969">
                  <c:v>07.11.2024</c:v>
                </c:pt>
                <c:pt idx="970">
                  <c:v>11.11.2024</c:v>
                </c:pt>
                <c:pt idx="971">
                  <c:v>12.11.2024</c:v>
                </c:pt>
                <c:pt idx="972">
                  <c:v>13.11.2024</c:v>
                </c:pt>
                <c:pt idx="973">
                  <c:v>14.11.2024</c:v>
                </c:pt>
                <c:pt idx="974">
                  <c:v>18.11.2024</c:v>
                </c:pt>
                <c:pt idx="975">
                  <c:v>19.11.2024</c:v>
                </c:pt>
                <c:pt idx="976">
                  <c:v>20.11.2024</c:v>
                </c:pt>
                <c:pt idx="977">
                  <c:v>21.11.2024</c:v>
                </c:pt>
                <c:pt idx="978">
                  <c:v>25.11.2024</c:v>
                </c:pt>
                <c:pt idx="979">
                  <c:v>26.11.2024</c:v>
                </c:pt>
                <c:pt idx="980">
                  <c:v>27.11.2024</c:v>
                </c:pt>
                <c:pt idx="981">
                  <c:v>02.12.2024</c:v>
                </c:pt>
                <c:pt idx="982">
                  <c:v>03.12.2024</c:v>
                </c:pt>
                <c:pt idx="983">
                  <c:v>04.12.2024</c:v>
                </c:pt>
                <c:pt idx="984">
                  <c:v>05.12.2024</c:v>
                </c:pt>
                <c:pt idx="985">
                  <c:v>09.12.2024</c:v>
                </c:pt>
                <c:pt idx="986">
                  <c:v>10.12.2024</c:v>
                </c:pt>
                <c:pt idx="987">
                  <c:v>11.12.2024</c:v>
                </c:pt>
                <c:pt idx="988">
                  <c:v>12.12.2024</c:v>
                </c:pt>
                <c:pt idx="989">
                  <c:v>16.12.2024</c:v>
                </c:pt>
                <c:pt idx="990">
                  <c:v>17.12.2024</c:v>
                </c:pt>
                <c:pt idx="991">
                  <c:v>18.12.2024</c:v>
                </c:pt>
                <c:pt idx="992">
                  <c:v>19.12.2024</c:v>
                </c:pt>
                <c:pt idx="993">
                  <c:v>23.12.2024</c:v>
                </c:pt>
                <c:pt idx="994">
                  <c:v>26.12.2024</c:v>
                </c:pt>
                <c:pt idx="995">
                  <c:v>30.12.2024</c:v>
                </c:pt>
                <c:pt idx="996">
                  <c:v>02.01.2025</c:v>
                </c:pt>
                <c:pt idx="997">
                  <c:v>06.01.2025</c:v>
                </c:pt>
                <c:pt idx="998">
                  <c:v>07.01.2025</c:v>
                </c:pt>
                <c:pt idx="999">
                  <c:v>08.01.2025</c:v>
                </c:pt>
                <c:pt idx="1000">
                  <c:v>09.01.2025</c:v>
                </c:pt>
                <c:pt idx="1001">
                  <c:v>13.01.2025</c:v>
                </c:pt>
                <c:pt idx="1002">
                  <c:v>14.01.2025</c:v>
                </c:pt>
                <c:pt idx="1003">
                  <c:v>15.01.2025</c:v>
                </c:pt>
                <c:pt idx="1004">
                  <c:v>16.01.2025</c:v>
                </c:pt>
                <c:pt idx="1005">
                  <c:v>21.01.2025</c:v>
                </c:pt>
                <c:pt idx="1006">
                  <c:v>22.01.2025</c:v>
                </c:pt>
                <c:pt idx="1007">
                  <c:v>23.01.2025</c:v>
                </c:pt>
                <c:pt idx="1008">
                  <c:v>27.01.2025</c:v>
                </c:pt>
                <c:pt idx="1009">
                  <c:v>28.01.2025</c:v>
                </c:pt>
                <c:pt idx="1010">
                  <c:v>29.01.2025</c:v>
                </c:pt>
                <c:pt idx="1011">
                  <c:v>30.01.2025</c:v>
                </c:pt>
                <c:pt idx="1012">
                  <c:v>03.02.2025</c:v>
                </c:pt>
                <c:pt idx="1013">
                  <c:v>04.02.2025</c:v>
                </c:pt>
                <c:pt idx="1014">
                  <c:v>05.02.2025</c:v>
                </c:pt>
                <c:pt idx="1015">
                  <c:v>06.02.2025</c:v>
                </c:pt>
                <c:pt idx="1016">
                  <c:v>10.02.2025</c:v>
                </c:pt>
                <c:pt idx="1017">
                  <c:v>11.02.2025</c:v>
                </c:pt>
                <c:pt idx="1018">
                  <c:v>12.02.2025</c:v>
                </c:pt>
                <c:pt idx="1019">
                  <c:v>13.02.2025</c:v>
                </c:pt>
                <c:pt idx="1020">
                  <c:v>18.02.2025</c:v>
                </c:pt>
                <c:pt idx="1021">
                  <c:v>19.02.2025</c:v>
                </c:pt>
                <c:pt idx="1022">
                  <c:v>20.02.2025</c:v>
                </c:pt>
                <c:pt idx="1023">
                  <c:v>24.02.2025</c:v>
                </c:pt>
                <c:pt idx="1024">
                  <c:v>25.02.2025</c:v>
                </c:pt>
                <c:pt idx="1025">
                  <c:v>26.02.2025</c:v>
                </c:pt>
                <c:pt idx="1026">
                  <c:v>27.02.2025</c:v>
                </c:pt>
                <c:pt idx="1027">
                  <c:v>03.03.2025</c:v>
                </c:pt>
                <c:pt idx="1028">
                  <c:v>04.03.2025</c:v>
                </c:pt>
                <c:pt idx="1029">
                  <c:v>05.03.2025</c:v>
                </c:pt>
                <c:pt idx="1030">
                  <c:v>06.03.2025</c:v>
                </c:pt>
                <c:pt idx="1031">
                  <c:v>10.03.2025</c:v>
                </c:pt>
                <c:pt idx="1032">
                  <c:v>11.03.2025</c:v>
                </c:pt>
                <c:pt idx="1033">
                  <c:v>12.03.2025</c:v>
                </c:pt>
                <c:pt idx="1034">
                  <c:v>13.03.2025</c:v>
                </c:pt>
                <c:pt idx="1035">
                  <c:v>17.03.2025</c:v>
                </c:pt>
                <c:pt idx="1036">
                  <c:v>18.03.2025</c:v>
                </c:pt>
                <c:pt idx="1037">
                  <c:v>19.03.2025</c:v>
                </c:pt>
                <c:pt idx="1038">
                  <c:v>20.03.2025</c:v>
                </c:pt>
                <c:pt idx="1039">
                  <c:v>24.03.2025</c:v>
                </c:pt>
                <c:pt idx="1040">
                  <c:v>25.03.2025</c:v>
                </c:pt>
                <c:pt idx="1041">
                  <c:v>26.03.2025</c:v>
                </c:pt>
                <c:pt idx="1042">
                  <c:v>27.03.2025</c:v>
                </c:pt>
                <c:pt idx="1043">
                  <c:v>31.03.2025</c:v>
                </c:pt>
                <c:pt idx="1044">
                  <c:v>01.04.2025</c:v>
                </c:pt>
                <c:pt idx="1045">
                  <c:v>02.04.2025</c:v>
                </c:pt>
                <c:pt idx="1046">
                  <c:v>03.04.2025</c:v>
                </c:pt>
                <c:pt idx="1047">
                  <c:v>07.04.2025</c:v>
                </c:pt>
                <c:pt idx="1048">
                  <c:v>08.04.2025</c:v>
                </c:pt>
                <c:pt idx="1049">
                  <c:v>09.04.2025</c:v>
                </c:pt>
                <c:pt idx="1050">
                  <c:v>10.04.2025</c:v>
                </c:pt>
                <c:pt idx="1051">
                  <c:v>14.04.2025</c:v>
                </c:pt>
                <c:pt idx="1052">
                  <c:v>15.04.2025</c:v>
                </c:pt>
                <c:pt idx="1053">
                  <c:v>16.04.2025</c:v>
                </c:pt>
                <c:pt idx="1054">
                  <c:v>21.04.2025</c:v>
                </c:pt>
                <c:pt idx="1055">
                  <c:v>22.04.2025</c:v>
                </c:pt>
                <c:pt idx="1056">
                  <c:v>23.04.2025</c:v>
                </c:pt>
                <c:pt idx="1057">
                  <c:v>24.04.2025</c:v>
                </c:pt>
                <c:pt idx="1058">
                  <c:v>28.04.2025</c:v>
                </c:pt>
                <c:pt idx="1059">
                  <c:v>29.04.2025</c:v>
                </c:pt>
                <c:pt idx="1060">
                  <c:v>30.04.2025</c:v>
                </c:pt>
                <c:pt idx="1061">
                  <c:v>01.05.2025</c:v>
                </c:pt>
                <c:pt idx="1062">
                  <c:v>05.05.2025</c:v>
                </c:pt>
                <c:pt idx="1063">
                  <c:v>06.05.2025</c:v>
                </c:pt>
                <c:pt idx="1064">
                  <c:v>07.05.2025</c:v>
                </c:pt>
                <c:pt idx="1065">
                  <c:v>08.05.2025</c:v>
                </c:pt>
                <c:pt idx="1066">
                  <c:v>12.05.2025</c:v>
                </c:pt>
                <c:pt idx="1067">
                  <c:v>13.05.2025</c:v>
                </c:pt>
                <c:pt idx="1068">
                  <c:v>14.05.2025</c:v>
                </c:pt>
                <c:pt idx="1069">
                  <c:v>15.05.2025</c:v>
                </c:pt>
                <c:pt idx="1070">
                  <c:v>19.05.2025</c:v>
                </c:pt>
                <c:pt idx="1071">
                  <c:v>20.05.2025</c:v>
                </c:pt>
                <c:pt idx="1072">
                  <c:v>21.05.2025</c:v>
                </c:pt>
                <c:pt idx="1073">
                  <c:v>22.05.2025</c:v>
                </c:pt>
                <c:pt idx="1074">
                  <c:v>25.05.2025</c:v>
                </c:pt>
                <c:pt idx="1075">
                  <c:v>27.05.2025</c:v>
                </c:pt>
                <c:pt idx="1076">
                  <c:v>28.05.2025</c:v>
                </c:pt>
                <c:pt idx="1077">
                  <c:v>29.05.2025</c:v>
                </c:pt>
                <c:pt idx="1078">
                  <c:v>02.06.2025</c:v>
                </c:pt>
                <c:pt idx="1079">
                  <c:v>03.06.2025</c:v>
                </c:pt>
                <c:pt idx="1080">
                  <c:v>04.06.2025</c:v>
                </c:pt>
                <c:pt idx="1081">
                  <c:v>05.06.2025</c:v>
                </c:pt>
                <c:pt idx="1082">
                  <c:v>09.06.2025</c:v>
                </c:pt>
                <c:pt idx="1083">
                  <c:v>10.06.2025</c:v>
                </c:pt>
                <c:pt idx="1084">
                  <c:v>11.06.2025</c:v>
                </c:pt>
                <c:pt idx="1085">
                  <c:v>12.06.2025</c:v>
                </c:pt>
                <c:pt idx="1086">
                  <c:v>16.06.2025</c:v>
                </c:pt>
                <c:pt idx="1087">
                  <c:v>17.06.2025</c:v>
                </c:pt>
                <c:pt idx="1088">
                  <c:v>18.06.2025</c:v>
                </c:pt>
                <c:pt idx="1089">
                  <c:v>23.06.2025</c:v>
                </c:pt>
                <c:pt idx="1090">
                  <c:v>24.06.2025</c:v>
                </c:pt>
                <c:pt idx="1091">
                  <c:v>25.06.2025</c:v>
                </c:pt>
                <c:pt idx="1092">
                  <c:v>26.06.2025</c:v>
                </c:pt>
                <c:pt idx="1093">
                  <c:v>30.06.2025</c:v>
                </c:pt>
                <c:pt idx="1094">
                  <c:v>01.07.2025</c:v>
                </c:pt>
                <c:pt idx="1095">
                  <c:v>02.07.2025</c:v>
                </c:pt>
                <c:pt idx="1096">
                  <c:v>03.07.2025</c:v>
                </c:pt>
                <c:pt idx="1097">
                  <c:v>07.07.2025</c:v>
                </c:pt>
                <c:pt idx="1098">
                  <c:v>08.07.2025</c:v>
                </c:pt>
                <c:pt idx="1099">
                  <c:v>09.07.2025</c:v>
                </c:pt>
                <c:pt idx="1100">
                  <c:v>10.07.2025</c:v>
                </c:pt>
                <c:pt idx="1101">
                  <c:v>14.07.2025</c:v>
                </c:pt>
                <c:pt idx="1102">
                  <c:v>15.07.2025</c:v>
                </c:pt>
                <c:pt idx="1103">
                  <c:v>16.07.2025</c:v>
                </c:pt>
                <c:pt idx="1104">
                  <c:v>17.07.2025</c:v>
                </c:pt>
                <c:pt idx="1105">
                  <c:v>21.07.2025</c:v>
                </c:pt>
                <c:pt idx="1106">
                  <c:v>22.07.2025</c:v>
                </c:pt>
                <c:pt idx="1107">
                  <c:v>23.07.2025</c:v>
                </c:pt>
                <c:pt idx="1108">
                  <c:v>24.07.2025</c:v>
                </c:pt>
                <c:pt idx="1109">
                  <c:v>28.07.2025</c:v>
                </c:pt>
                <c:pt idx="1110">
                  <c:v>29.07.2025</c:v>
                </c:pt>
                <c:pt idx="1111">
                  <c:v>30.07.2025</c:v>
                </c:pt>
                <c:pt idx="1112">
                  <c:v>31.07.2025</c:v>
                </c:pt>
                <c:pt idx="1113">
                  <c:v>04.08.2025</c:v>
                </c:pt>
                <c:pt idx="1114">
                  <c:v>05.08.2025</c:v>
                </c:pt>
                <c:pt idx="1115">
                  <c:v>06.08.2025</c:v>
                </c:pt>
                <c:pt idx="1116">
                  <c:v>07.08.2025</c:v>
                </c:pt>
                <c:pt idx="1117">
                  <c:v>11.08.2025</c:v>
                </c:pt>
                <c:pt idx="1118">
                  <c:v>12.08.2025</c:v>
                </c:pt>
                <c:pt idx="1119">
                  <c:v>13.08.2025</c:v>
                </c:pt>
                <c:pt idx="1120">
                  <c:v>14.08.2025</c:v>
                </c:pt>
                <c:pt idx="1121">
                  <c:v>18.08.2025</c:v>
                </c:pt>
                <c:pt idx="1122">
                  <c:v>19.08.2025</c:v>
                </c:pt>
                <c:pt idx="1123">
                  <c:v>20.08.2025</c:v>
                </c:pt>
                <c:pt idx="1124">
                  <c:v>21.08.2025</c:v>
                </c:pt>
                <c:pt idx="1125">
                  <c:v>25.08.2025</c:v>
                </c:pt>
                <c:pt idx="1126">
                  <c:v>26.08.2025</c:v>
                </c:pt>
                <c:pt idx="1127">
                  <c:v>27.08.2025</c:v>
                </c:pt>
                <c:pt idx="1128">
                  <c:v>28.08.2025</c:v>
                </c:pt>
                <c:pt idx="1129">
                  <c:v>31.08.2025</c:v>
                </c:pt>
                <c:pt idx="1130">
                  <c:v>02.09.2025</c:v>
                </c:pt>
                <c:pt idx="1131">
                  <c:v>03.09.2025</c:v>
                </c:pt>
                <c:pt idx="1132">
                  <c:v>04.09.2025</c:v>
                </c:pt>
                <c:pt idx="1133">
                  <c:v>08.09.2025</c:v>
                </c:pt>
                <c:pt idx="1134">
                  <c:v>09.09.2025</c:v>
                </c:pt>
                <c:pt idx="1135">
                  <c:v>10.09.2025</c:v>
                </c:pt>
                <c:pt idx="1136">
                  <c:v>11.09.2025</c:v>
                </c:pt>
                <c:pt idx="1137">
                  <c:v>15.09.2025</c:v>
                </c:pt>
                <c:pt idx="1138">
                  <c:v>16.09.2025</c:v>
                </c:pt>
                <c:pt idx="1139">
                  <c:v>17.09.2025</c:v>
                </c:pt>
                <c:pt idx="1140">
                  <c:v>18.09.2025</c:v>
                </c:pt>
                <c:pt idx="1141">
                  <c:v>22.09.2025</c:v>
                </c:pt>
                <c:pt idx="1142">
                  <c:v>23.09.2025</c:v>
                </c:pt>
                <c:pt idx="1143">
                  <c:v>24.09.2025</c:v>
                </c:pt>
                <c:pt idx="1144">
                  <c:v>25.09.2025</c:v>
                </c:pt>
                <c:pt idx="1145">
                  <c:v>29.09.2025</c:v>
                </c:pt>
                <c:pt idx="1146">
                  <c:v>30.09.2025</c:v>
                </c:pt>
                <c:pt idx="1147">
                  <c:v>01.10.2025</c:v>
                </c:pt>
                <c:pt idx="1148">
                  <c:v>02.10.2025</c:v>
                </c:pt>
                <c:pt idx="1149">
                  <c:v>06.10.2025</c:v>
                </c:pt>
                <c:pt idx="1150">
                  <c:v>07.10.2025</c:v>
                </c:pt>
                <c:pt idx="1151">
                  <c:v>08.10.2025</c:v>
                </c:pt>
                <c:pt idx="1152">
                  <c:v>09.10.2025</c:v>
                </c:pt>
                <c:pt idx="1153">
                  <c:v>13.10.2025</c:v>
                </c:pt>
                <c:pt idx="1154">
                  <c:v>14.10.2025</c:v>
                </c:pt>
                <c:pt idx="1155">
                  <c:v>15.10.2025</c:v>
                </c:pt>
                <c:pt idx="1156">
                  <c:v>16.10.2025</c:v>
                </c:pt>
                <c:pt idx="1157">
                  <c:v>20.10.2025</c:v>
                </c:pt>
                <c:pt idx="1158">
                  <c:v>21.10.2025</c:v>
                </c:pt>
                <c:pt idx="1159">
                  <c:v>22.10.2025</c:v>
                </c:pt>
                <c:pt idx="1160">
                  <c:v>23.10.2025</c:v>
                </c:pt>
                <c:pt idx="1161">
                  <c:v>27.10.2025</c:v>
                </c:pt>
                <c:pt idx="1162">
                  <c:v>28.10.2025</c:v>
                </c:pt>
                <c:pt idx="1163">
                  <c:v>29.10.2025</c:v>
                </c:pt>
                <c:pt idx="1164">
                  <c:v>30.10.2025</c:v>
                </c:pt>
                <c:pt idx="1165">
                  <c:v>03.11.2025</c:v>
                </c:pt>
                <c:pt idx="1166">
                  <c:v>04.11.2025</c:v>
                </c:pt>
                <c:pt idx="1167">
                  <c:v>05.11.2025</c:v>
                </c:pt>
                <c:pt idx="1168">
                  <c:v>06.11.2025</c:v>
                </c:pt>
                <c:pt idx="1169">
                  <c:v>10.11.2025</c:v>
                </c:pt>
                <c:pt idx="1170">
                  <c:v>11.11.2025</c:v>
                </c:pt>
                <c:pt idx="1171">
                  <c:v>12.11.2025</c:v>
                </c:pt>
                <c:pt idx="1172">
                  <c:v>13.11.2025</c:v>
                </c:pt>
                <c:pt idx="1173">
                  <c:v>17.11.2025</c:v>
                </c:pt>
                <c:pt idx="1174">
                  <c:v>18.11.2025</c:v>
                </c:pt>
                <c:pt idx="1175">
                  <c:v>19.11.2025</c:v>
                </c:pt>
                <c:pt idx="1176">
                  <c:v>20.11.2025</c:v>
                </c:pt>
                <c:pt idx="1177">
                  <c:v>24.11.2025</c:v>
                </c:pt>
                <c:pt idx="1178">
                  <c:v>25.11.2025</c:v>
                </c:pt>
                <c:pt idx="1179">
                  <c:v>26.11.2025</c:v>
                </c:pt>
                <c:pt idx="1180">
                  <c:v>01.12.2025</c:v>
                </c:pt>
                <c:pt idx="1181">
                  <c:v>02.12.2025</c:v>
                </c:pt>
                <c:pt idx="1182">
                  <c:v>03.12.2025</c:v>
                </c:pt>
                <c:pt idx="1183">
                  <c:v>04.12.2025</c:v>
                </c:pt>
                <c:pt idx="1184">
                  <c:v>08.12.2025</c:v>
                </c:pt>
                <c:pt idx="1185">
                  <c:v>09.12.2025</c:v>
                </c:pt>
                <c:pt idx="1186">
                  <c:v>10.12.2025</c:v>
                </c:pt>
                <c:pt idx="1187">
                  <c:v>11.12.2025</c:v>
                </c:pt>
                <c:pt idx="1188">
                  <c:v>15.12.2025</c:v>
                </c:pt>
                <c:pt idx="1189">
                  <c:v>16.12.2025</c:v>
                </c:pt>
                <c:pt idx="1190">
                  <c:v>17.12.2025</c:v>
                </c:pt>
                <c:pt idx="1191">
                  <c:v>18.12.2025</c:v>
                </c:pt>
                <c:pt idx="1192">
                  <c:v>22.12.2025</c:v>
                </c:pt>
                <c:pt idx="1193">
                  <c:v>23.12.2025</c:v>
                </c:pt>
                <c:pt idx="1194">
                  <c:v>25.12.2025</c:v>
                </c:pt>
                <c:pt idx="1195">
                  <c:v>29.12.2025</c:v>
                </c:pt>
                <c:pt idx="1196">
                  <c:v>30.12.2025</c:v>
                </c:pt>
              </c:strCache>
            </c:strRef>
          </c:cat>
          <c:val>
            <c:numRef>
              <c:f>Analysis!$E$2:$E$1328</c:f>
              <c:numCache>
                <c:formatCode>0.00%</c:formatCode>
                <c:ptCount val="1327"/>
                <c:pt idx="1">
                  <c:v>7.370054305663256E-3</c:v>
                </c:pt>
                <c:pt idx="2">
                  <c:v>1.1771824632818208E-2</c:v>
                </c:pt>
                <c:pt idx="3">
                  <c:v>-1.2287283205567285E-2</c:v>
                </c:pt>
                <c:pt idx="4">
                  <c:v>-1.2715363020862092E-2</c:v>
                </c:pt>
                <c:pt idx="5">
                  <c:v>3.3452274754682603E-3</c:v>
                </c:pt>
                <c:pt idx="6">
                  <c:v>-1.4114247610580007E-2</c:v>
                </c:pt>
                <c:pt idx="7">
                  <c:v>1.3865404125803104E-2</c:v>
                </c:pt>
                <c:pt idx="8">
                  <c:v>-2.7240382477206745E-3</c:v>
                </c:pt>
                <c:pt idx="9">
                  <c:v>-7.3025252243714934E-3</c:v>
                </c:pt>
                <c:pt idx="10">
                  <c:v>1.1230907457322312E-3</c:v>
                </c:pt>
                <c:pt idx="11">
                  <c:v>5.60915413956261E-5</c:v>
                </c:pt>
                <c:pt idx="12">
                  <c:v>1.2732065735599322E-2</c:v>
                </c:pt>
                <c:pt idx="13">
                  <c:v>-3.3119184758529159E-2</c:v>
                </c:pt>
                <c:pt idx="14">
                  <c:v>1.6611295681063076E-3</c:v>
                </c:pt>
                <c:pt idx="15">
                  <c:v>3.1166009035283455E-2</c:v>
                </c:pt>
                <c:pt idx="16">
                  <c:v>-1.7746228926353167E-2</c:v>
                </c:pt>
                <c:pt idx="17">
                  <c:v>-6.3233965672989121E-3</c:v>
                </c:pt>
                <c:pt idx="18">
                  <c:v>2.4431818181817758E-3</c:v>
                </c:pt>
                <c:pt idx="19">
                  <c:v>1.2129456441648168E-2</c:v>
                </c:pt>
                <c:pt idx="20">
                  <c:v>-1.7360138881110381E-3</c:v>
                </c:pt>
                <c:pt idx="21">
                  <c:v>-1.0546392909233638E-2</c:v>
                </c:pt>
                <c:pt idx="22">
                  <c:v>-5.7262728200477737E-3</c:v>
                </c:pt>
                <c:pt idx="23">
                  <c:v>7.013742373268011E-3</c:v>
                </c:pt>
                <c:pt idx="24">
                  <c:v>3.0124575311438279E-2</c:v>
                </c:pt>
                <c:pt idx="25">
                  <c:v>9.1798592788039576E-3</c:v>
                </c:pt>
                <c:pt idx="26">
                  <c:v>4.3575358134969867E-4</c:v>
                </c:pt>
                <c:pt idx="27">
                  <c:v>3.0271682909565927E-2</c:v>
                </c:pt>
                <c:pt idx="28">
                  <c:v>-3.66749458331131E-2</c:v>
                </c:pt>
                <c:pt idx="29">
                  <c:v>-1.9474463766525889E-2</c:v>
                </c:pt>
                <c:pt idx="30">
                  <c:v>-7.776658834060611E-3</c:v>
                </c:pt>
                <c:pt idx="31">
                  <c:v>-5.616013532562722E-2</c:v>
                </c:pt>
                <c:pt idx="32">
                  <c:v>2.6823585638329532E-2</c:v>
                </c:pt>
                <c:pt idx="33">
                  <c:v>3.374447288806134E-3</c:v>
                </c:pt>
                <c:pt idx="34">
                  <c:v>8.5237156442074698E-3</c:v>
                </c:pt>
                <c:pt idx="35">
                  <c:v>-1.9490599666532639E-2</c:v>
                </c:pt>
                <c:pt idx="36">
                  <c:v>-5.8050897150228806E-3</c:v>
                </c:pt>
                <c:pt idx="37">
                  <c:v>-1.0557357711589414E-2</c:v>
                </c:pt>
                <c:pt idx="38">
                  <c:v>-4.5958512160228948E-2</c:v>
                </c:pt>
                <c:pt idx="39">
                  <c:v>-0.1992502343017806</c:v>
                </c:pt>
                <c:pt idx="40">
                  <c:v>-2.5046816479400866E-2</c:v>
                </c:pt>
                <c:pt idx="41">
                  <c:v>-5.7863145258103162E-2</c:v>
                </c:pt>
                <c:pt idx="42">
                  <c:v>3.0750934420659199E-2</c:v>
                </c:pt>
                <c:pt idx="43">
                  <c:v>9.2879512114718871E-2</c:v>
                </c:pt>
                <c:pt idx="44">
                  <c:v>7.5107457959429941E-2</c:v>
                </c:pt>
                <c:pt idx="45">
                  <c:v>4.3206845759977533E-2</c:v>
                </c:pt>
                <c:pt idx="46">
                  <c:v>-1.3245478383648167E-2</c:v>
                </c:pt>
                <c:pt idx="47">
                  <c:v>-3.5431997819569336E-2</c:v>
                </c:pt>
                <c:pt idx="48">
                  <c:v>1.6953941791465904E-3</c:v>
                </c:pt>
                <c:pt idx="49">
                  <c:v>-1.212976022567E-2</c:v>
                </c:pt>
                <c:pt idx="50">
                  <c:v>4.7829811536265116E-2</c:v>
                </c:pt>
                <c:pt idx="51">
                  <c:v>3.5086524049597952E-2</c:v>
                </c:pt>
                <c:pt idx="52">
                  <c:v>2.0469953267952343E-2</c:v>
                </c:pt>
                <c:pt idx="53">
                  <c:v>-1.7737358101135213E-2</c:v>
                </c:pt>
                <c:pt idx="54">
                  <c:v>2.1800512180707908E-2</c:v>
                </c:pt>
                <c:pt idx="55">
                  <c:v>3.8108090739669684E-2</c:v>
                </c:pt>
                <c:pt idx="56">
                  <c:v>-3.8690107713259876E-2</c:v>
                </c:pt>
                <c:pt idx="57">
                  <c:v>7.5342906819499574E-3</c:v>
                </c:pt>
                <c:pt idx="58">
                  <c:v>-5.1131279560276714E-4</c:v>
                </c:pt>
                <c:pt idx="59">
                  <c:v>-4.719273564394421E-2</c:v>
                </c:pt>
                <c:pt idx="60">
                  <c:v>3.0805369127516753E-2</c:v>
                </c:pt>
                <c:pt idx="61">
                  <c:v>1.4323849208933031E-3</c:v>
                </c:pt>
                <c:pt idx="62">
                  <c:v>-5.3312528444184864E-3</c:v>
                </c:pt>
                <c:pt idx="63">
                  <c:v>-2.5491862213216357E-3</c:v>
                </c:pt>
                <c:pt idx="64">
                  <c:v>3.6041939711664297E-3</c:v>
                </c:pt>
                <c:pt idx="65">
                  <c:v>-2.2331047992164465E-2</c:v>
                </c:pt>
                <c:pt idx="66">
                  <c:v>-1.1821278300941786E-2</c:v>
                </c:pt>
                <c:pt idx="67">
                  <c:v>2.1221951878886189E-2</c:v>
                </c:pt>
                <c:pt idx="68">
                  <c:v>-6.2872270019853653E-3</c:v>
                </c:pt>
                <c:pt idx="69">
                  <c:v>3.8295038295038247E-2</c:v>
                </c:pt>
                <c:pt idx="70">
                  <c:v>5.7729313662604146E-3</c:v>
                </c:pt>
                <c:pt idx="71">
                  <c:v>1.849489795918362E-3</c:v>
                </c:pt>
                <c:pt idx="72">
                  <c:v>-2.4189954802979348E-3</c:v>
                </c:pt>
                <c:pt idx="73">
                  <c:v>3.0948886478208121E-2</c:v>
                </c:pt>
                <c:pt idx="74">
                  <c:v>8.1208219856400171E-2</c:v>
                </c:pt>
                <c:pt idx="75">
                  <c:v>2.4788184108083342E-2</c:v>
                </c:pt>
                <c:pt idx="76">
                  <c:v>7.2621641249091679E-3</c:v>
                </c:pt>
                <c:pt idx="77">
                  <c:v>-3.6991847373966949E-2</c:v>
                </c:pt>
                <c:pt idx="78">
                  <c:v>1.3303386316516822E-2</c:v>
                </c:pt>
                <c:pt idx="79">
                  <c:v>9.2071611253198415E-3</c:v>
                </c:pt>
                <c:pt idx="80">
                  <c:v>1.4191586416624366E-2</c:v>
                </c:pt>
                <c:pt idx="81">
                  <c:v>4.7753900827364061E-2</c:v>
                </c:pt>
                <c:pt idx="82">
                  <c:v>-2.9360326461391622E-2</c:v>
                </c:pt>
                <c:pt idx="83">
                  <c:v>-1.6489216489216467E-2</c:v>
                </c:pt>
                <c:pt idx="84">
                  <c:v>5.7180924887580064E-3</c:v>
                </c:pt>
                <c:pt idx="85">
                  <c:v>-6.6791786266283213E-3</c:v>
                </c:pt>
                <c:pt idx="86">
                  <c:v>-5.5015282022784218E-3</c:v>
                </c:pt>
                <c:pt idx="87">
                  <c:v>-6.7054090299510812E-4</c:v>
                </c:pt>
                <c:pt idx="88">
                  <c:v>4.8087676135091994E-3</c:v>
                </c:pt>
                <c:pt idx="89">
                  <c:v>-2.7045075125208522E-2</c:v>
                </c:pt>
                <c:pt idx="90">
                  <c:v>1.435598261267431E-2</c:v>
                </c:pt>
                <c:pt idx="91">
                  <c:v>7.0482097547223009E-3</c:v>
                </c:pt>
                <c:pt idx="92">
                  <c:v>-1.4501679731243021E-2</c:v>
                </c:pt>
                <c:pt idx="93">
                  <c:v>2.2214646895062883E-2</c:v>
                </c:pt>
                <c:pt idx="94">
                  <c:v>9.0595820364606627E-3</c:v>
                </c:pt>
                <c:pt idx="95">
                  <c:v>-2.3189204076012083E-2</c:v>
                </c:pt>
                <c:pt idx="96">
                  <c:v>1.3194992669448414E-2</c:v>
                </c:pt>
                <c:pt idx="97">
                  <c:v>5.3428317008014292E-3</c:v>
                </c:pt>
                <c:pt idx="98">
                  <c:v>3.1720549158547412E-2</c:v>
                </c:pt>
                <c:pt idx="99">
                  <c:v>-2.2482159145785292E-2</c:v>
                </c:pt>
                <c:pt idx="100">
                  <c:v>5.7086398067844549E-3</c:v>
                </c:pt>
                <c:pt idx="101">
                  <c:v>1.4190590546883614E-2</c:v>
                </c:pt>
                <c:pt idx="102">
                  <c:v>6.2964158863416681E-3</c:v>
                </c:pt>
                <c:pt idx="103">
                  <c:v>2.4707203593775054E-2</c:v>
                </c:pt>
                <c:pt idx="104">
                  <c:v>-1.0385679244298398E-2</c:v>
                </c:pt>
                <c:pt idx="105">
                  <c:v>4.3560805822170687E-2</c:v>
                </c:pt>
                <c:pt idx="106">
                  <c:v>-1.3038204972710689E-2</c:v>
                </c:pt>
                <c:pt idx="107">
                  <c:v>1.1827956989247214E-2</c:v>
                </c:pt>
                <c:pt idx="108">
                  <c:v>-9.5136885785131742E-3</c:v>
                </c:pt>
                <c:pt idx="109">
                  <c:v>3.162519797680477E-2</c:v>
                </c:pt>
                <c:pt idx="110">
                  <c:v>6.7601030110934948E-2</c:v>
                </c:pt>
                <c:pt idx="111">
                  <c:v>7.3618778123115458E-2</c:v>
                </c:pt>
                <c:pt idx="112">
                  <c:v>-6.7404078810922403E-3</c:v>
                </c:pt>
                <c:pt idx="113">
                  <c:v>6.5816947972855477E-2</c:v>
                </c:pt>
                <c:pt idx="114">
                  <c:v>-8.2037467858454959E-3</c:v>
                </c:pt>
                <c:pt idx="115">
                  <c:v>8.6419753086423021E-4</c:v>
                </c:pt>
                <c:pt idx="116">
                  <c:v>-3.5812672176308631E-2</c:v>
                </c:pt>
                <c:pt idx="117">
                  <c:v>4.4989339019189757E-2</c:v>
                </c:pt>
                <c:pt idx="118">
                  <c:v>6.4721485411140672E-2</c:v>
                </c:pt>
                <c:pt idx="119">
                  <c:v>3.3038212410409655E-2</c:v>
                </c:pt>
                <c:pt idx="120">
                  <c:v>5.6283159574073371E-2</c:v>
                </c:pt>
                <c:pt idx="121">
                  <c:v>2.9539866526167934E-2</c:v>
                </c:pt>
                <c:pt idx="122">
                  <c:v>-0.1095493159564668</c:v>
                </c:pt>
                <c:pt idx="123">
                  <c:v>-2.9501915708812923E-3</c:v>
                </c:pt>
                <c:pt idx="124">
                  <c:v>6.6825500518771883E-2</c:v>
                </c:pt>
                <c:pt idx="125">
                  <c:v>-1.6209206829479758E-3</c:v>
                </c:pt>
                <c:pt idx="126">
                  <c:v>1.4359418407475545E-2</c:v>
                </c:pt>
                <c:pt idx="127">
                  <c:v>-2.5964787479992778E-2</c:v>
                </c:pt>
                <c:pt idx="128">
                  <c:v>-7.0476538250867768E-3</c:v>
                </c:pt>
                <c:pt idx="129">
                  <c:v>-1.9527802294792541E-2</c:v>
                </c:pt>
                <c:pt idx="130">
                  <c:v>-1.2490154157758596E-2</c:v>
                </c:pt>
                <c:pt idx="131">
                  <c:v>4.5047098146460039E-2</c:v>
                </c:pt>
                <c:pt idx="132">
                  <c:v>-1.5410336555935142E-2</c:v>
                </c:pt>
                <c:pt idx="133">
                  <c:v>5.3156146179402043E-2</c:v>
                </c:pt>
                <c:pt idx="134">
                  <c:v>1.5772870662459919E-3</c:v>
                </c:pt>
                <c:pt idx="135">
                  <c:v>-4.3114610673665767E-2</c:v>
                </c:pt>
                <c:pt idx="136">
                  <c:v>-1.8834802326006678E-2</c:v>
                </c:pt>
                <c:pt idx="137">
                  <c:v>4.4356642314000213E-3</c:v>
                </c:pt>
                <c:pt idx="138">
                  <c:v>3.4883289419972985E-3</c:v>
                </c:pt>
                <c:pt idx="139">
                  <c:v>7.6920232239931366E-3</c:v>
                </c:pt>
                <c:pt idx="140">
                  <c:v>2.2386142610737987E-3</c:v>
                </c:pt>
                <c:pt idx="141">
                  <c:v>4.3573782497253674E-3</c:v>
                </c:pt>
                <c:pt idx="142">
                  <c:v>5.1040869153096721E-4</c:v>
                </c:pt>
                <c:pt idx="143">
                  <c:v>-1.3737565135007195E-2</c:v>
                </c:pt>
                <c:pt idx="144">
                  <c:v>-0.10012561885760723</c:v>
                </c:pt>
                <c:pt idx="145">
                  <c:v>5.4196091312201464E-3</c:v>
                </c:pt>
                <c:pt idx="146">
                  <c:v>-5.7946749428291429E-2</c:v>
                </c:pt>
                <c:pt idx="147">
                  <c:v>4.0313841085439324E-3</c:v>
                </c:pt>
                <c:pt idx="148">
                  <c:v>1.7701407477765312E-2</c:v>
                </c:pt>
                <c:pt idx="149">
                  <c:v>3.703546580688958E-2</c:v>
                </c:pt>
                <c:pt idx="150">
                  <c:v>-3.8903661280425467E-2</c:v>
                </c:pt>
                <c:pt idx="151">
                  <c:v>3.234868477057979E-2</c:v>
                </c:pt>
                <c:pt idx="152">
                  <c:v>1.2616475632885189E-2</c:v>
                </c:pt>
                <c:pt idx="153">
                  <c:v>-2.6017915309446228E-2</c:v>
                </c:pt>
                <c:pt idx="154">
                  <c:v>-1.0451068099159141E-3</c:v>
                </c:pt>
                <c:pt idx="155">
                  <c:v>-8.3696016069633296E-4</c:v>
                </c:pt>
                <c:pt idx="156">
                  <c:v>5.842687217289326E-2</c:v>
                </c:pt>
                <c:pt idx="157">
                  <c:v>-4.5190138894384849E-2</c:v>
                </c:pt>
                <c:pt idx="158">
                  <c:v>1.1024078909196329E-2</c:v>
                </c:pt>
                <c:pt idx="159">
                  <c:v>-7.0096331215412739E-3</c:v>
                </c:pt>
                <c:pt idx="160">
                  <c:v>1.9567371202113614E-2</c:v>
                </c:pt>
                <c:pt idx="161">
                  <c:v>1.1417928577212732E-2</c:v>
                </c:pt>
                <c:pt idx="162">
                  <c:v>1.0448358686949528E-2</c:v>
                </c:pt>
                <c:pt idx="163">
                  <c:v>-2.1076819460401727E-2</c:v>
                </c:pt>
                <c:pt idx="164">
                  <c:v>-1.1696143105750857E-2</c:v>
                </c:pt>
                <c:pt idx="165">
                  <c:v>6.142506142506084E-3</c:v>
                </c:pt>
                <c:pt idx="166">
                  <c:v>-4.9287749287749226E-2</c:v>
                </c:pt>
                <c:pt idx="167">
                  <c:v>2.0976925382079491E-3</c:v>
                </c:pt>
                <c:pt idx="168">
                  <c:v>2.840909090909087E-2</c:v>
                </c:pt>
                <c:pt idx="169">
                  <c:v>1.2503634777551547E-2</c:v>
                </c:pt>
                <c:pt idx="170">
                  <c:v>-1.809304997128083E-2</c:v>
                </c:pt>
                <c:pt idx="171">
                  <c:v>5.42765219571303E-2</c:v>
                </c:pt>
                <c:pt idx="172">
                  <c:v>-5.9289790741914976E-2</c:v>
                </c:pt>
                <c:pt idx="173">
                  <c:v>3.2271654870239225E-2</c:v>
                </c:pt>
                <c:pt idx="174">
                  <c:v>-7.9993469920821951E-3</c:v>
                </c:pt>
                <c:pt idx="175">
                  <c:v>1.8102526125236766E-3</c:v>
                </c:pt>
                <c:pt idx="176">
                  <c:v>1.9999999999999931E-2</c:v>
                </c:pt>
                <c:pt idx="177">
                  <c:v>-6.079639247896276E-3</c:v>
                </c:pt>
                <c:pt idx="178">
                  <c:v>-8.3448108239487766E-3</c:v>
                </c:pt>
                <c:pt idx="179">
                  <c:v>-1.6135620915032661E-2</c:v>
                </c:pt>
                <c:pt idx="180">
                  <c:v>-1.7023043388000834E-2</c:v>
                </c:pt>
                <c:pt idx="181">
                  <c:v>-1.4572333685322172E-2</c:v>
                </c:pt>
                <c:pt idx="182">
                  <c:v>2.4432061723104227E-3</c:v>
                </c:pt>
                <c:pt idx="183">
                  <c:v>-3.4378073288579211E-2</c:v>
                </c:pt>
                <c:pt idx="184">
                  <c:v>6.6288801310720458E-2</c:v>
                </c:pt>
                <c:pt idx="185">
                  <c:v>-5.8139534883718219E-4</c:v>
                </c:pt>
                <c:pt idx="186">
                  <c:v>2.243829468960444E-3</c:v>
                </c:pt>
                <c:pt idx="187">
                  <c:v>2.7197346600331625E-2</c:v>
                </c:pt>
                <c:pt idx="188">
                  <c:v>-2.6235066193090605E-3</c:v>
                </c:pt>
                <c:pt idx="189">
                  <c:v>-3.0269920278418423E-2</c:v>
                </c:pt>
                <c:pt idx="190">
                  <c:v>4.5904102157492566E-3</c:v>
                </c:pt>
                <c:pt idx="191">
                  <c:v>-2.1185560586550051E-3</c:v>
                </c:pt>
                <c:pt idx="192">
                  <c:v>2.4644076263425289E-2</c:v>
                </c:pt>
                <c:pt idx="193">
                  <c:v>1.6413423255058093E-2</c:v>
                </c:pt>
                <c:pt idx="194">
                  <c:v>4.5247421856263403E-2</c:v>
                </c:pt>
                <c:pt idx="195">
                  <c:v>7.2657743785851355E-3</c:v>
                </c:pt>
                <c:pt idx="196">
                  <c:v>-3.1890660592255121E-2</c:v>
                </c:pt>
                <c:pt idx="197">
                  <c:v>1.5098039215686336E-2</c:v>
                </c:pt>
                <c:pt idx="198">
                  <c:v>2.4145257871354065E-2</c:v>
                </c:pt>
                <c:pt idx="199">
                  <c:v>-1.2334967936627752E-2</c:v>
                </c:pt>
                <c:pt idx="200">
                  <c:v>1.4895160982316791E-2</c:v>
                </c:pt>
                <c:pt idx="201">
                  <c:v>2.9767056786964226E-2</c:v>
                </c:pt>
                <c:pt idx="202">
                  <c:v>1.0086244701067087E-2</c:v>
                </c:pt>
                <c:pt idx="203">
                  <c:v>-2.1635311143270584E-2</c:v>
                </c:pt>
                <c:pt idx="204">
                  <c:v>8.098513423563259E-3</c:v>
                </c:pt>
                <c:pt idx="205">
                  <c:v>-7.2521184109166956E-2</c:v>
                </c:pt>
                <c:pt idx="206">
                  <c:v>5.9721563043822106E-3</c:v>
                </c:pt>
                <c:pt idx="207">
                  <c:v>5.3862787497542938E-3</c:v>
                </c:pt>
                <c:pt idx="208">
                  <c:v>8.9942124198342105E-3</c:v>
                </c:pt>
                <c:pt idx="209">
                  <c:v>-1.8680722424618219E-2</c:v>
                </c:pt>
                <c:pt idx="210">
                  <c:v>1.7614533965244785E-2</c:v>
                </c:pt>
                <c:pt idx="211">
                  <c:v>3.4153535667158647E-3</c:v>
                </c:pt>
                <c:pt idx="212">
                  <c:v>-1.4311131739769375E-2</c:v>
                </c:pt>
                <c:pt idx="213">
                  <c:v>2.118976612776585E-3</c:v>
                </c:pt>
                <c:pt idx="214">
                  <c:v>-5.8344427911348152E-3</c:v>
                </c:pt>
                <c:pt idx="215">
                  <c:v>2.1899247705699357E-2</c:v>
                </c:pt>
                <c:pt idx="216">
                  <c:v>0.13474657930237036</c:v>
                </c:pt>
                <c:pt idx="217">
                  <c:v>-0.10240820624299449</c:v>
                </c:pt>
                <c:pt idx="218">
                  <c:v>1.8466661621130823E-2</c:v>
                </c:pt>
                <c:pt idx="219">
                  <c:v>-2.4262465631270054E-2</c:v>
                </c:pt>
                <c:pt idx="220">
                  <c:v>5.0569285251894421E-2</c:v>
                </c:pt>
                <c:pt idx="221">
                  <c:v>-5.8719054695711712E-3</c:v>
                </c:pt>
                <c:pt idx="222">
                  <c:v>-1.1630874685528824E-2</c:v>
                </c:pt>
                <c:pt idx="223">
                  <c:v>-1.3280212483400237E-3</c:v>
                </c:pt>
                <c:pt idx="224">
                  <c:v>9.936465721040259E-3</c:v>
                </c:pt>
                <c:pt idx="225">
                  <c:v>-2.1945064189313583E-4</c:v>
                </c:pt>
                <c:pt idx="226">
                  <c:v>-8.6702030364002886E-3</c:v>
                </c:pt>
                <c:pt idx="227">
                  <c:v>3.7382832681378764E-2</c:v>
                </c:pt>
                <c:pt idx="228">
                  <c:v>-1.4015865675358468E-2</c:v>
                </c:pt>
                <c:pt idx="229">
                  <c:v>6.3859725078471551E-3</c:v>
                </c:pt>
                <c:pt idx="230">
                  <c:v>-7.4926507492650623E-3</c:v>
                </c:pt>
                <c:pt idx="231">
                  <c:v>-3.6373487448076502E-2</c:v>
                </c:pt>
                <c:pt idx="232">
                  <c:v>7.534297923382581E-3</c:v>
                </c:pt>
                <c:pt idx="233">
                  <c:v>-1.8304252390341936E-2</c:v>
                </c:pt>
                <c:pt idx="234">
                  <c:v>-3.5093038238526622E-2</c:v>
                </c:pt>
                <c:pt idx="235">
                  <c:v>-7.5409449746671447E-3</c:v>
                </c:pt>
                <c:pt idx="236">
                  <c:v>3.6170802168665223E-2</c:v>
                </c:pt>
                <c:pt idx="237">
                  <c:v>-2.0242141847764132E-3</c:v>
                </c:pt>
                <c:pt idx="238">
                  <c:v>2.41102181400698E-3</c:v>
                </c:pt>
                <c:pt idx="239">
                  <c:v>3.6269232237620304E-3</c:v>
                </c:pt>
                <c:pt idx="240">
                  <c:v>-1.0841448569689598E-2</c:v>
                </c:pt>
                <c:pt idx="241">
                  <c:v>2.1151405607045233E-3</c:v>
                </c:pt>
                <c:pt idx="242">
                  <c:v>1.1244147670580983E-2</c:v>
                </c:pt>
                <c:pt idx="243">
                  <c:v>-2.2086448332131636E-2</c:v>
                </c:pt>
                <c:pt idx="244">
                  <c:v>-2.1033024176335832E-2</c:v>
                </c:pt>
                <c:pt idx="245">
                  <c:v>1.5856027272372202E-4</c:v>
                </c:pt>
                <c:pt idx="246">
                  <c:v>-7.2926162260711445E-3</c:v>
                </c:pt>
                <c:pt idx="247">
                  <c:v>-1.1019283746556465E-2</c:v>
                </c:pt>
                <c:pt idx="248">
                  <c:v>-2.4787049372249837E-2</c:v>
                </c:pt>
                <c:pt idx="249">
                  <c:v>1.6351368133460262E-2</c:v>
                </c:pt>
                <c:pt idx="250">
                  <c:v>1.0141739980449609E-2</c:v>
                </c:pt>
                <c:pt idx="251">
                  <c:v>1.7983145840893576E-2</c:v>
                </c:pt>
                <c:pt idx="252">
                  <c:v>7.9217332752404539E-4</c:v>
                </c:pt>
                <c:pt idx="253">
                  <c:v>1.3337554913523559E-2</c:v>
                </c:pt>
                <c:pt idx="254">
                  <c:v>-2.8198718950163949E-2</c:v>
                </c:pt>
                <c:pt idx="255">
                  <c:v>2.2506229402781075E-2</c:v>
                </c:pt>
                <c:pt idx="256">
                  <c:v>3.8125933495794869E-3</c:v>
                </c:pt>
                <c:pt idx="257">
                  <c:v>1.7228552410039458E-2</c:v>
                </c:pt>
                <c:pt idx="258">
                  <c:v>-4.8885638400245927E-3</c:v>
                </c:pt>
                <c:pt idx="259">
                  <c:v>7.7363453504521572E-5</c:v>
                </c:pt>
                <c:pt idx="260">
                  <c:v>2.8312833604084448E-2</c:v>
                </c:pt>
                <c:pt idx="261">
                  <c:v>-1.4518919732189847E-2</c:v>
                </c:pt>
                <c:pt idx="262">
                  <c:v>1.0687022900764216E-3</c:v>
                </c:pt>
                <c:pt idx="263">
                  <c:v>7.7016928473386519E-3</c:v>
                </c:pt>
                <c:pt idx="264">
                  <c:v>-1.2410139992432819E-2</c:v>
                </c:pt>
                <c:pt idx="265">
                  <c:v>-6.5129108880543482E-4</c:v>
                </c:pt>
                <c:pt idx="266">
                  <c:v>3.3544182480352694E-2</c:v>
                </c:pt>
                <c:pt idx="267">
                  <c:v>-1.4910979228486684E-2</c:v>
                </c:pt>
                <c:pt idx="268">
                  <c:v>-1.3555237593192771E-3</c:v>
                </c:pt>
                <c:pt idx="269">
                  <c:v>3.6007842545811096E-2</c:v>
                </c:pt>
                <c:pt idx="270">
                  <c:v>5.459111256687618E-4</c:v>
                </c:pt>
                <c:pt idx="271">
                  <c:v>6.3654881420049728E-3</c:v>
                </c:pt>
                <c:pt idx="272">
                  <c:v>-1.5288972422019077E-2</c:v>
                </c:pt>
                <c:pt idx="273">
                  <c:v>-6.7904859785640403E-3</c:v>
                </c:pt>
                <c:pt idx="274">
                  <c:v>4.4901881074688635E-2</c:v>
                </c:pt>
                <c:pt idx="275">
                  <c:v>2.0867227841832601E-3</c:v>
                </c:pt>
                <c:pt idx="276">
                  <c:v>-1.0870716126072067E-2</c:v>
                </c:pt>
                <c:pt idx="277">
                  <c:v>1.4986619090098696E-3</c:v>
                </c:pt>
                <c:pt idx="278">
                  <c:v>-5.7719029465207903E-3</c:v>
                </c:pt>
                <c:pt idx="279">
                  <c:v>5.4112166278444647E-3</c:v>
                </c:pt>
                <c:pt idx="280">
                  <c:v>-6.3800969489592975E-3</c:v>
                </c:pt>
                <c:pt idx="281">
                  <c:v>2.7980055242672959E-3</c:v>
                </c:pt>
                <c:pt idx="282">
                  <c:v>5.86657127526387E-3</c:v>
                </c:pt>
                <c:pt idx="283">
                  <c:v>3.5918773782851131E-3</c:v>
                </c:pt>
                <c:pt idx="284">
                  <c:v>-2.5797306874556981E-2</c:v>
                </c:pt>
                <c:pt idx="285">
                  <c:v>1.9678451913283879E-2</c:v>
                </c:pt>
                <c:pt idx="286">
                  <c:v>-1.0202261620233345E-2</c:v>
                </c:pt>
                <c:pt idx="287">
                  <c:v>9.7307817061303772E-3</c:v>
                </c:pt>
                <c:pt idx="288">
                  <c:v>1.0707784559375072E-3</c:v>
                </c:pt>
                <c:pt idx="289">
                  <c:v>2.4958106036288718E-4</c:v>
                </c:pt>
                <c:pt idx="290">
                  <c:v>-1.2262066015541372E-2</c:v>
                </c:pt>
                <c:pt idx="291">
                  <c:v>4.2583904727534665E-3</c:v>
                </c:pt>
                <c:pt idx="292">
                  <c:v>-7.0252982607445683E-2</c:v>
                </c:pt>
                <c:pt idx="293">
                  <c:v>6.5705561782552525E-3</c:v>
                </c:pt>
                <c:pt idx="294">
                  <c:v>-6.4124716814498344E-3</c:v>
                </c:pt>
                <c:pt idx="295">
                  <c:v>9.8933374555572814E-3</c:v>
                </c:pt>
                <c:pt idx="296">
                  <c:v>-2.4108372876168065E-3</c:v>
                </c:pt>
                <c:pt idx="297">
                  <c:v>6.521155395297162E-3</c:v>
                </c:pt>
                <c:pt idx="298">
                  <c:v>-1.2881588475170585E-2</c:v>
                </c:pt>
                <c:pt idx="299">
                  <c:v>1.1312304544226064E-2</c:v>
                </c:pt>
                <c:pt idx="300">
                  <c:v>-3.588608078185754E-3</c:v>
                </c:pt>
                <c:pt idx="301">
                  <c:v>2.8352490421455195E-3</c:v>
                </c:pt>
                <c:pt idx="302">
                  <c:v>-1.7192633911514538E-3</c:v>
                </c:pt>
                <c:pt idx="303">
                  <c:v>-5.4345746105860541E-3</c:v>
                </c:pt>
                <c:pt idx="304">
                  <c:v>9.6971562704430084E-3</c:v>
                </c:pt>
                <c:pt idx="305">
                  <c:v>-3.7730096421357594E-3</c:v>
                </c:pt>
                <c:pt idx="306">
                  <c:v>5.0114766641163053E-3</c:v>
                </c:pt>
                <c:pt idx="307">
                  <c:v>4.681968710745596E-3</c:v>
                </c:pt>
                <c:pt idx="308">
                  <c:v>-4.7359248314010761E-2</c:v>
                </c:pt>
                <c:pt idx="309">
                  <c:v>-5.9258670060450746E-3</c:v>
                </c:pt>
                <c:pt idx="310">
                  <c:v>1.0402080416083136E-2</c:v>
                </c:pt>
                <c:pt idx="311">
                  <c:v>4.9891110671154712E-3</c:v>
                </c:pt>
                <c:pt idx="312">
                  <c:v>-2.4821717032425372E-3</c:v>
                </c:pt>
                <c:pt idx="313">
                  <c:v>-2.6423888142823305E-2</c:v>
                </c:pt>
                <c:pt idx="314">
                  <c:v>9.2498681488092007E-3</c:v>
                </c:pt>
                <c:pt idx="315">
                  <c:v>3.70623467459903E-2</c:v>
                </c:pt>
                <c:pt idx="316">
                  <c:v>-8.1010891895034551E-3</c:v>
                </c:pt>
                <c:pt idx="317">
                  <c:v>1.9538882375924209E-4</c:v>
                </c:pt>
                <c:pt idx="318">
                  <c:v>-4.727485837077502E-3</c:v>
                </c:pt>
                <c:pt idx="319">
                  <c:v>-6.7127267017350776E-3</c:v>
                </c:pt>
                <c:pt idx="320">
                  <c:v>-7.9990514958700576E-2</c:v>
                </c:pt>
                <c:pt idx="321">
                  <c:v>5.2837321190773272E-3</c:v>
                </c:pt>
                <c:pt idx="322">
                  <c:v>4.0167507050678421E-3</c:v>
                </c:pt>
                <c:pt idx="323">
                  <c:v>-1.591760299625463E-2</c:v>
                </c:pt>
                <c:pt idx="324">
                  <c:v>2.9279474093936494E-2</c:v>
                </c:pt>
                <c:pt idx="325">
                  <c:v>-5.5884701037858366E-3</c:v>
                </c:pt>
                <c:pt idx="326">
                  <c:v>-9.9721118904758151E-3</c:v>
                </c:pt>
                <c:pt idx="327">
                  <c:v>-8.1519419547588113E-3</c:v>
                </c:pt>
                <c:pt idx="328">
                  <c:v>1.83742846077714E-2</c:v>
                </c:pt>
                <c:pt idx="329">
                  <c:v>1.0267894870277974E-2</c:v>
                </c:pt>
                <c:pt idx="330">
                  <c:v>-4.7680789660796028E-3</c:v>
                </c:pt>
                <c:pt idx="331">
                  <c:v>-9.5818449254045611E-3</c:v>
                </c:pt>
                <c:pt idx="332">
                  <c:v>1.8033691178342626E-2</c:v>
                </c:pt>
                <c:pt idx="333">
                  <c:v>-4.1680560186779844E-5</c:v>
                </c:pt>
                <c:pt idx="334">
                  <c:v>8.7532824809303852E-3</c:v>
                </c:pt>
                <c:pt idx="335">
                  <c:v>-1.2437502582537991E-2</c:v>
                </c:pt>
                <c:pt idx="336">
                  <c:v>1.9121338912133922E-2</c:v>
                </c:pt>
                <c:pt idx="337">
                  <c:v>-1.3178962926468694E-2</c:v>
                </c:pt>
                <c:pt idx="338">
                  <c:v>4.9925112331501683E-3</c:v>
                </c:pt>
                <c:pt idx="339">
                  <c:v>-1.5772478887232995E-2</c:v>
                </c:pt>
                <c:pt idx="340">
                  <c:v>3.7013669821241209E-3</c:v>
                </c:pt>
                <c:pt idx="341">
                  <c:v>-3.5200938691698292E-3</c:v>
                </c:pt>
                <c:pt idx="342">
                  <c:v>-4.2264182682198538E-2</c:v>
                </c:pt>
                <c:pt idx="343">
                  <c:v>-2.5862826029683067E-2</c:v>
                </c:pt>
                <c:pt idx="344">
                  <c:v>1.8390804597701208E-2</c:v>
                </c:pt>
                <c:pt idx="345">
                  <c:v>1.3145664586376338E-2</c:v>
                </c:pt>
                <c:pt idx="346">
                  <c:v>-9.9169943206640597E-3</c:v>
                </c:pt>
                <c:pt idx="347">
                  <c:v>9.7074526761675261E-4</c:v>
                </c:pt>
                <c:pt idx="348">
                  <c:v>-9.9184483138636936E-3</c:v>
                </c:pt>
                <c:pt idx="349">
                  <c:v>-4.3410507569011637E-2</c:v>
                </c:pt>
                <c:pt idx="350">
                  <c:v>2.6157784500814577E-2</c:v>
                </c:pt>
                <c:pt idx="351">
                  <c:v>2.707851408354868E-2</c:v>
                </c:pt>
                <c:pt idx="352">
                  <c:v>-1.5898251192367873E-3</c:v>
                </c:pt>
                <c:pt idx="353">
                  <c:v>-3.3616418966737663E-3</c:v>
                </c:pt>
                <c:pt idx="354">
                  <c:v>5.592046866678556E-3</c:v>
                </c:pt>
                <c:pt idx="355">
                  <c:v>3.0894165416179257E-4</c:v>
                </c:pt>
                <c:pt idx="356">
                  <c:v>-6.6622545775424577E-3</c:v>
                </c:pt>
                <c:pt idx="357">
                  <c:v>2.9137425601847844E-2</c:v>
                </c:pt>
                <c:pt idx="358">
                  <c:v>1.3249892101855787E-2</c:v>
                </c:pt>
                <c:pt idx="359">
                  <c:v>-9.07270946032291E-3</c:v>
                </c:pt>
                <c:pt idx="360">
                  <c:v>2.6607634112792287E-2</c:v>
                </c:pt>
                <c:pt idx="361">
                  <c:v>2.3531382154670735E-2</c:v>
                </c:pt>
                <c:pt idx="362">
                  <c:v>-1.1249744323992578E-2</c:v>
                </c:pt>
                <c:pt idx="363">
                  <c:v>1.7459660736450021E-2</c:v>
                </c:pt>
                <c:pt idx="364">
                  <c:v>-2.0494469746258858E-2</c:v>
                </c:pt>
                <c:pt idx="365">
                  <c:v>4.2759880438391724E-3</c:v>
                </c:pt>
                <c:pt idx="366">
                  <c:v>-2.1495597536273659E-3</c:v>
                </c:pt>
                <c:pt idx="367">
                  <c:v>-1.9884833671650966E-3</c:v>
                </c:pt>
                <c:pt idx="368">
                  <c:v>-2.3535760242414185E-2</c:v>
                </c:pt>
                <c:pt idx="369">
                  <c:v>-1.1605169188913435E-2</c:v>
                </c:pt>
                <c:pt idx="370">
                  <c:v>2.9203045030321211E-2</c:v>
                </c:pt>
                <c:pt idx="371">
                  <c:v>2.6368575010447148E-2</c:v>
                </c:pt>
                <c:pt idx="372">
                  <c:v>-9.1201498310329466E-3</c:v>
                </c:pt>
                <c:pt idx="373">
                  <c:v>1.8654723260878525E-2</c:v>
                </c:pt>
                <c:pt idx="374">
                  <c:v>2.133838893146706E-2</c:v>
                </c:pt>
                <c:pt idx="375">
                  <c:v>-7.7409162717220186E-3</c:v>
                </c:pt>
                <c:pt idx="376">
                  <c:v>-6.4082152523482656E-3</c:v>
                </c:pt>
                <c:pt idx="377">
                  <c:v>8.8931618795816906E-3</c:v>
                </c:pt>
                <c:pt idx="378">
                  <c:v>-1.056184236648792E-2</c:v>
                </c:pt>
                <c:pt idx="379">
                  <c:v>-2.4118142782615638E-2</c:v>
                </c:pt>
                <c:pt idx="380">
                  <c:v>-3.5611481207336114E-2</c:v>
                </c:pt>
                <c:pt idx="381">
                  <c:v>2.6436977656488832E-3</c:v>
                </c:pt>
                <c:pt idx="382">
                  <c:v>-2.8833886195458062E-2</c:v>
                </c:pt>
                <c:pt idx="383">
                  <c:v>-1.6202487300752775E-3</c:v>
                </c:pt>
                <c:pt idx="384">
                  <c:v>-2.083424711610149E-2</c:v>
                </c:pt>
                <c:pt idx="385">
                  <c:v>-8.9589679268962214E-4</c:v>
                </c:pt>
                <c:pt idx="386">
                  <c:v>-2.3314203730272422E-3</c:v>
                </c:pt>
                <c:pt idx="387">
                  <c:v>1.1684342980406326E-2</c:v>
                </c:pt>
                <c:pt idx="388">
                  <c:v>-3.9978678038379463E-3</c:v>
                </c:pt>
                <c:pt idx="389">
                  <c:v>-1.8776201944518747E-2</c:v>
                </c:pt>
                <c:pt idx="390">
                  <c:v>1.4272078541884461E-2</c:v>
                </c:pt>
                <c:pt idx="391">
                  <c:v>-1.819403988348655E-2</c:v>
                </c:pt>
                <c:pt idx="392">
                  <c:v>-1.7298826966086894E-2</c:v>
                </c:pt>
                <c:pt idx="393">
                  <c:v>4.3706456107756565E-2</c:v>
                </c:pt>
                <c:pt idx="394">
                  <c:v>-8.4553424413689321E-3</c:v>
                </c:pt>
                <c:pt idx="395">
                  <c:v>1.0412459045823925E-2</c:v>
                </c:pt>
                <c:pt idx="396">
                  <c:v>1.2925865055745427E-2</c:v>
                </c:pt>
                <c:pt idx="397">
                  <c:v>7.7617961761095935E-3</c:v>
                </c:pt>
                <c:pt idx="398">
                  <c:v>5.743875375309947E-3</c:v>
                </c:pt>
                <c:pt idx="399">
                  <c:v>-1.1378877687881197E-2</c:v>
                </c:pt>
                <c:pt idx="400">
                  <c:v>9.1903719912471461E-3</c:v>
                </c:pt>
                <c:pt idx="401">
                  <c:v>-1.0841283607979185E-2</c:v>
                </c:pt>
                <c:pt idx="402">
                  <c:v>1.078474353353802E-2</c:v>
                </c:pt>
                <c:pt idx="403">
                  <c:v>4.9444829979181457E-3</c:v>
                </c:pt>
                <c:pt idx="404">
                  <c:v>-4.2296072507552886E-2</c:v>
                </c:pt>
                <c:pt idx="405">
                  <c:v>1.2257773771969285E-2</c:v>
                </c:pt>
                <c:pt idx="406">
                  <c:v>1.5581871605378035E-2</c:v>
                </c:pt>
                <c:pt idx="407">
                  <c:v>1.7315448009819375E-2</c:v>
                </c:pt>
                <c:pt idx="408">
                  <c:v>-1.939070108157095E-3</c:v>
                </c:pt>
                <c:pt idx="409">
                  <c:v>1.4247474311372155E-2</c:v>
                </c:pt>
                <c:pt idx="410">
                  <c:v>3.1457517452749904E-2</c:v>
                </c:pt>
                <c:pt idx="411">
                  <c:v>2.0015682390326417E-2</c:v>
                </c:pt>
                <c:pt idx="412">
                  <c:v>-3.7061013108917316E-2</c:v>
                </c:pt>
                <c:pt idx="413">
                  <c:v>4.0336134453781546E-3</c:v>
                </c:pt>
                <c:pt idx="414">
                  <c:v>-3.7244727150988529E-3</c:v>
                </c:pt>
                <c:pt idx="415">
                  <c:v>-4.7507035745789065E-2</c:v>
                </c:pt>
                <c:pt idx="416">
                  <c:v>-1.1333568530604953E-2</c:v>
                </c:pt>
                <c:pt idx="417">
                  <c:v>8.8763994825816518E-3</c:v>
                </c:pt>
                <c:pt idx="418">
                  <c:v>4.9518082942789764E-3</c:v>
                </c:pt>
                <c:pt idx="419">
                  <c:v>-1.465024197096357E-2</c:v>
                </c:pt>
                <c:pt idx="420">
                  <c:v>3.1298834665356989E-2</c:v>
                </c:pt>
                <c:pt idx="421">
                  <c:v>5.32513637544381E-3</c:v>
                </c:pt>
                <c:pt idx="422">
                  <c:v>6.0720899186080804E-3</c:v>
                </c:pt>
                <c:pt idx="423">
                  <c:v>7.8332334560398675E-3</c:v>
                </c:pt>
                <c:pt idx="424">
                  <c:v>1.4100658313866943E-2</c:v>
                </c:pt>
                <c:pt idx="425">
                  <c:v>-2.1275704653013323E-2</c:v>
                </c:pt>
                <c:pt idx="426">
                  <c:v>1.1297017416235155E-2</c:v>
                </c:pt>
                <c:pt idx="427">
                  <c:v>1.1424702746160012E-2</c:v>
                </c:pt>
                <c:pt idx="428">
                  <c:v>1.7905702213111361E-2</c:v>
                </c:pt>
                <c:pt idx="429">
                  <c:v>9.9872590522379727E-3</c:v>
                </c:pt>
                <c:pt idx="430">
                  <c:v>5.005290144054592E-3</c:v>
                </c:pt>
                <c:pt idx="431">
                  <c:v>-1.34024375430214E-2</c:v>
                </c:pt>
                <c:pt idx="432">
                  <c:v>4.8222933595994451E-2</c:v>
                </c:pt>
                <c:pt idx="433">
                  <c:v>-1.3742609921302967E-2</c:v>
                </c:pt>
                <c:pt idx="434">
                  <c:v>8.7336244541478614E-4</c:v>
                </c:pt>
                <c:pt idx="435">
                  <c:v>2.0149135332381371E-2</c:v>
                </c:pt>
                <c:pt idx="436">
                  <c:v>4.5684292379471261E-2</c:v>
                </c:pt>
                <c:pt idx="437">
                  <c:v>-4.0118981223275722E-2</c:v>
                </c:pt>
                <c:pt idx="438">
                  <c:v>1.7043693833281737E-2</c:v>
                </c:pt>
                <c:pt idx="439">
                  <c:v>-3.6486898232784962E-2</c:v>
                </c:pt>
                <c:pt idx="440">
                  <c:v>-5.5340343110126108E-3</c:v>
                </c:pt>
                <c:pt idx="441">
                  <c:v>-1.7807456872565401E-2</c:v>
                </c:pt>
                <c:pt idx="442">
                  <c:v>3.6665317685147664E-2</c:v>
                </c:pt>
                <c:pt idx="443">
                  <c:v>-1.182854465958779E-2</c:v>
                </c:pt>
                <c:pt idx="444">
                  <c:v>-1.6157705526804365E-2</c:v>
                </c:pt>
                <c:pt idx="445">
                  <c:v>1.144394474783168E-2</c:v>
                </c:pt>
                <c:pt idx="446">
                  <c:v>2.90206042320061E-2</c:v>
                </c:pt>
                <c:pt idx="447">
                  <c:v>-2.7932098765432106E-2</c:v>
                </c:pt>
                <c:pt idx="448">
                  <c:v>-1.8256866169233246E-2</c:v>
                </c:pt>
                <c:pt idx="449">
                  <c:v>1.6575032341526526E-2</c:v>
                </c:pt>
                <c:pt idx="450">
                  <c:v>4.7721307563829054E-4</c:v>
                </c:pt>
                <c:pt idx="451">
                  <c:v>-2.0748867159551713E-2</c:v>
                </c:pt>
                <c:pt idx="452">
                  <c:v>-1.9483682415975916E-3</c:v>
                </c:pt>
                <c:pt idx="453">
                  <c:v>-3.2129494062144389E-3</c:v>
                </c:pt>
                <c:pt idx="454">
                  <c:v>1.1261169366355208E-2</c:v>
                </c:pt>
                <c:pt idx="455">
                  <c:v>9.5622352229170187E-3</c:v>
                </c:pt>
                <c:pt idx="456">
                  <c:v>2.9853728718727518E-2</c:v>
                </c:pt>
                <c:pt idx="457">
                  <c:v>1.1292638441538298E-2</c:v>
                </c:pt>
                <c:pt idx="458">
                  <c:v>4.6431312356102154E-3</c:v>
                </c:pt>
                <c:pt idx="459">
                  <c:v>-2.8837706733891088E-2</c:v>
                </c:pt>
                <c:pt idx="460">
                  <c:v>-4.837567843939179E-3</c:v>
                </c:pt>
                <c:pt idx="461">
                  <c:v>-2.5530569497688053E-2</c:v>
                </c:pt>
                <c:pt idx="462">
                  <c:v>-3.889362047288801E-2</c:v>
                </c:pt>
                <c:pt idx="463">
                  <c:v>-5.3169043801165172E-3</c:v>
                </c:pt>
                <c:pt idx="464">
                  <c:v>-3.7756660444594704E-3</c:v>
                </c:pt>
                <c:pt idx="465">
                  <c:v>-1.2860367074053554E-2</c:v>
                </c:pt>
                <c:pt idx="466">
                  <c:v>-2.5753850135887206E-2</c:v>
                </c:pt>
                <c:pt idx="467">
                  <c:v>3.586609989372986E-3</c:v>
                </c:pt>
                <c:pt idx="468">
                  <c:v>-1.160379439664673E-2</c:v>
                </c:pt>
                <c:pt idx="469">
                  <c:v>1.8301937327024538E-3</c:v>
                </c:pt>
                <c:pt idx="470">
                  <c:v>-2.7759212226529478E-2</c:v>
                </c:pt>
                <c:pt idx="471">
                  <c:v>-1.81484876260312E-2</c:v>
                </c:pt>
                <c:pt idx="472">
                  <c:v>7.0481702763256068E-3</c:v>
                </c:pt>
                <c:pt idx="473">
                  <c:v>-3.7172653534183066E-2</c:v>
                </c:pt>
                <c:pt idx="474">
                  <c:v>3.7452462330910256E-2</c:v>
                </c:pt>
                <c:pt idx="475">
                  <c:v>9.2339102593847911E-3</c:v>
                </c:pt>
                <c:pt idx="476">
                  <c:v>-9.4712643678160693E-3</c:v>
                </c:pt>
                <c:pt idx="477">
                  <c:v>1.6895655402896434E-2</c:v>
                </c:pt>
                <c:pt idx="478">
                  <c:v>-8.4444038707322568E-3</c:v>
                </c:pt>
                <c:pt idx="479">
                  <c:v>1.5651613497214927E-2</c:v>
                </c:pt>
                <c:pt idx="480">
                  <c:v>-8.7476771064677449E-3</c:v>
                </c:pt>
                <c:pt idx="481">
                  <c:v>4.343850022862316E-3</c:v>
                </c:pt>
                <c:pt idx="482">
                  <c:v>-1.0380150239016688E-2</c:v>
                </c:pt>
                <c:pt idx="483">
                  <c:v>1.0351014399411208E-2</c:v>
                </c:pt>
                <c:pt idx="484">
                  <c:v>1.6756215280939738E-2</c:v>
                </c:pt>
                <c:pt idx="485">
                  <c:v>-8.1952530228392231E-3</c:v>
                </c:pt>
                <c:pt idx="486">
                  <c:v>3.8831444439428402E-3</c:v>
                </c:pt>
                <c:pt idx="487">
                  <c:v>-3.823145774299503E-3</c:v>
                </c:pt>
                <c:pt idx="488">
                  <c:v>-1.2822828246342736E-2</c:v>
                </c:pt>
                <c:pt idx="489">
                  <c:v>-2.5567142334431074E-2</c:v>
                </c:pt>
                <c:pt idx="490">
                  <c:v>-1.4315888289133993E-2</c:v>
                </c:pt>
                <c:pt idx="491">
                  <c:v>2.2047619047619094E-2</c:v>
                </c:pt>
                <c:pt idx="492">
                  <c:v>2.1665191259376593E-2</c:v>
                </c:pt>
                <c:pt idx="493">
                  <c:v>-5.2444363371033373E-3</c:v>
                </c:pt>
                <c:pt idx="494">
                  <c:v>-1.5953789024893365E-2</c:v>
                </c:pt>
                <c:pt idx="495">
                  <c:v>-1.90542744001863E-2</c:v>
                </c:pt>
                <c:pt idx="496">
                  <c:v>5.7940729483282622E-3</c:v>
                </c:pt>
                <c:pt idx="497">
                  <c:v>-1.6007177259420257E-2</c:v>
                </c:pt>
                <c:pt idx="498">
                  <c:v>-4.8466817025768555E-3</c:v>
                </c:pt>
                <c:pt idx="499">
                  <c:v>-1.8613173883691738E-2</c:v>
                </c:pt>
                <c:pt idx="500">
                  <c:v>-6.0485455974842846E-2</c:v>
                </c:pt>
                <c:pt idx="501">
                  <c:v>1.9873437581716573E-3</c:v>
                </c:pt>
                <c:pt idx="502">
                  <c:v>1.5136489378359996E-3</c:v>
                </c:pt>
                <c:pt idx="503">
                  <c:v>-2.918490723368636E-3</c:v>
                </c:pt>
                <c:pt idx="504">
                  <c:v>-9.0947104327829299E-3</c:v>
                </c:pt>
                <c:pt idx="505">
                  <c:v>1.2448570524316947E-2</c:v>
                </c:pt>
                <c:pt idx="506">
                  <c:v>-5.0484526414504412E-2</c:v>
                </c:pt>
                <c:pt idx="507">
                  <c:v>3.3744855967078102E-2</c:v>
                </c:pt>
                <c:pt idx="508">
                  <c:v>-6.7409766454351854E-3</c:v>
                </c:pt>
                <c:pt idx="509">
                  <c:v>-2.4047453641854169E-3</c:v>
                </c:pt>
                <c:pt idx="510">
                  <c:v>2.731947718020245E-3</c:v>
                </c:pt>
                <c:pt idx="511">
                  <c:v>-2.0887867941663644E-2</c:v>
                </c:pt>
                <c:pt idx="512">
                  <c:v>1.1294194674814533E-2</c:v>
                </c:pt>
                <c:pt idx="513">
                  <c:v>3.5068788777988281E-3</c:v>
                </c:pt>
                <c:pt idx="514">
                  <c:v>7.0860215053763317E-2</c:v>
                </c:pt>
                <c:pt idx="515">
                  <c:v>2.4801686916357053E-2</c:v>
                </c:pt>
                <c:pt idx="516">
                  <c:v>-1.0924946110131246E-2</c:v>
                </c:pt>
                <c:pt idx="517">
                  <c:v>-1.1986725444549056E-2</c:v>
                </c:pt>
                <c:pt idx="518">
                  <c:v>1.1330024565097463E-2</c:v>
                </c:pt>
                <c:pt idx="519">
                  <c:v>2.4339463639518329E-2</c:v>
                </c:pt>
                <c:pt idx="520">
                  <c:v>-6.4363143631437601E-3</c:v>
                </c:pt>
                <c:pt idx="521">
                  <c:v>1.2615069894306188E-2</c:v>
                </c:pt>
                <c:pt idx="522">
                  <c:v>-1.9047619047619088E-2</c:v>
                </c:pt>
                <c:pt idx="523">
                  <c:v>-3.7756202804745606E-3</c:v>
                </c:pt>
                <c:pt idx="524">
                  <c:v>-9.3025545110006422E-3</c:v>
                </c:pt>
                <c:pt idx="525">
                  <c:v>-1.7488076311605739E-2</c:v>
                </c:pt>
                <c:pt idx="526">
                  <c:v>-1.3551779935275116E-2</c:v>
                </c:pt>
                <c:pt idx="527">
                  <c:v>-3.0244002460529006E-2</c:v>
                </c:pt>
                <c:pt idx="528">
                  <c:v>7.7175177080030027E-3</c:v>
                </c:pt>
                <c:pt idx="529">
                  <c:v>-6.399496433067556E-3</c:v>
                </c:pt>
                <c:pt idx="530">
                  <c:v>1.0822510822510732E-2</c:v>
                </c:pt>
                <c:pt idx="531">
                  <c:v>-2.8463989136679281E-2</c:v>
                </c:pt>
                <c:pt idx="532">
                  <c:v>-1.9245242447048734E-2</c:v>
                </c:pt>
                <c:pt idx="533">
                  <c:v>-2.1650953738215281E-2</c:v>
                </c:pt>
                <c:pt idx="534">
                  <c:v>-1.2157543839990965E-2</c:v>
                </c:pt>
                <c:pt idx="535">
                  <c:v>1.3384754990925424E-2</c:v>
                </c:pt>
                <c:pt idx="536">
                  <c:v>1.9700022386389095E-2</c:v>
                </c:pt>
                <c:pt idx="537">
                  <c:v>9.9890230515917774E-3</c:v>
                </c:pt>
                <c:pt idx="538">
                  <c:v>7.6839473970220507E-2</c:v>
                </c:pt>
                <c:pt idx="539">
                  <c:v>-1.8520387565603418E-2</c:v>
                </c:pt>
                <c:pt idx="540">
                  <c:v>3.9076559206127279E-3</c:v>
                </c:pt>
                <c:pt idx="541">
                  <c:v>-1.5262483994878274E-2</c:v>
                </c:pt>
                <c:pt idx="542">
                  <c:v>4.7849378478181069E-3</c:v>
                </c:pt>
                <c:pt idx="543">
                  <c:v>-8.9549148506650588E-3</c:v>
                </c:pt>
                <c:pt idx="544">
                  <c:v>1.5721299488143652E-2</c:v>
                </c:pt>
                <c:pt idx="545">
                  <c:v>7.1990538386383796E-3</c:v>
                </c:pt>
                <c:pt idx="546">
                  <c:v>-5.7895542962168804E-2</c:v>
                </c:pt>
                <c:pt idx="547">
                  <c:v>-8.1829512816344128E-3</c:v>
                </c:pt>
                <c:pt idx="548">
                  <c:v>2.9450333296907522E-2</c:v>
                </c:pt>
                <c:pt idx="549">
                  <c:v>-6.8467703412770729E-3</c:v>
                </c:pt>
                <c:pt idx="550">
                  <c:v>0.1003099615220179</c:v>
                </c:pt>
                <c:pt idx="551">
                  <c:v>2.4770508523969188E-2</c:v>
                </c:pt>
                <c:pt idx="552">
                  <c:v>-2.6304564197355312E-2</c:v>
                </c:pt>
                <c:pt idx="553">
                  <c:v>5.6464174454828493E-3</c:v>
                </c:pt>
                <c:pt idx="554">
                  <c:v>-5.0580832526621572E-2</c:v>
                </c:pt>
                <c:pt idx="555">
                  <c:v>-6.5256181493754846E-3</c:v>
                </c:pt>
                <c:pt idx="556">
                  <c:v>-2.8172627905783319E-2</c:v>
                </c:pt>
                <c:pt idx="557">
                  <c:v>-1.0560777273207083E-3</c:v>
                </c:pt>
                <c:pt idx="558">
                  <c:v>-1.051908235542859E-2</c:v>
                </c:pt>
                <c:pt idx="559">
                  <c:v>-6.3571771996367198E-3</c:v>
                </c:pt>
                <c:pt idx="560">
                  <c:v>-1.2956989247311809E-2</c:v>
                </c:pt>
                <c:pt idx="561">
                  <c:v>1.7974835230676958E-2</c:v>
                </c:pt>
                <c:pt idx="562">
                  <c:v>2.6753705388196266E-2</c:v>
                </c:pt>
                <c:pt idx="563">
                  <c:v>8.3381103757361064E-3</c:v>
                </c:pt>
                <c:pt idx="564">
                  <c:v>7.0804692748979506E-3</c:v>
                </c:pt>
                <c:pt idx="565">
                  <c:v>4.105511649388853E-4</c:v>
                </c:pt>
                <c:pt idx="566">
                  <c:v>-1.5902328921719437E-2</c:v>
                </c:pt>
                <c:pt idx="567">
                  <c:v>2.8356964136780675E-2</c:v>
                </c:pt>
                <c:pt idx="568">
                  <c:v>-3.7510137875102199E-3</c:v>
                </c:pt>
                <c:pt idx="569">
                  <c:v>-8.5987585224382053E-3</c:v>
                </c:pt>
                <c:pt idx="570">
                  <c:v>7.6777007954837176E-2</c:v>
                </c:pt>
                <c:pt idx="571">
                  <c:v>2.7930031933654186E-2</c:v>
                </c:pt>
                <c:pt idx="572">
                  <c:v>-8.6242871052997615E-3</c:v>
                </c:pt>
                <c:pt idx="573">
                  <c:v>1.8287264393620422E-2</c:v>
                </c:pt>
                <c:pt idx="574">
                  <c:v>1.8647804519566526E-2</c:v>
                </c:pt>
                <c:pt idx="575">
                  <c:v>-2.6377491207502969E-2</c:v>
                </c:pt>
                <c:pt idx="576">
                  <c:v>5.0942435048391757E-4</c:v>
                </c:pt>
                <c:pt idx="577">
                  <c:v>-2.5458248472505125E-2</c:v>
                </c:pt>
                <c:pt idx="578">
                  <c:v>-4.8446850954686413E-3</c:v>
                </c:pt>
                <c:pt idx="579">
                  <c:v>8.4956090110727984E-3</c:v>
                </c:pt>
                <c:pt idx="580">
                  <c:v>1.4481779460482772E-2</c:v>
                </c:pt>
                <c:pt idx="581">
                  <c:v>-2.0246314610934926E-2</c:v>
                </c:pt>
                <c:pt idx="582">
                  <c:v>1.8569660032377897E-2</c:v>
                </c:pt>
                <c:pt idx="583">
                  <c:v>1.5660059835452544E-2</c:v>
                </c:pt>
                <c:pt idx="584">
                  <c:v>4.8741197588254292E-2</c:v>
                </c:pt>
                <c:pt idx="585">
                  <c:v>-2.0275607829368898E-2</c:v>
                </c:pt>
                <c:pt idx="586">
                  <c:v>-3.0460490951443016E-3</c:v>
                </c:pt>
                <c:pt idx="587">
                  <c:v>2.6105319913731106E-2</c:v>
                </c:pt>
                <c:pt idx="588">
                  <c:v>1.4012348382011661E-2</c:v>
                </c:pt>
                <c:pt idx="589">
                  <c:v>6.7798074016496108E-3</c:v>
                </c:pt>
                <c:pt idx="590">
                  <c:v>2.5521146092476573E-2</c:v>
                </c:pt>
                <c:pt idx="591">
                  <c:v>5.8555355723786265E-3</c:v>
                </c:pt>
                <c:pt idx="592">
                  <c:v>-3.4097051852467891E-2</c:v>
                </c:pt>
                <c:pt idx="593">
                  <c:v>-4.8215592578241991E-3</c:v>
                </c:pt>
                <c:pt idx="594">
                  <c:v>4.6113249989185402E-2</c:v>
                </c:pt>
                <c:pt idx="595">
                  <c:v>-2.5637844766985556E-3</c:v>
                </c:pt>
                <c:pt idx="596">
                  <c:v>-2.3216284565316478E-2</c:v>
                </c:pt>
                <c:pt idx="597">
                  <c:v>2.4659394762531282E-2</c:v>
                </c:pt>
                <c:pt idx="598">
                  <c:v>-1.5988733327810423E-2</c:v>
                </c:pt>
                <c:pt idx="599">
                  <c:v>2.0794746590335065E-2</c:v>
                </c:pt>
                <c:pt idx="600">
                  <c:v>-5.77319587628839E-4</c:v>
                </c:pt>
                <c:pt idx="601">
                  <c:v>-1.1222974088133438E-2</c:v>
                </c:pt>
                <c:pt idx="602">
                  <c:v>-2.2533800701051543E-2</c:v>
                </c:pt>
                <c:pt idx="603">
                  <c:v>1.9082991803278652E-2</c:v>
                </c:pt>
                <c:pt idx="604">
                  <c:v>-8.6297180679485372E-3</c:v>
                </c:pt>
                <c:pt idx="605">
                  <c:v>-7.7751954362982253E-3</c:v>
                </c:pt>
                <c:pt idx="606">
                  <c:v>2.2273327371065955E-2</c:v>
                </c:pt>
                <c:pt idx="607">
                  <c:v>2.666222296283955E-3</c:v>
                </c:pt>
                <c:pt idx="608">
                  <c:v>-1.7492105700515327E-2</c:v>
                </c:pt>
                <c:pt idx="609">
                  <c:v>9.4303717173426886E-3</c:v>
                </c:pt>
                <c:pt idx="610">
                  <c:v>-1.3238374528697213E-2</c:v>
                </c:pt>
                <c:pt idx="611">
                  <c:v>8.2788486032096577E-3</c:v>
                </c:pt>
                <c:pt idx="612">
                  <c:v>8.0845509284601536E-3</c:v>
                </c:pt>
                <c:pt idx="613">
                  <c:v>3.2997786224468746E-3</c:v>
                </c:pt>
                <c:pt idx="614">
                  <c:v>-8.2847626977517932E-3</c:v>
                </c:pt>
                <c:pt idx="615">
                  <c:v>4.5757944670667986E-3</c:v>
                </c:pt>
                <c:pt idx="616">
                  <c:v>-9.4860008357710111E-3</c:v>
                </c:pt>
                <c:pt idx="617">
                  <c:v>5.0626502974308971E-4</c:v>
                </c:pt>
                <c:pt idx="618">
                  <c:v>-5.8106683533628509E-2</c:v>
                </c:pt>
                <c:pt idx="619">
                  <c:v>-2.6861261583918487E-3</c:v>
                </c:pt>
                <c:pt idx="620">
                  <c:v>1.0908111505139765E-2</c:v>
                </c:pt>
                <c:pt idx="621">
                  <c:v>-1.2388987566607456E-2</c:v>
                </c:pt>
                <c:pt idx="622">
                  <c:v>-1.3443640124095118E-2</c:v>
                </c:pt>
                <c:pt idx="623">
                  <c:v>8.6591924163696796E-4</c:v>
                </c:pt>
                <c:pt idx="624">
                  <c:v>-1.3751650653431065E-2</c:v>
                </c:pt>
                <c:pt idx="625">
                  <c:v>6.9716976776397713E-3</c:v>
                </c:pt>
                <c:pt idx="626">
                  <c:v>7.3360843649702039E-3</c:v>
                </c:pt>
                <c:pt idx="627">
                  <c:v>-1.0104688211196986E-2</c:v>
                </c:pt>
                <c:pt idx="628">
                  <c:v>-1.7105021151370234E-2</c:v>
                </c:pt>
                <c:pt idx="629">
                  <c:v>-2.7273577844311468E-2</c:v>
                </c:pt>
                <c:pt idx="630">
                  <c:v>1.3369884095609208E-2</c:v>
                </c:pt>
                <c:pt idx="631">
                  <c:v>1.139006217075476E-3</c:v>
                </c:pt>
                <c:pt idx="632">
                  <c:v>-9.1964920597297495E-3</c:v>
                </c:pt>
                <c:pt idx="633">
                  <c:v>1.1195636572412888E-2</c:v>
                </c:pt>
                <c:pt idx="634">
                  <c:v>-4.4286728176011349E-2</c:v>
                </c:pt>
                <c:pt idx="635">
                  <c:v>-2.376355265112224E-3</c:v>
                </c:pt>
                <c:pt idx="636">
                  <c:v>6.947546027492108E-4</c:v>
                </c:pt>
                <c:pt idx="637">
                  <c:v>8.7180758740391731E-2</c:v>
                </c:pt>
                <c:pt idx="638">
                  <c:v>5.336860831090676E-3</c:v>
                </c:pt>
                <c:pt idx="639">
                  <c:v>-7.1687840290380082E-3</c:v>
                </c:pt>
                <c:pt idx="640">
                  <c:v>-8.6829357462755354E-3</c:v>
                </c:pt>
                <c:pt idx="641">
                  <c:v>4.3979347224783361E-2</c:v>
                </c:pt>
                <c:pt idx="642">
                  <c:v>-9.7588978185993141E-3</c:v>
                </c:pt>
                <c:pt idx="643">
                  <c:v>1.6098104793756996E-2</c:v>
                </c:pt>
                <c:pt idx="644">
                  <c:v>2.0626700605634988E-2</c:v>
                </c:pt>
                <c:pt idx="645">
                  <c:v>-4.7729618163054972E-3</c:v>
                </c:pt>
                <c:pt idx="646">
                  <c:v>1.1881615899762461E-2</c:v>
                </c:pt>
                <c:pt idx="647">
                  <c:v>1.9641332194705111E-3</c:v>
                </c:pt>
                <c:pt idx="648">
                  <c:v>2.59950566777465E-2</c:v>
                </c:pt>
                <c:pt idx="649">
                  <c:v>1.7444758265491792E-3</c:v>
                </c:pt>
                <c:pt idx="650">
                  <c:v>4.4904220913840366E-2</c:v>
                </c:pt>
                <c:pt idx="651">
                  <c:v>-2.3014959723820414E-3</c:v>
                </c:pt>
                <c:pt idx="652">
                  <c:v>-4.8920176589906175E-3</c:v>
                </c:pt>
                <c:pt idx="653">
                  <c:v>1.103117505995203E-2</c:v>
                </c:pt>
                <c:pt idx="654">
                  <c:v>1.0555028462998082E-2</c:v>
                </c:pt>
                <c:pt idx="655">
                  <c:v>1.846418651957913E-2</c:v>
                </c:pt>
                <c:pt idx="656">
                  <c:v>-3.2187439984636107E-2</c:v>
                </c:pt>
                <c:pt idx="657">
                  <c:v>6.7865222050243834E-3</c:v>
                </c:pt>
                <c:pt idx="658">
                  <c:v>4.0602333648691868E-3</c:v>
                </c:pt>
                <c:pt idx="659">
                  <c:v>2.7482234698290013E-4</c:v>
                </c:pt>
                <c:pt idx="660">
                  <c:v>-2.6297197582227871E-3</c:v>
                </c:pt>
                <c:pt idx="661">
                  <c:v>-1.7039864625555855E-2</c:v>
                </c:pt>
                <c:pt idx="662">
                  <c:v>-2.4021138601970643E-4</c:v>
                </c:pt>
                <c:pt idx="663">
                  <c:v>9.4906295050455839E-3</c:v>
                </c:pt>
                <c:pt idx="664">
                  <c:v>8.3303582054031482E-4</c:v>
                </c:pt>
                <c:pt idx="665">
                  <c:v>1.5418152992469257E-2</c:v>
                </c:pt>
                <c:pt idx="666">
                  <c:v>2.4200788477302458E-3</c:v>
                </c:pt>
                <c:pt idx="667">
                  <c:v>2.1260854328102465E-2</c:v>
                </c:pt>
                <c:pt idx="668">
                  <c:v>-1.4984557898349056E-2</c:v>
                </c:pt>
                <c:pt idx="669">
                  <c:v>2.4773554230858581E-3</c:v>
                </c:pt>
                <c:pt idx="670">
                  <c:v>-9.2671248745076241E-3</c:v>
                </c:pt>
                <c:pt idx="671">
                  <c:v>-4.8094161664977854E-2</c:v>
                </c:pt>
                <c:pt idx="672">
                  <c:v>-5.4454634785456564E-3</c:v>
                </c:pt>
                <c:pt idx="673">
                  <c:v>-1.6384669219052312E-2</c:v>
                </c:pt>
                <c:pt idx="674">
                  <c:v>1.6741304984714282E-4</c:v>
                </c:pt>
                <c:pt idx="675">
                  <c:v>-1.1047411809013656E-2</c:v>
                </c:pt>
                <c:pt idx="676">
                  <c:v>9.6475267634240913E-3</c:v>
                </c:pt>
                <c:pt idx="677">
                  <c:v>-9.9325258790495738E-3</c:v>
                </c:pt>
                <c:pt idx="678">
                  <c:v>-1.6254656281747392E-2</c:v>
                </c:pt>
                <c:pt idx="679">
                  <c:v>-1.4199655765920754E-2</c:v>
                </c:pt>
                <c:pt idx="680">
                  <c:v>1.9336534264513372E-2</c:v>
                </c:pt>
                <c:pt idx="681">
                  <c:v>1.4687620434205453E-2</c:v>
                </c:pt>
                <c:pt idx="682">
                  <c:v>1.6880486158001289E-2</c:v>
                </c:pt>
                <c:pt idx="683">
                  <c:v>-1.4649734395750395E-2</c:v>
                </c:pt>
                <c:pt idx="684">
                  <c:v>1.5162363644021972E-3</c:v>
                </c:pt>
                <c:pt idx="685">
                  <c:v>-5.9296017494427115E-3</c:v>
                </c:pt>
                <c:pt idx="686">
                  <c:v>3.4562991792875732E-2</c:v>
                </c:pt>
                <c:pt idx="687">
                  <c:v>-1.1858515640973183E-2</c:v>
                </c:pt>
                <c:pt idx="688">
                  <c:v>-9.7661907717773912E-3</c:v>
                </c:pt>
                <c:pt idx="689">
                  <c:v>1.1826653850975857E-2</c:v>
                </c:pt>
                <c:pt idx="690">
                  <c:v>-6.9387080786386607E-3</c:v>
                </c:pt>
                <c:pt idx="691">
                  <c:v>-2.9529196473132624E-2</c:v>
                </c:pt>
                <c:pt idx="692">
                  <c:v>-1.8128053484186092E-2</c:v>
                </c:pt>
                <c:pt idx="693">
                  <c:v>-1.5014621797389952E-2</c:v>
                </c:pt>
                <c:pt idx="694">
                  <c:v>1.5775247042141095E-2</c:v>
                </c:pt>
                <c:pt idx="695">
                  <c:v>5.496662740479049E-3</c:v>
                </c:pt>
                <c:pt idx="696">
                  <c:v>-2.9502364527744301E-3</c:v>
                </c:pt>
                <c:pt idx="697">
                  <c:v>-7.9630999521345183E-3</c:v>
                </c:pt>
                <c:pt idx="698">
                  <c:v>1.377313799456093E-2</c:v>
                </c:pt>
                <c:pt idx="699">
                  <c:v>1.2547594323295375E-2</c:v>
                </c:pt>
                <c:pt idx="700">
                  <c:v>-2.1878471925476473E-2</c:v>
                </c:pt>
                <c:pt idx="701">
                  <c:v>1.9877675840978517E-2</c:v>
                </c:pt>
                <c:pt idx="702">
                  <c:v>-2.7414863996573168E-3</c:v>
                </c:pt>
                <c:pt idx="703">
                  <c:v>4.419913233967613E-2</c:v>
                </c:pt>
                <c:pt idx="704">
                  <c:v>2.628547922665582E-2</c:v>
                </c:pt>
                <c:pt idx="705">
                  <c:v>2.7656419094953329E-3</c:v>
                </c:pt>
                <c:pt idx="706">
                  <c:v>9.513150531617217E-3</c:v>
                </c:pt>
                <c:pt idx="707">
                  <c:v>5.1868862844472686E-3</c:v>
                </c:pt>
                <c:pt idx="708">
                  <c:v>-1.6740851616969341E-2</c:v>
                </c:pt>
                <c:pt idx="709">
                  <c:v>-1.5263200064097437E-2</c:v>
                </c:pt>
                <c:pt idx="710">
                  <c:v>9.885684064928282E-3</c:v>
                </c:pt>
                <c:pt idx="711">
                  <c:v>5.8814050918464889E-3</c:v>
                </c:pt>
                <c:pt idx="712">
                  <c:v>-2.4148978774529355E-2</c:v>
                </c:pt>
                <c:pt idx="713">
                  <c:v>2.9753354947264655E-2</c:v>
                </c:pt>
                <c:pt idx="714">
                  <c:v>-2.5785110792284332E-2</c:v>
                </c:pt>
                <c:pt idx="715">
                  <c:v>-1.8572305174882415E-2</c:v>
                </c:pt>
                <c:pt idx="716">
                  <c:v>-7.2944020674419871E-3</c:v>
                </c:pt>
                <c:pt idx="717">
                  <c:v>-1.9482700705408071E-2</c:v>
                </c:pt>
                <c:pt idx="718">
                  <c:v>-1.8413840356286387E-2</c:v>
                </c:pt>
                <c:pt idx="719">
                  <c:v>-3.5337230608149164E-3</c:v>
                </c:pt>
                <c:pt idx="720">
                  <c:v>3.8527209841949742E-3</c:v>
                </c:pt>
                <c:pt idx="721">
                  <c:v>-5.05909546862051E-3</c:v>
                </c:pt>
                <c:pt idx="722">
                  <c:v>-2.3670714066540348E-3</c:v>
                </c:pt>
                <c:pt idx="723">
                  <c:v>-5.3605167186607447E-3</c:v>
                </c:pt>
                <c:pt idx="724">
                  <c:v>8.1282855502054618E-3</c:v>
                </c:pt>
                <c:pt idx="725">
                  <c:v>2.7255597914201825E-2</c:v>
                </c:pt>
                <c:pt idx="726">
                  <c:v>4.6922322228383495E-3</c:v>
                </c:pt>
                <c:pt idx="727">
                  <c:v>3.9994905107629604E-2</c:v>
                </c:pt>
                <c:pt idx="728">
                  <c:v>-6.2053480302102886E-3</c:v>
                </c:pt>
                <c:pt idx="729">
                  <c:v>1.0680688493612046E-3</c:v>
                </c:pt>
                <c:pt idx="730">
                  <c:v>2.183101481390291E-2</c:v>
                </c:pt>
                <c:pt idx="731">
                  <c:v>3.0922452913538304E-3</c:v>
                </c:pt>
                <c:pt idx="732">
                  <c:v>-1.145007606693896E-2</c:v>
                </c:pt>
                <c:pt idx="733">
                  <c:v>-3.7664020735460865E-2</c:v>
                </c:pt>
                <c:pt idx="734">
                  <c:v>-1.5360659877114805E-2</c:v>
                </c:pt>
                <c:pt idx="735">
                  <c:v>-1.1240757362054885E-2</c:v>
                </c:pt>
                <c:pt idx="736">
                  <c:v>6.3975101582086835E-3</c:v>
                </c:pt>
                <c:pt idx="737">
                  <c:v>8.1608109268956064E-4</c:v>
                </c:pt>
                <c:pt idx="738">
                  <c:v>-9.4845714776189902E-3</c:v>
                </c:pt>
                <c:pt idx="739">
                  <c:v>-7.712305025996416E-3</c:v>
                </c:pt>
                <c:pt idx="740">
                  <c:v>2.1701161470613916E-2</c:v>
                </c:pt>
                <c:pt idx="741">
                  <c:v>-2.0513697166546357E-3</c:v>
                </c:pt>
                <c:pt idx="742">
                  <c:v>1.6144918847158685E-2</c:v>
                </c:pt>
                <c:pt idx="743">
                  <c:v>-6.1530681051922111E-3</c:v>
                </c:pt>
                <c:pt idx="744">
                  <c:v>-1.2933593418709172E-2</c:v>
                </c:pt>
                <c:pt idx="745">
                  <c:v>-8.2055247669374273E-3</c:v>
                </c:pt>
                <c:pt idx="746">
                  <c:v>-2.066187299662119E-2</c:v>
                </c:pt>
                <c:pt idx="747">
                  <c:v>5.8383829448448799E-3</c:v>
                </c:pt>
                <c:pt idx="748">
                  <c:v>-5.8044940855723155E-2</c:v>
                </c:pt>
                <c:pt idx="749">
                  <c:v>-2.0540591008823342E-3</c:v>
                </c:pt>
                <c:pt idx="750">
                  <c:v>-1.0806006455536235E-2</c:v>
                </c:pt>
                <c:pt idx="751">
                  <c:v>-6.0058639931903166E-3</c:v>
                </c:pt>
                <c:pt idx="752">
                  <c:v>4.3056282411151871E-2</c:v>
                </c:pt>
                <c:pt idx="753">
                  <c:v>1.322751322751319E-3</c:v>
                </c:pt>
                <c:pt idx="754">
                  <c:v>8.1993349428324015E-3</c:v>
                </c:pt>
                <c:pt idx="755">
                  <c:v>-7.861564180183413E-3</c:v>
                </c:pt>
                <c:pt idx="756">
                  <c:v>3.6704767976683865E-2</c:v>
                </c:pt>
                <c:pt idx="757">
                  <c:v>1.1377113990775328E-2</c:v>
                </c:pt>
                <c:pt idx="758">
                  <c:v>3.2574704656010809E-3</c:v>
                </c:pt>
                <c:pt idx="759">
                  <c:v>-2.9438503831335293E-3</c:v>
                </c:pt>
                <c:pt idx="760">
                  <c:v>7.7721332117581541E-3</c:v>
                </c:pt>
                <c:pt idx="761">
                  <c:v>-4.0499784575614471E-3</c:v>
                </c:pt>
                <c:pt idx="762">
                  <c:v>-4.7153486762414867E-3</c:v>
                </c:pt>
                <c:pt idx="763">
                  <c:v>-4.3030382057634717E-3</c:v>
                </c:pt>
                <c:pt idx="764">
                  <c:v>2.6671905011349618E-2</c:v>
                </c:pt>
                <c:pt idx="765">
                  <c:v>-1.8878353671499599E-2</c:v>
                </c:pt>
                <c:pt idx="766">
                  <c:v>-7.0639219934994692E-3</c:v>
                </c:pt>
                <c:pt idx="767">
                  <c:v>2.5750698324022805E-3</c:v>
                </c:pt>
                <c:pt idx="768">
                  <c:v>1.6716729789734899E-2</c:v>
                </c:pt>
                <c:pt idx="769">
                  <c:v>-2.7660029972168734E-2</c:v>
                </c:pt>
                <c:pt idx="770">
                  <c:v>6.0328504117310522E-3</c:v>
                </c:pt>
                <c:pt idx="771">
                  <c:v>7.7475269193731768E-3</c:v>
                </c:pt>
                <c:pt idx="772">
                  <c:v>-2.371541501976282E-2</c:v>
                </c:pt>
                <c:pt idx="773">
                  <c:v>3.4346220581038325E-2</c:v>
                </c:pt>
                <c:pt idx="774">
                  <c:v>1.7635167103961468E-2</c:v>
                </c:pt>
                <c:pt idx="775">
                  <c:v>1.6653282049114582E-2</c:v>
                </c:pt>
                <c:pt idx="776">
                  <c:v>-1.3345528624288092E-2</c:v>
                </c:pt>
                <c:pt idx="777">
                  <c:v>1.0829260070790556E-2</c:v>
                </c:pt>
                <c:pt idx="778">
                  <c:v>-7.5451248488891129E-3</c:v>
                </c:pt>
                <c:pt idx="779">
                  <c:v>4.1792674731182838E-2</c:v>
                </c:pt>
                <c:pt idx="780">
                  <c:v>1.0603556021448942E-2</c:v>
                </c:pt>
                <c:pt idx="781">
                  <c:v>1.1010931141785679E-2</c:v>
                </c:pt>
                <c:pt idx="782">
                  <c:v>7.8525767500592543E-3</c:v>
                </c:pt>
                <c:pt idx="783">
                  <c:v>-2.9560314787987901E-2</c:v>
                </c:pt>
                <c:pt idx="784">
                  <c:v>-1.4362946824820529E-2</c:v>
                </c:pt>
                <c:pt idx="785">
                  <c:v>-1.3016782644289866E-2</c:v>
                </c:pt>
                <c:pt idx="786">
                  <c:v>-7.0504313205042371E-3</c:v>
                </c:pt>
                <c:pt idx="787">
                  <c:v>-4.1308161390025924E-2</c:v>
                </c:pt>
                <c:pt idx="788">
                  <c:v>-2.0476626149087524E-3</c:v>
                </c:pt>
                <c:pt idx="789">
                  <c:v>-3.9727582292847959E-3</c:v>
                </c:pt>
                <c:pt idx="790">
                  <c:v>6.3905325443786909E-2</c:v>
                </c:pt>
                <c:pt idx="791">
                  <c:v>-1.1494252873563215E-2</c:v>
                </c:pt>
                <c:pt idx="792">
                  <c:v>8.8355422188880449E-3</c:v>
                </c:pt>
                <c:pt idx="793">
                  <c:v>1.2806742130050348E-2</c:v>
                </c:pt>
                <c:pt idx="794">
                  <c:v>-1.9579050416054116E-3</c:v>
                </c:pt>
                <c:pt idx="795">
                  <c:v>-7.4791564492398162E-3</c:v>
                </c:pt>
                <c:pt idx="796">
                  <c:v>9.9238212888614237E-3</c:v>
                </c:pt>
                <c:pt idx="797">
                  <c:v>-6.2790508032292223E-3</c:v>
                </c:pt>
                <c:pt idx="798">
                  <c:v>-1.7191859510914183E-2</c:v>
                </c:pt>
                <c:pt idx="799">
                  <c:v>-3.323174550160729E-2</c:v>
                </c:pt>
                <c:pt idx="800">
                  <c:v>1.2955045990413756E-3</c:v>
                </c:pt>
                <c:pt idx="801">
                  <c:v>5.3046965972311016E-3</c:v>
                </c:pt>
                <c:pt idx="802">
                  <c:v>-9.3951093951092947E-3</c:v>
                </c:pt>
                <c:pt idx="803">
                  <c:v>-1.0826729028626794E-3</c:v>
                </c:pt>
                <c:pt idx="804">
                  <c:v>-1.5650741350906126E-2</c:v>
                </c:pt>
                <c:pt idx="805">
                  <c:v>1.7088746972032668E-2</c:v>
                </c:pt>
                <c:pt idx="806">
                  <c:v>-1.8360542155631553E-2</c:v>
                </c:pt>
                <c:pt idx="807">
                  <c:v>6.0876086285234516E-3</c:v>
                </c:pt>
                <c:pt idx="808">
                  <c:v>-2.2405401850309082E-2</c:v>
                </c:pt>
                <c:pt idx="809">
                  <c:v>7.4452816648726394E-3</c:v>
                </c:pt>
                <c:pt idx="810">
                  <c:v>1.900988335856111E-2</c:v>
                </c:pt>
                <c:pt idx="811">
                  <c:v>1.6601861156013919E-3</c:v>
                </c:pt>
                <c:pt idx="812">
                  <c:v>1.4131809656736669E-2</c:v>
                </c:pt>
                <c:pt idx="813">
                  <c:v>3.9568190615456864E-3</c:v>
                </c:pt>
                <c:pt idx="814">
                  <c:v>-2.6132031015722035E-3</c:v>
                </c:pt>
                <c:pt idx="815">
                  <c:v>2.7918563697277416E-3</c:v>
                </c:pt>
                <c:pt idx="816">
                  <c:v>-3.4822461129909728E-2</c:v>
                </c:pt>
                <c:pt idx="817">
                  <c:v>2.3963788053608789E-3</c:v>
                </c:pt>
                <c:pt idx="818">
                  <c:v>-5.1797414556402016E-3</c:v>
                </c:pt>
                <c:pt idx="819">
                  <c:v>1.2371501045792297E-2</c:v>
                </c:pt>
                <c:pt idx="820">
                  <c:v>5.6705789265462806E-3</c:v>
                </c:pt>
                <c:pt idx="821">
                  <c:v>-2.6750590086546108E-2</c:v>
                </c:pt>
                <c:pt idx="822">
                  <c:v>1.0284739064043959E-2</c:v>
                </c:pt>
                <c:pt idx="823">
                  <c:v>2.516114692153807E-2</c:v>
                </c:pt>
                <c:pt idx="824">
                  <c:v>8.1956550019513484E-3</c:v>
                </c:pt>
                <c:pt idx="825">
                  <c:v>-1.122580645161287E-2</c:v>
                </c:pt>
                <c:pt idx="826">
                  <c:v>-3.9149158293096632E-3</c:v>
                </c:pt>
                <c:pt idx="827">
                  <c:v>-1.1397877636577982E-2</c:v>
                </c:pt>
                <c:pt idx="828">
                  <c:v>5.7425567629640969E-4</c:v>
                </c:pt>
                <c:pt idx="829">
                  <c:v>-6.6222241843629718E-4</c:v>
                </c:pt>
                <c:pt idx="830">
                  <c:v>1.1000176709666121E-2</c:v>
                </c:pt>
                <c:pt idx="831">
                  <c:v>4.832859951933572E-2</c:v>
                </c:pt>
                <c:pt idx="832">
                  <c:v>-2.9177608269759063E-4</c:v>
                </c:pt>
                <c:pt idx="833">
                  <c:v>2.1222481654436156E-2</c:v>
                </c:pt>
                <c:pt idx="834">
                  <c:v>3.4703792920426596E-3</c:v>
                </c:pt>
                <c:pt idx="835">
                  <c:v>5.5740906501749714E-3</c:v>
                </c:pt>
                <c:pt idx="836">
                  <c:v>-1.2988063928788247E-2</c:v>
                </c:pt>
                <c:pt idx="837">
                  <c:v>3.1237189472821208E-2</c:v>
                </c:pt>
                <c:pt idx="838">
                  <c:v>-3.8161869931626685E-3</c:v>
                </c:pt>
                <c:pt idx="839">
                  <c:v>8.1803671189146793E-3</c:v>
                </c:pt>
                <c:pt idx="840">
                  <c:v>-5.1454581436769838E-3</c:v>
                </c:pt>
                <c:pt idx="841">
                  <c:v>-1.2333399641934497E-3</c:v>
                </c:pt>
                <c:pt idx="842">
                  <c:v>-3.8639260675588654E-3</c:v>
                </c:pt>
                <c:pt idx="843">
                  <c:v>-4.6387011636742992E-3</c:v>
                </c:pt>
                <c:pt idx="844">
                  <c:v>-1.0766943875296177E-2</c:v>
                </c:pt>
                <c:pt idx="845">
                  <c:v>1.0396783495106211E-2</c:v>
                </c:pt>
                <c:pt idx="846">
                  <c:v>1.302303147232598E-2</c:v>
                </c:pt>
                <c:pt idx="847">
                  <c:v>3.3884854977582E-2</c:v>
                </c:pt>
                <c:pt idx="848">
                  <c:v>4.367348505200145E-2</c:v>
                </c:pt>
                <c:pt idx="849">
                  <c:v>6.9865784151498904E-3</c:v>
                </c:pt>
                <c:pt idx="850">
                  <c:v>2.08508307467591E-2</c:v>
                </c:pt>
                <c:pt idx="851">
                  <c:v>6.3671483760194885E-3</c:v>
                </c:pt>
                <c:pt idx="852">
                  <c:v>2.4880926992251469E-3</c:v>
                </c:pt>
                <c:pt idx="853">
                  <c:v>6.9848248475393266E-3</c:v>
                </c:pt>
                <c:pt idx="854">
                  <c:v>1.6372662934403714E-2</c:v>
                </c:pt>
                <c:pt idx="855">
                  <c:v>-1.1778563015312127E-2</c:v>
                </c:pt>
                <c:pt idx="856">
                  <c:v>9.4650494285918193E-4</c:v>
                </c:pt>
                <c:pt idx="857">
                  <c:v>-7.3547438097575719E-4</c:v>
                </c:pt>
                <c:pt idx="858">
                  <c:v>-3.9779896256834486E-2</c:v>
                </c:pt>
                <c:pt idx="859">
                  <c:v>4.1610395298755619E-3</c:v>
                </c:pt>
                <c:pt idx="860">
                  <c:v>-5.4523645087421648E-4</c:v>
                </c:pt>
                <c:pt idx="861">
                  <c:v>2.1821355833576622E-4</c:v>
                </c:pt>
                <c:pt idx="862">
                  <c:v>5.7450367246018926E-3</c:v>
                </c:pt>
                <c:pt idx="863">
                  <c:v>-3.6370209689081716E-2</c:v>
                </c:pt>
                <c:pt idx="864">
                  <c:v>3.5266751707061302E-3</c:v>
                </c:pt>
                <c:pt idx="865">
                  <c:v>3.0282637954239387E-3</c:v>
                </c:pt>
                <c:pt idx="866">
                  <c:v>2.9259383502925944E-2</c:v>
                </c:pt>
                <c:pt idx="867">
                  <c:v>-2.5349460418628332E-3</c:v>
                </c:pt>
                <c:pt idx="868">
                  <c:v>2.069416206796348E-3</c:v>
                </c:pt>
                <c:pt idx="869">
                  <c:v>2.7680156516068234E-2</c:v>
                </c:pt>
                <c:pt idx="870">
                  <c:v>2.7498677948176614E-3</c:v>
                </c:pt>
                <c:pt idx="871">
                  <c:v>9.1059311605667589E-3</c:v>
                </c:pt>
                <c:pt idx="872">
                  <c:v>3.5781478642603212E-2</c:v>
                </c:pt>
                <c:pt idx="873">
                  <c:v>4.9446668236402848E-3</c:v>
                </c:pt>
                <c:pt idx="874">
                  <c:v>8.5352791538358563E-2</c:v>
                </c:pt>
                <c:pt idx="875">
                  <c:v>-1.0732128538826834E-2</c:v>
                </c:pt>
                <c:pt idx="876">
                  <c:v>-1.814327576532216E-2</c:v>
                </c:pt>
                <c:pt idx="877">
                  <c:v>-3.3051816103632219E-2</c:v>
                </c:pt>
                <c:pt idx="878">
                  <c:v>5.5229026432441382E-2</c:v>
                </c:pt>
                <c:pt idx="879">
                  <c:v>7.3435603821139835E-3</c:v>
                </c:pt>
                <c:pt idx="880">
                  <c:v>-2.1406727828746114E-2</c:v>
                </c:pt>
                <c:pt idx="881">
                  <c:v>-2.3295454545454532E-2</c:v>
                </c:pt>
                <c:pt idx="882">
                  <c:v>-3.7812681791739439E-2</c:v>
                </c:pt>
                <c:pt idx="883">
                  <c:v>1.5349993282278677E-2</c:v>
                </c:pt>
                <c:pt idx="884">
                  <c:v>4.3104303814218162E-2</c:v>
                </c:pt>
                <c:pt idx="885">
                  <c:v>-4.7634149435494065E-2</c:v>
                </c:pt>
                <c:pt idx="886">
                  <c:v>-2.1445221445221509E-2</c:v>
                </c:pt>
                <c:pt idx="887">
                  <c:v>3.5254883277751357E-2</c:v>
                </c:pt>
                <c:pt idx="888">
                  <c:v>-3.9642364078627292E-2</c:v>
                </c:pt>
                <c:pt idx="889">
                  <c:v>1.1260952902519189E-2</c:v>
                </c:pt>
                <c:pt idx="890">
                  <c:v>5.8216280250464386E-3</c:v>
                </c:pt>
                <c:pt idx="891">
                  <c:v>4.2534576168523165E-2</c:v>
                </c:pt>
                <c:pt idx="892">
                  <c:v>-4.1832090636196473E-2</c:v>
                </c:pt>
                <c:pt idx="893">
                  <c:v>-2.2132390096008085E-2</c:v>
                </c:pt>
                <c:pt idx="894">
                  <c:v>2.1703183133527076E-3</c:v>
                </c:pt>
                <c:pt idx="895">
                  <c:v>5.6718572754459844E-3</c:v>
                </c:pt>
                <c:pt idx="896">
                  <c:v>1.2202625102543045E-2</c:v>
                </c:pt>
                <c:pt idx="897">
                  <c:v>1.5196028771148383E-3</c:v>
                </c:pt>
                <c:pt idx="898">
                  <c:v>3.9921774900532656E-2</c:v>
                </c:pt>
                <c:pt idx="899">
                  <c:v>2.3020556384151969E-3</c:v>
                </c:pt>
                <c:pt idx="900">
                  <c:v>4.6258855497687277E-3</c:v>
                </c:pt>
                <c:pt idx="901">
                  <c:v>-1.3523956723338997E-3</c:v>
                </c:pt>
                <c:pt idx="902">
                  <c:v>2.1183981427742311E-2</c:v>
                </c:pt>
                <c:pt idx="903">
                  <c:v>-2.3207350573079457E-2</c:v>
                </c:pt>
                <c:pt idx="904">
                  <c:v>1.6873545384018571E-2</c:v>
                </c:pt>
                <c:pt idx="905">
                  <c:v>-3.4363278021488954E-2</c:v>
                </c:pt>
                <c:pt idx="906">
                  <c:v>-5.036705402113398E-3</c:v>
                </c:pt>
                <c:pt idx="907">
                  <c:v>-2.9876919004764382E-2</c:v>
                </c:pt>
                <c:pt idx="908">
                  <c:v>3.4105248797783192E-4</c:v>
                </c:pt>
                <c:pt idx="909">
                  <c:v>-5.1140431625244852E-4</c:v>
                </c:pt>
                <c:pt idx="910">
                  <c:v>-4.574293900941457E-2</c:v>
                </c:pt>
                <c:pt idx="911">
                  <c:v>-3.8963360142985435E-3</c:v>
                </c:pt>
                <c:pt idx="912">
                  <c:v>2.9390655278834388E-2</c:v>
                </c:pt>
                <c:pt idx="913">
                  <c:v>1.3526233222938878E-2</c:v>
                </c:pt>
                <c:pt idx="914">
                  <c:v>-1.6028617617720946E-2</c:v>
                </c:pt>
                <c:pt idx="915">
                  <c:v>-4.4359772083755668E-2</c:v>
                </c:pt>
                <c:pt idx="916">
                  <c:v>1.0973736191382375E-4</c:v>
                </c:pt>
                <c:pt idx="917">
                  <c:v>-9.9484290991551892E-3</c:v>
                </c:pt>
                <c:pt idx="918">
                  <c:v>2.4529905057445841E-2</c:v>
                </c:pt>
                <c:pt idx="919">
                  <c:v>1.4459308405149094E-2</c:v>
                </c:pt>
                <c:pt idx="920">
                  <c:v>-7.7486315490154249E-3</c:v>
                </c:pt>
                <c:pt idx="921">
                  <c:v>-1.6012322682332682E-2</c:v>
                </c:pt>
                <c:pt idx="922">
                  <c:v>3.9280643634642579E-2</c:v>
                </c:pt>
                <c:pt idx="923">
                  <c:v>3.1245621409555942E-2</c:v>
                </c:pt>
                <c:pt idx="924">
                  <c:v>7.4388586956520937E-3</c:v>
                </c:pt>
                <c:pt idx="925">
                  <c:v>5.7318183350751743E-4</c:v>
                </c:pt>
                <c:pt idx="926">
                  <c:v>-1.6545356517050806E-2</c:v>
                </c:pt>
                <c:pt idx="927">
                  <c:v>3.3236251499057817E-2</c:v>
                </c:pt>
                <c:pt idx="928">
                  <c:v>-9.9485989056544979E-4</c:v>
                </c:pt>
                <c:pt idx="929">
                  <c:v>-2.605809128630706E-2</c:v>
                </c:pt>
                <c:pt idx="930">
                  <c:v>1.6598500340831695E-2</c:v>
                </c:pt>
                <c:pt idx="931">
                  <c:v>-5.4279679485030451E-2</c:v>
                </c:pt>
                <c:pt idx="932">
                  <c:v>7.5510493477028142E-3</c:v>
                </c:pt>
                <c:pt idx="933">
                  <c:v>1.8964849934907338E-2</c:v>
                </c:pt>
                <c:pt idx="934">
                  <c:v>-1.5158839779005527E-2</c:v>
                </c:pt>
                <c:pt idx="935">
                  <c:v>-1.2972897163493226E-3</c:v>
                </c:pt>
                <c:pt idx="936">
                  <c:v>1.084819547816309E-2</c:v>
                </c:pt>
                <c:pt idx="937">
                  <c:v>4.0773799187302451E-2</c:v>
                </c:pt>
                <c:pt idx="938">
                  <c:v>3.4137551306437072E-2</c:v>
                </c:pt>
                <c:pt idx="939">
                  <c:v>-5.0338818973862153E-3</c:v>
                </c:pt>
                <c:pt idx="940">
                  <c:v>-9.4700655120969722E-3</c:v>
                </c:pt>
                <c:pt idx="941">
                  <c:v>2.4196188854691807E-2</c:v>
                </c:pt>
                <c:pt idx="942">
                  <c:v>-1.0901186023464644E-2</c:v>
                </c:pt>
                <c:pt idx="943">
                  <c:v>4.3309631544925654E-2</c:v>
                </c:pt>
                <c:pt idx="944">
                  <c:v>-1.2701363073110289E-2</c:v>
                </c:pt>
                <c:pt idx="945">
                  <c:v>1.0197678067147765E-2</c:v>
                </c:pt>
                <c:pt idx="946">
                  <c:v>-2.2891753377853763E-2</c:v>
                </c:pt>
                <c:pt idx="947">
                  <c:v>9.0279102295124456E-3</c:v>
                </c:pt>
                <c:pt idx="948">
                  <c:v>5.6077121794468159E-3</c:v>
                </c:pt>
                <c:pt idx="949">
                  <c:v>1.704260651629063E-2</c:v>
                </c:pt>
                <c:pt idx="950">
                  <c:v>-1.4169541646131125E-2</c:v>
                </c:pt>
                <c:pt idx="951">
                  <c:v>-4.3869516310461085E-2</c:v>
                </c:pt>
                <c:pt idx="952">
                  <c:v>2.2875816993464144E-3</c:v>
                </c:pt>
                <c:pt idx="953">
                  <c:v>1.8584936419954245E-2</c:v>
                </c:pt>
                <c:pt idx="954">
                  <c:v>2.4327784891165338E-3</c:v>
                </c:pt>
                <c:pt idx="955">
                  <c:v>1.4050325712096095E-2</c:v>
                </c:pt>
                <c:pt idx="956">
                  <c:v>6.8648444388462017E-3</c:v>
                </c:pt>
                <c:pt idx="957">
                  <c:v>-6.2550822543316221E-3</c:v>
                </c:pt>
                <c:pt idx="958">
                  <c:v>7.2512116825077175E-2</c:v>
                </c:pt>
                <c:pt idx="959">
                  <c:v>2.8258700627970944E-2</c:v>
                </c:pt>
                <c:pt idx="960">
                  <c:v>-3.4302674010444859E-2</c:v>
                </c:pt>
                <c:pt idx="961">
                  <c:v>-1.3002748308164227E-3</c:v>
                </c:pt>
                <c:pt idx="962">
                  <c:v>6.0955762686786793E-3</c:v>
                </c:pt>
                <c:pt idx="963">
                  <c:v>1.2940795858945468E-2</c:v>
                </c:pt>
                <c:pt idx="964">
                  <c:v>-6.0102784471995794E-3</c:v>
                </c:pt>
                <c:pt idx="965">
                  <c:v>-3.7418940234854203E-2</c:v>
                </c:pt>
                <c:pt idx="966">
                  <c:v>-5.7050951354960817E-3</c:v>
                </c:pt>
                <c:pt idx="967">
                  <c:v>5.1579429269036142E-3</c:v>
                </c:pt>
                <c:pt idx="968">
                  <c:v>-4.3997085079249355E-2</c:v>
                </c:pt>
                <c:pt idx="969">
                  <c:v>1.6769890424011391E-2</c:v>
                </c:pt>
                <c:pt idx="970">
                  <c:v>-3.8890450754380954E-2</c:v>
                </c:pt>
                <c:pt idx="971">
                  <c:v>4.7776911076442561E-3</c:v>
                </c:pt>
                <c:pt idx="972">
                  <c:v>-3.1699822092834864E-3</c:v>
                </c:pt>
                <c:pt idx="973">
                  <c:v>-3.0178148424570843E-3</c:v>
                </c:pt>
                <c:pt idx="974">
                  <c:v>2.1318838692878567E-2</c:v>
                </c:pt>
                <c:pt idx="975">
                  <c:v>1.2110009879218668E-3</c:v>
                </c:pt>
                <c:pt idx="976">
                  <c:v>-8.2121144603241134E-3</c:v>
                </c:pt>
                <c:pt idx="977">
                  <c:v>-1.9256073686574897E-3</c:v>
                </c:pt>
                <c:pt idx="978">
                  <c:v>-2.2605228463937727E-2</c:v>
                </c:pt>
                <c:pt idx="979">
                  <c:v>5.6257402289774765E-3</c:v>
                </c:pt>
                <c:pt idx="980">
                  <c:v>-3.6640821801289586E-3</c:v>
                </c:pt>
                <c:pt idx="981">
                  <c:v>9.4237399441800228E-3</c:v>
                </c:pt>
                <c:pt idx="982">
                  <c:v>2.0200377333940492E-2</c:v>
                </c:pt>
                <c:pt idx="983">
                  <c:v>1.3487230175684782E-2</c:v>
                </c:pt>
                <c:pt idx="984">
                  <c:v>-1.1954948719562151E-2</c:v>
                </c:pt>
                <c:pt idx="985">
                  <c:v>3.4229128192065306E-2</c:v>
                </c:pt>
                <c:pt idx="986">
                  <c:v>4.0331270588959767E-3</c:v>
                </c:pt>
                <c:pt idx="987">
                  <c:v>6.4700110388813473E-3</c:v>
                </c:pt>
                <c:pt idx="988">
                  <c:v>-4.085549766931728E-2</c:v>
                </c:pt>
                <c:pt idx="989">
                  <c:v>-1.76291214027063E-2</c:v>
                </c:pt>
                <c:pt idx="990">
                  <c:v>-4.2357810327545587E-3</c:v>
                </c:pt>
                <c:pt idx="991">
                  <c:v>-6.0397454214833075E-3</c:v>
                </c:pt>
                <c:pt idx="992">
                  <c:v>-4.3384514864423372E-2</c:v>
                </c:pt>
                <c:pt idx="993">
                  <c:v>2.6569223413701205E-2</c:v>
                </c:pt>
                <c:pt idx="994">
                  <c:v>5.7884231536927165E-3</c:v>
                </c:pt>
                <c:pt idx="995">
                  <c:v>-2.7187934113911578E-2</c:v>
                </c:pt>
                <c:pt idx="996">
                  <c:v>1.6591867265061865E-2</c:v>
                </c:pt>
                <c:pt idx="997">
                  <c:v>2.2842809364548491E-2</c:v>
                </c:pt>
                <c:pt idx="998">
                  <c:v>3.3678841186280464E-3</c:v>
                </c:pt>
                <c:pt idx="999">
                  <c:v>1.3035260379330431E-4</c:v>
                </c:pt>
                <c:pt idx="1000">
                  <c:v>1.0589768654284759E-2</c:v>
                </c:pt>
                <c:pt idx="1001">
                  <c:v>-2.276317910688375E-2</c:v>
                </c:pt>
                <c:pt idx="1002">
                  <c:v>1.3857270117786148E-3</c:v>
                </c:pt>
                <c:pt idx="1003">
                  <c:v>3.8878455405093729E-2</c:v>
                </c:pt>
                <c:pt idx="1004">
                  <c:v>6.152675145095386E-3</c:v>
                </c:pt>
                <c:pt idx="1005">
                  <c:v>-7.2182821118992194E-3</c:v>
                </c:pt>
                <c:pt idx="1006">
                  <c:v>-2.4130048260095557E-3</c:v>
                </c:pt>
                <c:pt idx="1007">
                  <c:v>-2.2533418204965051E-2</c:v>
                </c:pt>
                <c:pt idx="1008">
                  <c:v>-1.3968481375358117E-2</c:v>
                </c:pt>
                <c:pt idx="1009">
                  <c:v>1.558630254598282E-2</c:v>
                </c:pt>
                <c:pt idx="1010">
                  <c:v>1.6550154446431486E-2</c:v>
                </c:pt>
                <c:pt idx="1011">
                  <c:v>3.9310388945752395E-2</c:v>
                </c:pt>
                <c:pt idx="1012">
                  <c:v>1.0156033607238866E-3</c:v>
                </c:pt>
                <c:pt idx="1013">
                  <c:v>1.5249338990346032E-2</c:v>
                </c:pt>
                <c:pt idx="1014">
                  <c:v>-1.3930107201259576E-3</c:v>
                </c:pt>
                <c:pt idx="1015">
                  <c:v>-1.0613779718583256E-2</c:v>
                </c:pt>
                <c:pt idx="1016">
                  <c:v>-4.1378042052350279E-3</c:v>
                </c:pt>
                <c:pt idx="1017">
                  <c:v>-5.201440398879595E-3</c:v>
                </c:pt>
                <c:pt idx="1018">
                  <c:v>1.4324608625703663E-2</c:v>
                </c:pt>
                <c:pt idx="1019">
                  <c:v>-1.7996034771998628E-3</c:v>
                </c:pt>
                <c:pt idx="1020">
                  <c:v>1.9770213286072189E-2</c:v>
                </c:pt>
                <c:pt idx="1021">
                  <c:v>-9.888233002726704E-3</c:v>
                </c:pt>
                <c:pt idx="1022">
                  <c:v>1.3406772992766935E-2</c:v>
                </c:pt>
                <c:pt idx="1023">
                  <c:v>-2.159111270381649E-2</c:v>
                </c:pt>
                <c:pt idx="1024">
                  <c:v>-2.4020999297988555E-2</c:v>
                </c:pt>
                <c:pt idx="1025">
                  <c:v>1.3854140605454023E-2</c:v>
                </c:pt>
                <c:pt idx="1026">
                  <c:v>-9.5314476078841893E-3</c:v>
                </c:pt>
                <c:pt idx="1027">
                  <c:v>6.2285892245407303E-3</c:v>
                </c:pt>
                <c:pt idx="1028">
                  <c:v>2.1974620860414095E-3</c:v>
                </c:pt>
                <c:pt idx="1029">
                  <c:v>2.3254377567091818E-2</c:v>
                </c:pt>
                <c:pt idx="1030">
                  <c:v>6.1568177702662104E-3</c:v>
                </c:pt>
                <c:pt idx="1031">
                  <c:v>-2.4236606875037488E-2</c:v>
                </c:pt>
                <c:pt idx="1032">
                  <c:v>1.8967107285582457E-2</c:v>
                </c:pt>
                <c:pt idx="1033">
                  <c:v>1.7980511056807664E-2</c:v>
                </c:pt>
                <c:pt idx="1034">
                  <c:v>1.6684942062057173E-2</c:v>
                </c:pt>
                <c:pt idx="1035">
                  <c:v>5.829883985315818E-5</c:v>
                </c:pt>
                <c:pt idx="1036">
                  <c:v>1.4865337530605049E-2</c:v>
                </c:pt>
                <c:pt idx="1037">
                  <c:v>-1.7605836061807101E-2</c:v>
                </c:pt>
                <c:pt idx="1038">
                  <c:v>-6.2563952638502746E-3</c:v>
                </c:pt>
                <c:pt idx="1039">
                  <c:v>-1.5915977758818416E-2</c:v>
                </c:pt>
                <c:pt idx="1040">
                  <c:v>1.7130044843049339E-2</c:v>
                </c:pt>
                <c:pt idx="1041">
                  <c:v>9.1114834082822802E-4</c:v>
                </c:pt>
                <c:pt idx="1042">
                  <c:v>2.4989722205908234E-2</c:v>
                </c:pt>
                <c:pt idx="1043">
                  <c:v>-8.4228620541470858E-3</c:v>
                </c:pt>
                <c:pt idx="1044">
                  <c:v>-8.7255496807373267E-3</c:v>
                </c:pt>
                <c:pt idx="1045">
                  <c:v>9.9390830394357494E-3</c:v>
                </c:pt>
                <c:pt idx="1046">
                  <c:v>-7.7344877344877341E-2</c:v>
                </c:pt>
                <c:pt idx="1047">
                  <c:v>-7.400688145136064E-2</c:v>
                </c:pt>
                <c:pt idx="1048">
                  <c:v>2.7698959600054298E-3</c:v>
                </c:pt>
                <c:pt idx="1049">
                  <c:v>2.4557030249949444E-2</c:v>
                </c:pt>
                <c:pt idx="1050">
                  <c:v>1.1310208778563249E-2</c:v>
                </c:pt>
                <c:pt idx="1051">
                  <c:v>4.5775220260736736E-2</c:v>
                </c:pt>
                <c:pt idx="1052">
                  <c:v>4.0414088973169844E-3</c:v>
                </c:pt>
                <c:pt idx="1053">
                  <c:v>2.1147474997677801E-2</c:v>
                </c:pt>
                <c:pt idx="1054">
                  <c:v>-1.3917525773195759E-2</c:v>
                </c:pt>
                <c:pt idx="1055">
                  <c:v>1.1807754989083987E-2</c:v>
                </c:pt>
                <c:pt idx="1056">
                  <c:v>1.9510712657650687E-2</c:v>
                </c:pt>
                <c:pt idx="1057">
                  <c:v>-1.3115926908515497E-3</c:v>
                </c:pt>
                <c:pt idx="1058">
                  <c:v>-1.0088648777721428E-2</c:v>
                </c:pt>
                <c:pt idx="1059">
                  <c:v>1.2422734810794483E-2</c:v>
                </c:pt>
                <c:pt idx="1060">
                  <c:v>-2.230693629567845E-2</c:v>
                </c:pt>
                <c:pt idx="1061">
                  <c:v>-1.0935786523699333E-2</c:v>
                </c:pt>
                <c:pt idx="1062">
                  <c:v>1.5399303951447389E-4</c:v>
                </c:pt>
                <c:pt idx="1063">
                  <c:v>2.7930036336761829E-2</c:v>
                </c:pt>
                <c:pt idx="1064">
                  <c:v>-1.7674725143045546E-2</c:v>
                </c:pt>
                <c:pt idx="1065">
                  <c:v>-5.3063340550760733E-3</c:v>
                </c:pt>
                <c:pt idx="1066">
                  <c:v>2.146120121410615E-4</c:v>
                </c:pt>
                <c:pt idx="1067">
                  <c:v>1.4590485532123561E-2</c:v>
                </c:pt>
                <c:pt idx="1068">
                  <c:v>-1.9818731117824735E-2</c:v>
                </c:pt>
                <c:pt idx="1069">
                  <c:v>7.2740722475649455E-3</c:v>
                </c:pt>
                <c:pt idx="1070">
                  <c:v>-5.2937576499388558E-3</c:v>
                </c:pt>
                <c:pt idx="1071">
                  <c:v>2.0518657519918836E-2</c:v>
                </c:pt>
                <c:pt idx="1072">
                  <c:v>1.4228009887261148E-2</c:v>
                </c:pt>
                <c:pt idx="1073">
                  <c:v>-1.2690958806395994E-2</c:v>
                </c:pt>
                <c:pt idx="1074">
                  <c:v>1.1318823564827288E-2</c:v>
                </c:pt>
                <c:pt idx="1075">
                  <c:v>-8.453638934365201E-3</c:v>
                </c:pt>
                <c:pt idx="1076">
                  <c:v>-4.5330371348804707E-3</c:v>
                </c:pt>
                <c:pt idx="1077">
                  <c:v>7.9312424607962985E-3</c:v>
                </c:pt>
                <c:pt idx="1078">
                  <c:v>3.8027705472279592E-2</c:v>
                </c:pt>
                <c:pt idx="1079">
                  <c:v>-1.7582290886032149E-3</c:v>
                </c:pt>
                <c:pt idx="1080">
                  <c:v>4.3311292697717691E-4</c:v>
                </c:pt>
                <c:pt idx="1081">
                  <c:v>3.3392980835834578E-2</c:v>
                </c:pt>
                <c:pt idx="1082">
                  <c:v>2.7677698645440573E-2</c:v>
                </c:pt>
                <c:pt idx="1083">
                  <c:v>-4.1852375258179253E-3</c:v>
                </c:pt>
                <c:pt idx="1084">
                  <c:v>-1.0397904044539059E-2</c:v>
                </c:pt>
                <c:pt idx="1085">
                  <c:v>9.3764650726673056E-4</c:v>
                </c:pt>
                <c:pt idx="1086">
                  <c:v>4.2154566744730315E-3</c:v>
                </c:pt>
                <c:pt idx="1087">
                  <c:v>1.9287752414398677E-2</c:v>
                </c:pt>
                <c:pt idx="1088">
                  <c:v>-6.4062878522787173E-3</c:v>
                </c:pt>
                <c:pt idx="1089">
                  <c:v>-2.0588952401592881E-2</c:v>
                </c:pt>
                <c:pt idx="1090">
                  <c:v>-1.2502420269410511E-2</c:v>
                </c:pt>
                <c:pt idx="1091">
                  <c:v>1.0756001232458484E-2</c:v>
                </c:pt>
                <c:pt idx="1092">
                  <c:v>1.8622696411251131E-2</c:v>
                </c:pt>
                <c:pt idx="1093">
                  <c:v>-1.5915335854395106E-2</c:v>
                </c:pt>
                <c:pt idx="1094">
                  <c:v>6.2202808802388982E-3</c:v>
                </c:pt>
                <c:pt idx="1095">
                  <c:v>9.0666813198889556E-3</c:v>
                </c:pt>
                <c:pt idx="1096">
                  <c:v>9.720369210662631E-3</c:v>
                </c:pt>
                <c:pt idx="1097">
                  <c:v>-4.8538453241289961E-3</c:v>
                </c:pt>
                <c:pt idx="1098">
                  <c:v>-4.2000867114676222E-3</c:v>
                </c:pt>
                <c:pt idx="1099">
                  <c:v>-3.2381833519279373E-3</c:v>
                </c:pt>
                <c:pt idx="1100">
                  <c:v>1.8427518427518347E-2</c:v>
                </c:pt>
                <c:pt idx="1101">
                  <c:v>3.8520305589063067E-2</c:v>
                </c:pt>
                <c:pt idx="1102">
                  <c:v>-1.6313045273862938E-2</c:v>
                </c:pt>
                <c:pt idx="1103">
                  <c:v>2.3615848858568201E-4</c:v>
                </c:pt>
                <c:pt idx="1104">
                  <c:v>4.8269891655079488E-3</c:v>
                </c:pt>
                <c:pt idx="1105">
                  <c:v>2.6916951674803697E-2</c:v>
                </c:pt>
                <c:pt idx="1106">
                  <c:v>5.6185488381551973E-3</c:v>
                </c:pt>
                <c:pt idx="1107">
                  <c:v>-1.3146252054101783E-3</c:v>
                </c:pt>
                <c:pt idx="1108">
                  <c:v>-7.0627547274891393E-3</c:v>
                </c:pt>
                <c:pt idx="1109">
                  <c:v>-3.0109116867224086E-2</c:v>
                </c:pt>
                <c:pt idx="1110">
                  <c:v>1.5245905948531879E-3</c:v>
                </c:pt>
                <c:pt idx="1111">
                  <c:v>-9.50106296422671E-3</c:v>
                </c:pt>
                <c:pt idx="1112">
                  <c:v>-2.7213227695487268E-2</c:v>
                </c:pt>
                <c:pt idx="1113">
                  <c:v>1.6779254739594671E-2</c:v>
                </c:pt>
                <c:pt idx="1114">
                  <c:v>1.3260822974710604E-2</c:v>
                </c:pt>
                <c:pt idx="1115">
                  <c:v>2.0886762023107799E-3</c:v>
                </c:pt>
                <c:pt idx="1116">
                  <c:v>1.0342462139200989E-2</c:v>
                </c:pt>
                <c:pt idx="1117">
                  <c:v>-1.3239672011281086E-2</c:v>
                </c:pt>
                <c:pt idx="1118">
                  <c:v>5.689787493053257E-3</c:v>
                </c:pt>
                <c:pt idx="1119">
                  <c:v>1.5788642703015481E-2</c:v>
                </c:pt>
                <c:pt idx="1120">
                  <c:v>-1.3807574737060105E-2</c:v>
                </c:pt>
                <c:pt idx="1121">
                  <c:v>-1.0507236859386678E-3</c:v>
                </c:pt>
                <c:pt idx="1122">
                  <c:v>-1.8328118015198996E-2</c:v>
                </c:pt>
                <c:pt idx="1123">
                  <c:v>1.1812921890067569E-2</c:v>
                </c:pt>
                <c:pt idx="1124">
                  <c:v>8.1010245413389824E-3</c:v>
                </c:pt>
                <c:pt idx="1125">
                  <c:v>2.5525880406523316E-2</c:v>
                </c:pt>
                <c:pt idx="1126">
                  <c:v>-2.4583237305063543E-3</c:v>
                </c:pt>
                <c:pt idx="1127">
                  <c:v>2.5927352072904401E-3</c:v>
                </c:pt>
                <c:pt idx="1128">
                  <c:v>1.6565956575174252E-2</c:v>
                </c:pt>
                <c:pt idx="1129">
                  <c:v>2.4154346019192405E-2</c:v>
                </c:pt>
                <c:pt idx="1130">
                  <c:v>2.2871477054743981E-2</c:v>
                </c:pt>
                <c:pt idx="1131">
                  <c:v>1.1252163877668867E-2</c:v>
                </c:pt>
                <c:pt idx="1132">
                  <c:v>-1.5287684260580138E-2</c:v>
                </c:pt>
                <c:pt idx="1133">
                  <c:v>1.1710167322596988E-2</c:v>
                </c:pt>
                <c:pt idx="1134">
                  <c:v>-1.3388382416113788E-2</c:v>
                </c:pt>
                <c:pt idx="1135">
                  <c:v>6.2649669819307792E-3</c:v>
                </c:pt>
                <c:pt idx="1136">
                  <c:v>1.3197115384615371E-2</c:v>
                </c:pt>
                <c:pt idx="1137">
                  <c:v>1.9288713848489937E-2</c:v>
                </c:pt>
                <c:pt idx="1138">
                  <c:v>-1.0474372701457498E-3</c:v>
                </c:pt>
                <c:pt idx="1139">
                  <c:v>-1.78251042710348E-2</c:v>
                </c:pt>
                <c:pt idx="1140">
                  <c:v>-8.0660466881758686E-4</c:v>
                </c:pt>
                <c:pt idx="1141">
                  <c:v>4.5728667078208718E-2</c:v>
                </c:pt>
                <c:pt idx="1142">
                  <c:v>8.9228952865316666E-3</c:v>
                </c:pt>
                <c:pt idx="1143">
                  <c:v>-9.3840718320317412E-3</c:v>
                </c:pt>
                <c:pt idx="1144">
                  <c:v>2.0740572467060351E-2</c:v>
                </c:pt>
                <c:pt idx="1145">
                  <c:v>4.6357910666993046E-2</c:v>
                </c:pt>
                <c:pt idx="1146">
                  <c:v>-7.9972775225454675E-3</c:v>
                </c:pt>
                <c:pt idx="1147">
                  <c:v>2.2277015437392828E-2</c:v>
                </c:pt>
                <c:pt idx="1148">
                  <c:v>-2.7475408460747964E-2</c:v>
                </c:pt>
                <c:pt idx="1149">
                  <c:v>2.4714787897086431E-2</c:v>
                </c:pt>
                <c:pt idx="1150">
                  <c:v>3.1127012522361341E-2</c:v>
                </c:pt>
                <c:pt idx="1151">
                  <c:v>-3.7494387067804287E-2</c:v>
                </c:pt>
                <c:pt idx="1152">
                  <c:v>1.908518353584906E-3</c:v>
                </c:pt>
                <c:pt idx="1153">
                  <c:v>7.143310686392787E-2</c:v>
                </c:pt>
                <c:pt idx="1154">
                  <c:v>1.4934218324048837E-2</c:v>
                </c:pt>
                <c:pt idx="1155">
                  <c:v>3.7331153411966196E-2</c:v>
                </c:pt>
                <c:pt idx="1156">
                  <c:v>-5.9891924347042935E-2</c:v>
                </c:pt>
                <c:pt idx="1157">
                  <c:v>-4.790036723614878E-2</c:v>
                </c:pt>
                <c:pt idx="1158">
                  <c:v>-4.8213986248539411E-4</c:v>
                </c:pt>
                <c:pt idx="1159">
                  <c:v>2.1455086931901665E-2</c:v>
                </c:pt>
                <c:pt idx="1160">
                  <c:v>-2.4227989487516856E-3</c:v>
                </c:pt>
                <c:pt idx="1161">
                  <c:v>-2.5974560573004579E-2</c:v>
                </c:pt>
                <c:pt idx="1162">
                  <c:v>1.2446116135576E-2</c:v>
                </c:pt>
                <c:pt idx="1163">
                  <c:v>1.4672427107465677E-2</c:v>
                </c:pt>
                <c:pt idx="1164">
                  <c:v>-9.3796281059734046E-3</c:v>
                </c:pt>
                <c:pt idx="1165">
                  <c:v>-1.8044019933554815E-2</c:v>
                </c:pt>
                <c:pt idx="1166">
                  <c:v>1.5457486625362156E-2</c:v>
                </c:pt>
                <c:pt idx="1167">
                  <c:v>-1.4993128149597189E-3</c:v>
                </c:pt>
                <c:pt idx="1168">
                  <c:v>4.0250260688216438E-3</c:v>
                </c:pt>
                <c:pt idx="1169">
                  <c:v>5.4026545915294003E-2</c:v>
                </c:pt>
                <c:pt idx="1170">
                  <c:v>5.3464448998896442E-2</c:v>
                </c:pt>
                <c:pt idx="1171">
                  <c:v>-5.3688010924668244E-3</c:v>
                </c:pt>
                <c:pt idx="1172">
                  <c:v>-4.6718074101937214E-2</c:v>
                </c:pt>
                <c:pt idx="1173">
                  <c:v>-3.2553367793867962E-3</c:v>
                </c:pt>
                <c:pt idx="1174">
                  <c:v>6.5913184616297853E-3</c:v>
                </c:pt>
                <c:pt idx="1175">
                  <c:v>-1.0874267510913542E-2</c:v>
                </c:pt>
                <c:pt idx="1176">
                  <c:v>-7.7135643426573071E-3</c:v>
                </c:pt>
                <c:pt idx="1177">
                  <c:v>2.1076673411736559E-2</c:v>
                </c:pt>
                <c:pt idx="1178">
                  <c:v>5.1839497694496139E-2</c:v>
                </c:pt>
                <c:pt idx="1179">
                  <c:v>6.6334620478668782E-2</c:v>
                </c:pt>
                <c:pt idx="1180">
                  <c:v>2.6940503472526047E-2</c:v>
                </c:pt>
                <c:pt idx="1181">
                  <c:v>-1.4138970751069878E-3</c:v>
                </c:pt>
                <c:pt idx="1182">
                  <c:v>-1.9259638348686419E-2</c:v>
                </c:pt>
                <c:pt idx="1183">
                  <c:v>2.7169470004000586E-2</c:v>
                </c:pt>
                <c:pt idx="1184">
                  <c:v>3.026095202614611E-2</c:v>
                </c:pt>
                <c:pt idx="1185">
                  <c:v>3.1065088757396457E-3</c:v>
                </c:pt>
                <c:pt idx="1186">
                  <c:v>5.8382080650182619E-2</c:v>
                </c:pt>
                <c:pt idx="1187">
                  <c:v>-4.0020435967302467E-2</c:v>
                </c:pt>
                <c:pt idx="1188">
                  <c:v>2.1223410260131963E-2</c:v>
                </c:pt>
                <c:pt idx="1189">
                  <c:v>5.6503955908595548E-2</c:v>
                </c:pt>
                <c:pt idx="1190">
                  <c:v>-2.5141627180460716E-2</c:v>
                </c:pt>
                <c:pt idx="1191">
                  <c:v>3.4805808123399784E-2</c:v>
                </c:pt>
                <c:pt idx="1192">
                  <c:v>5.405325312273105E-2</c:v>
                </c:pt>
                <c:pt idx="1193">
                  <c:v>7.7034454643856477E-3</c:v>
                </c:pt>
                <c:pt idx="1194">
                  <c:v>7.6878007951454219E-2</c:v>
                </c:pt>
                <c:pt idx="1195">
                  <c:v>9.3657702471630529E-3</c:v>
                </c:pt>
                <c:pt idx="1196">
                  <c:v>-9.389237541549561E-2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7-4703-900B-9A9AD14D7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5396975"/>
        <c:axId val="1405397455"/>
      </c:areaChart>
      <c:dateAx>
        <c:axId val="1405396975"/>
        <c:scaling>
          <c:orientation val="minMax"/>
        </c:scaling>
        <c:delete val="1"/>
        <c:axPos val="b"/>
        <c:numFmt formatCode="m/d/yyyy" sourceLinked="0"/>
        <c:majorTickMark val="none"/>
        <c:minorTickMark val="none"/>
        <c:tickLblPos val="nextTo"/>
        <c:crossAx val="1405397455"/>
        <c:crosses val="autoZero"/>
        <c:auto val="0"/>
        <c:lblOffset val="100"/>
        <c:baseTimeUnit val="days"/>
      </c:dateAx>
      <c:valAx>
        <c:axId val="140539745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05396975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i="1"/>
              <a:t>Figure 4. Gold vs Silver: Cumulative</a:t>
            </a:r>
            <a:r>
              <a:rPr lang="es-ES" b="1" i="1" baseline="0"/>
              <a:t> Return (2020-2025)</a:t>
            </a:r>
            <a:endParaRPr lang="es-E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Analysis!$F$1</c:f>
              <c:strCache>
                <c:ptCount val="1"/>
                <c:pt idx="0">
                  <c:v>Cum Return Gold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cat>
            <c:strRef>
              <c:f>Analysis!$A$2:$A$1328</c:f>
              <c:strCache>
                <c:ptCount val="1197"/>
                <c:pt idx="0">
                  <c:v>02.01.2020</c:v>
                </c:pt>
                <c:pt idx="1">
                  <c:v>06.01.2020</c:v>
                </c:pt>
                <c:pt idx="2">
                  <c:v>07.01.2020</c:v>
                </c:pt>
                <c:pt idx="3">
                  <c:v>08.01.2020</c:v>
                </c:pt>
                <c:pt idx="4">
                  <c:v>09.01.2020</c:v>
                </c:pt>
                <c:pt idx="5">
                  <c:v>13.01.2020</c:v>
                </c:pt>
                <c:pt idx="6">
                  <c:v>14.01.2020</c:v>
                </c:pt>
                <c:pt idx="7">
                  <c:v>15.01.2020</c:v>
                </c:pt>
                <c:pt idx="8">
                  <c:v>16.01.2020</c:v>
                </c:pt>
                <c:pt idx="9">
                  <c:v>21.01.2020</c:v>
                </c:pt>
                <c:pt idx="10">
                  <c:v>22.01.2020</c:v>
                </c:pt>
                <c:pt idx="11">
                  <c:v>23.01.2020</c:v>
                </c:pt>
                <c:pt idx="12">
                  <c:v>27.01.2020</c:v>
                </c:pt>
                <c:pt idx="13">
                  <c:v>28.01.2020</c:v>
                </c:pt>
                <c:pt idx="14">
                  <c:v>29.01.2020</c:v>
                </c:pt>
                <c:pt idx="15">
                  <c:v>30.01.2020</c:v>
                </c:pt>
                <c:pt idx="16">
                  <c:v>03.02.2020</c:v>
                </c:pt>
                <c:pt idx="17">
                  <c:v>04.02.2020</c:v>
                </c:pt>
                <c:pt idx="18">
                  <c:v>05.02.2020</c:v>
                </c:pt>
                <c:pt idx="19">
                  <c:v>06.02.2020</c:v>
                </c:pt>
                <c:pt idx="20">
                  <c:v>10.02.2020</c:v>
                </c:pt>
                <c:pt idx="21">
                  <c:v>11.02.2020</c:v>
                </c:pt>
                <c:pt idx="22">
                  <c:v>12.02.2020</c:v>
                </c:pt>
                <c:pt idx="23">
                  <c:v>13.02.2020</c:v>
                </c:pt>
                <c:pt idx="24">
                  <c:v>18.02.2020</c:v>
                </c:pt>
                <c:pt idx="25">
                  <c:v>19.02.2020</c:v>
                </c:pt>
                <c:pt idx="26">
                  <c:v>20.02.2020</c:v>
                </c:pt>
                <c:pt idx="27">
                  <c:v>24.02.2020</c:v>
                </c:pt>
                <c:pt idx="28">
                  <c:v>25.02.2020</c:v>
                </c:pt>
                <c:pt idx="29">
                  <c:v>26.02.2020</c:v>
                </c:pt>
                <c:pt idx="30">
                  <c:v>27.02.2020</c:v>
                </c:pt>
                <c:pt idx="31">
                  <c:v>02.03.2020</c:v>
                </c:pt>
                <c:pt idx="32">
                  <c:v>03.03.2020</c:v>
                </c:pt>
                <c:pt idx="33">
                  <c:v>04.03.2020</c:v>
                </c:pt>
                <c:pt idx="34">
                  <c:v>05.03.2020</c:v>
                </c:pt>
                <c:pt idx="35">
                  <c:v>09.03.2020</c:v>
                </c:pt>
                <c:pt idx="36">
                  <c:v>10.03.2020</c:v>
                </c:pt>
                <c:pt idx="37">
                  <c:v>11.03.2020</c:v>
                </c:pt>
                <c:pt idx="38">
                  <c:v>12.03.2020</c:v>
                </c:pt>
                <c:pt idx="39">
                  <c:v>16.03.2020</c:v>
                </c:pt>
                <c:pt idx="40">
                  <c:v>17.03.2020</c:v>
                </c:pt>
                <c:pt idx="41">
                  <c:v>18.03.2020</c:v>
                </c:pt>
                <c:pt idx="42">
                  <c:v>19.03.2020</c:v>
                </c:pt>
                <c:pt idx="43">
                  <c:v>23.03.2020</c:v>
                </c:pt>
                <c:pt idx="44">
                  <c:v>24.03.2020</c:v>
                </c:pt>
                <c:pt idx="45">
                  <c:v>25.03.2020</c:v>
                </c:pt>
                <c:pt idx="46">
                  <c:v>26.03.2020</c:v>
                </c:pt>
                <c:pt idx="47">
                  <c:v>30.03.2020</c:v>
                </c:pt>
                <c:pt idx="48">
                  <c:v>31.03.2020</c:v>
                </c:pt>
                <c:pt idx="49">
                  <c:v>01.04.2020</c:v>
                </c:pt>
                <c:pt idx="50">
                  <c:v>02.04.2020</c:v>
                </c:pt>
                <c:pt idx="51">
                  <c:v>06.04.2020</c:v>
                </c:pt>
                <c:pt idx="52">
                  <c:v>07.04.2020</c:v>
                </c:pt>
                <c:pt idx="53">
                  <c:v>08.04.2020</c:v>
                </c:pt>
                <c:pt idx="54">
                  <c:v>13.04.2020</c:v>
                </c:pt>
                <c:pt idx="55">
                  <c:v>14.04.2020</c:v>
                </c:pt>
                <c:pt idx="56">
                  <c:v>15.04.2020</c:v>
                </c:pt>
                <c:pt idx="57">
                  <c:v>16.04.2020</c:v>
                </c:pt>
                <c:pt idx="58">
                  <c:v>20.04.2020</c:v>
                </c:pt>
                <c:pt idx="59">
                  <c:v>21.04.2020</c:v>
                </c:pt>
                <c:pt idx="60">
                  <c:v>22.04.2020</c:v>
                </c:pt>
                <c:pt idx="61">
                  <c:v>23.04.2020</c:v>
                </c:pt>
                <c:pt idx="62">
                  <c:v>27.04.2020</c:v>
                </c:pt>
                <c:pt idx="63">
                  <c:v>28.04.2020</c:v>
                </c:pt>
                <c:pt idx="64">
                  <c:v>29.04.2020</c:v>
                </c:pt>
                <c:pt idx="65">
                  <c:v>30.04.2020</c:v>
                </c:pt>
                <c:pt idx="66">
                  <c:v>04.05.2020</c:v>
                </c:pt>
                <c:pt idx="67">
                  <c:v>05.05.2020</c:v>
                </c:pt>
                <c:pt idx="68">
                  <c:v>06.05.2020</c:v>
                </c:pt>
                <c:pt idx="69">
                  <c:v>07.05.2020</c:v>
                </c:pt>
                <c:pt idx="70">
                  <c:v>11.05.2020</c:v>
                </c:pt>
                <c:pt idx="71">
                  <c:v>12.05.2020</c:v>
                </c:pt>
                <c:pt idx="72">
                  <c:v>13.05.2020</c:v>
                </c:pt>
                <c:pt idx="73">
                  <c:v>14.05.2020</c:v>
                </c:pt>
                <c:pt idx="74">
                  <c:v>18.05.2020</c:v>
                </c:pt>
                <c:pt idx="75">
                  <c:v>19.05.2020</c:v>
                </c:pt>
                <c:pt idx="76">
                  <c:v>20.05.2020</c:v>
                </c:pt>
                <c:pt idx="77">
                  <c:v>21.05.2020</c:v>
                </c:pt>
                <c:pt idx="78">
                  <c:v>26.05.2020</c:v>
                </c:pt>
                <c:pt idx="79">
                  <c:v>27.05.2020</c:v>
                </c:pt>
                <c:pt idx="80">
                  <c:v>28.05.2020</c:v>
                </c:pt>
                <c:pt idx="81">
                  <c:v>01.06.2020</c:v>
                </c:pt>
                <c:pt idx="82">
                  <c:v>02.06.2020</c:v>
                </c:pt>
                <c:pt idx="83">
                  <c:v>03.06.2020</c:v>
                </c:pt>
                <c:pt idx="84">
                  <c:v>04.06.2020</c:v>
                </c:pt>
                <c:pt idx="85">
                  <c:v>08.06.2020</c:v>
                </c:pt>
                <c:pt idx="86">
                  <c:v>09.06.2020</c:v>
                </c:pt>
                <c:pt idx="87">
                  <c:v>10.06.2020</c:v>
                </c:pt>
                <c:pt idx="88">
                  <c:v>11.06.2020</c:v>
                </c:pt>
                <c:pt idx="89">
                  <c:v>15.06.2020</c:v>
                </c:pt>
                <c:pt idx="90">
                  <c:v>16.06.2020</c:v>
                </c:pt>
                <c:pt idx="91">
                  <c:v>17.06.2020</c:v>
                </c:pt>
                <c:pt idx="92">
                  <c:v>18.06.2020</c:v>
                </c:pt>
                <c:pt idx="93">
                  <c:v>22.06.2020</c:v>
                </c:pt>
                <c:pt idx="94">
                  <c:v>23.06.2020</c:v>
                </c:pt>
                <c:pt idx="95">
                  <c:v>24.06.2020</c:v>
                </c:pt>
                <c:pt idx="96">
                  <c:v>25.06.2020</c:v>
                </c:pt>
                <c:pt idx="97">
                  <c:v>29.06.2020</c:v>
                </c:pt>
                <c:pt idx="98">
                  <c:v>30.06.2020</c:v>
                </c:pt>
                <c:pt idx="99">
                  <c:v>01.07.2020</c:v>
                </c:pt>
                <c:pt idx="100">
                  <c:v>02.07.2020</c:v>
                </c:pt>
                <c:pt idx="101">
                  <c:v>06.07.2020</c:v>
                </c:pt>
                <c:pt idx="102">
                  <c:v>07.07.2020</c:v>
                </c:pt>
                <c:pt idx="103">
                  <c:v>08.07.2020</c:v>
                </c:pt>
                <c:pt idx="104">
                  <c:v>09.07.2020</c:v>
                </c:pt>
                <c:pt idx="105">
                  <c:v>13.07.2020</c:v>
                </c:pt>
                <c:pt idx="106">
                  <c:v>14.07.2020</c:v>
                </c:pt>
                <c:pt idx="107">
                  <c:v>15.07.2020</c:v>
                </c:pt>
                <c:pt idx="108">
                  <c:v>16.07.2020</c:v>
                </c:pt>
                <c:pt idx="109">
                  <c:v>20.07.2020</c:v>
                </c:pt>
                <c:pt idx="110">
                  <c:v>21.07.2020</c:v>
                </c:pt>
                <c:pt idx="111">
                  <c:v>22.07.2020</c:v>
                </c:pt>
                <c:pt idx="112">
                  <c:v>23.07.2020</c:v>
                </c:pt>
                <c:pt idx="113">
                  <c:v>27.07.2020</c:v>
                </c:pt>
                <c:pt idx="114">
                  <c:v>28.07.2020</c:v>
                </c:pt>
                <c:pt idx="115">
                  <c:v>29.07.2020</c:v>
                </c:pt>
                <c:pt idx="116">
                  <c:v>30.07.2020</c:v>
                </c:pt>
                <c:pt idx="117">
                  <c:v>03.08.2020</c:v>
                </c:pt>
                <c:pt idx="118">
                  <c:v>04.08.2020</c:v>
                </c:pt>
                <c:pt idx="119">
                  <c:v>05.08.2020</c:v>
                </c:pt>
                <c:pt idx="120">
                  <c:v>06.08.2020</c:v>
                </c:pt>
                <c:pt idx="121">
                  <c:v>10.08.2020</c:v>
                </c:pt>
                <c:pt idx="122">
                  <c:v>11.08.2020</c:v>
                </c:pt>
                <c:pt idx="123">
                  <c:v>12.08.2020</c:v>
                </c:pt>
                <c:pt idx="124">
                  <c:v>13.08.2020</c:v>
                </c:pt>
                <c:pt idx="125">
                  <c:v>17.08.2020</c:v>
                </c:pt>
                <c:pt idx="126">
                  <c:v>18.08.2020</c:v>
                </c:pt>
                <c:pt idx="127">
                  <c:v>19.08.2020</c:v>
                </c:pt>
                <c:pt idx="128">
                  <c:v>20.08.2020</c:v>
                </c:pt>
                <c:pt idx="129">
                  <c:v>24.08.2020</c:v>
                </c:pt>
                <c:pt idx="130">
                  <c:v>25.08.2020</c:v>
                </c:pt>
                <c:pt idx="131">
                  <c:v>26.08.2020</c:v>
                </c:pt>
                <c:pt idx="132">
                  <c:v>27.08.2020</c:v>
                </c:pt>
                <c:pt idx="133">
                  <c:v>31.08.2020</c:v>
                </c:pt>
                <c:pt idx="134">
                  <c:v>01.09.2020</c:v>
                </c:pt>
                <c:pt idx="135">
                  <c:v>02.09.2020</c:v>
                </c:pt>
                <c:pt idx="136">
                  <c:v>03.09.2020</c:v>
                </c:pt>
                <c:pt idx="137">
                  <c:v>08.09.2020</c:v>
                </c:pt>
                <c:pt idx="138">
                  <c:v>09.09.2020</c:v>
                </c:pt>
                <c:pt idx="139">
                  <c:v>10.09.2020</c:v>
                </c:pt>
                <c:pt idx="140">
                  <c:v>14.09.2020</c:v>
                </c:pt>
                <c:pt idx="141">
                  <c:v>15.09.2020</c:v>
                </c:pt>
                <c:pt idx="142">
                  <c:v>16.09.2020</c:v>
                </c:pt>
                <c:pt idx="143">
                  <c:v>17.09.2020</c:v>
                </c:pt>
                <c:pt idx="144">
                  <c:v>21.09.2020</c:v>
                </c:pt>
                <c:pt idx="145">
                  <c:v>22.09.2020</c:v>
                </c:pt>
                <c:pt idx="146">
                  <c:v>23.09.2020</c:v>
                </c:pt>
                <c:pt idx="147">
                  <c:v>24.09.2020</c:v>
                </c:pt>
                <c:pt idx="148">
                  <c:v>28.09.2020</c:v>
                </c:pt>
                <c:pt idx="149">
                  <c:v>29.09.2020</c:v>
                </c:pt>
                <c:pt idx="150">
                  <c:v>30.09.2020</c:v>
                </c:pt>
                <c:pt idx="151">
                  <c:v>01.10.2020</c:v>
                </c:pt>
                <c:pt idx="152">
                  <c:v>05.10.2020</c:v>
                </c:pt>
                <c:pt idx="153">
                  <c:v>06.10.2020</c:v>
                </c:pt>
                <c:pt idx="154">
                  <c:v>07.10.2020</c:v>
                </c:pt>
                <c:pt idx="155">
                  <c:v>08.10.2020</c:v>
                </c:pt>
                <c:pt idx="156">
                  <c:v>12.10.2020</c:v>
                </c:pt>
                <c:pt idx="157">
                  <c:v>13.10.2020</c:v>
                </c:pt>
                <c:pt idx="158">
                  <c:v>14.10.2020</c:v>
                </c:pt>
                <c:pt idx="159">
                  <c:v>15.10.2020</c:v>
                </c:pt>
                <c:pt idx="160">
                  <c:v>19.10.2020</c:v>
                </c:pt>
                <c:pt idx="161">
                  <c:v>20.10.2020</c:v>
                </c:pt>
                <c:pt idx="162">
                  <c:v>21.10.2020</c:v>
                </c:pt>
                <c:pt idx="163">
                  <c:v>22.10.2020</c:v>
                </c:pt>
                <c:pt idx="164">
                  <c:v>26.10.2020</c:v>
                </c:pt>
                <c:pt idx="165">
                  <c:v>27.10.2020</c:v>
                </c:pt>
                <c:pt idx="166">
                  <c:v>28.10.2020</c:v>
                </c:pt>
                <c:pt idx="167">
                  <c:v>29.10.2020</c:v>
                </c:pt>
                <c:pt idx="168">
                  <c:v>02.11.2020</c:v>
                </c:pt>
                <c:pt idx="169">
                  <c:v>03.11.2020</c:v>
                </c:pt>
                <c:pt idx="170">
                  <c:v>04.11.2020</c:v>
                </c:pt>
                <c:pt idx="171">
                  <c:v>05.11.2020</c:v>
                </c:pt>
                <c:pt idx="172">
                  <c:v>09.11.2020</c:v>
                </c:pt>
                <c:pt idx="173">
                  <c:v>10.11.2020</c:v>
                </c:pt>
                <c:pt idx="174">
                  <c:v>11.11.2020</c:v>
                </c:pt>
                <c:pt idx="175">
                  <c:v>12.11.2020</c:v>
                </c:pt>
                <c:pt idx="176">
                  <c:v>16.11.2020</c:v>
                </c:pt>
                <c:pt idx="177">
                  <c:v>17.11.2020</c:v>
                </c:pt>
                <c:pt idx="178">
                  <c:v>18.11.2020</c:v>
                </c:pt>
                <c:pt idx="179">
                  <c:v>19.11.2020</c:v>
                </c:pt>
                <c:pt idx="180">
                  <c:v>23.11.2020</c:v>
                </c:pt>
                <c:pt idx="181">
                  <c:v>24.11.2020</c:v>
                </c:pt>
                <c:pt idx="182">
                  <c:v>25.11.2020</c:v>
                </c:pt>
                <c:pt idx="183">
                  <c:v>30.11.2020</c:v>
                </c:pt>
                <c:pt idx="184">
                  <c:v>01.12.2020</c:v>
                </c:pt>
                <c:pt idx="185">
                  <c:v>02.12.2020</c:v>
                </c:pt>
                <c:pt idx="186">
                  <c:v>03.12.2020</c:v>
                </c:pt>
                <c:pt idx="187">
                  <c:v>07.12.2020</c:v>
                </c:pt>
                <c:pt idx="188">
                  <c:v>08.12.2020</c:v>
                </c:pt>
                <c:pt idx="189">
                  <c:v>09.12.2020</c:v>
                </c:pt>
                <c:pt idx="190">
                  <c:v>10.12.2020</c:v>
                </c:pt>
                <c:pt idx="191">
                  <c:v>14.12.2020</c:v>
                </c:pt>
                <c:pt idx="192">
                  <c:v>15.12.2020</c:v>
                </c:pt>
                <c:pt idx="193">
                  <c:v>16.12.2020</c:v>
                </c:pt>
                <c:pt idx="194">
                  <c:v>17.12.2020</c:v>
                </c:pt>
                <c:pt idx="195">
                  <c:v>21.12.2020</c:v>
                </c:pt>
                <c:pt idx="196">
                  <c:v>22.12.2020</c:v>
                </c:pt>
                <c:pt idx="197">
                  <c:v>23.12.2020</c:v>
                </c:pt>
                <c:pt idx="198">
                  <c:v>28.12.2020</c:v>
                </c:pt>
                <c:pt idx="199">
                  <c:v>29.12.2020</c:v>
                </c:pt>
                <c:pt idx="200">
                  <c:v>30.12.2020</c:v>
                </c:pt>
                <c:pt idx="201">
                  <c:v>04.01.2021</c:v>
                </c:pt>
                <c:pt idx="202">
                  <c:v>05.01.2021</c:v>
                </c:pt>
                <c:pt idx="203">
                  <c:v>06.01.2021</c:v>
                </c:pt>
                <c:pt idx="204">
                  <c:v>07.01.2021</c:v>
                </c:pt>
                <c:pt idx="205">
                  <c:v>11.01.2021</c:v>
                </c:pt>
                <c:pt idx="206">
                  <c:v>12.01.2021</c:v>
                </c:pt>
                <c:pt idx="207">
                  <c:v>13.01.2021</c:v>
                </c:pt>
                <c:pt idx="208">
                  <c:v>14.01.2021</c:v>
                </c:pt>
                <c:pt idx="209">
                  <c:v>19.01.2021</c:v>
                </c:pt>
                <c:pt idx="210">
                  <c:v>20.01.2021</c:v>
                </c:pt>
                <c:pt idx="211">
                  <c:v>21.01.2021</c:v>
                </c:pt>
                <c:pt idx="212">
                  <c:v>25.01.2021</c:v>
                </c:pt>
                <c:pt idx="213">
                  <c:v>26.01.2021</c:v>
                </c:pt>
                <c:pt idx="214">
                  <c:v>27.01.2021</c:v>
                </c:pt>
                <c:pt idx="215">
                  <c:v>28.01.2021</c:v>
                </c:pt>
                <c:pt idx="216">
                  <c:v>01.02.2021</c:v>
                </c:pt>
                <c:pt idx="217">
                  <c:v>02.02.2021</c:v>
                </c:pt>
                <c:pt idx="218">
                  <c:v>03.02.2021</c:v>
                </c:pt>
                <c:pt idx="219">
                  <c:v>04.02.2021</c:v>
                </c:pt>
                <c:pt idx="220">
                  <c:v>08.02.2021</c:v>
                </c:pt>
                <c:pt idx="221">
                  <c:v>09.02.2021</c:v>
                </c:pt>
                <c:pt idx="222">
                  <c:v>10.02.2021</c:v>
                </c:pt>
                <c:pt idx="223">
                  <c:v>11.02.2021</c:v>
                </c:pt>
                <c:pt idx="224">
                  <c:v>16.02.2021</c:v>
                </c:pt>
                <c:pt idx="225">
                  <c:v>17.02.2021</c:v>
                </c:pt>
                <c:pt idx="226">
                  <c:v>18.02.2021</c:v>
                </c:pt>
                <c:pt idx="227">
                  <c:v>22.02.2021</c:v>
                </c:pt>
                <c:pt idx="228">
                  <c:v>23.02.2021</c:v>
                </c:pt>
                <c:pt idx="229">
                  <c:v>24.02.2021</c:v>
                </c:pt>
                <c:pt idx="230">
                  <c:v>25.02.2021</c:v>
                </c:pt>
                <c:pt idx="231">
                  <c:v>01.03.2021</c:v>
                </c:pt>
                <c:pt idx="232">
                  <c:v>02.03.2021</c:v>
                </c:pt>
                <c:pt idx="233">
                  <c:v>03.03.2021</c:v>
                </c:pt>
                <c:pt idx="234">
                  <c:v>04.03.2021</c:v>
                </c:pt>
                <c:pt idx="235">
                  <c:v>08.03.2021</c:v>
                </c:pt>
                <c:pt idx="236">
                  <c:v>09.03.2021</c:v>
                </c:pt>
                <c:pt idx="237">
                  <c:v>10.03.2021</c:v>
                </c:pt>
                <c:pt idx="238">
                  <c:v>11.03.2021</c:v>
                </c:pt>
                <c:pt idx="239">
                  <c:v>15.03.2021</c:v>
                </c:pt>
                <c:pt idx="240">
                  <c:v>16.03.2021</c:v>
                </c:pt>
                <c:pt idx="241">
                  <c:v>17.03.2021</c:v>
                </c:pt>
                <c:pt idx="242">
                  <c:v>18.03.2021</c:v>
                </c:pt>
                <c:pt idx="243">
                  <c:v>22.03.2021</c:v>
                </c:pt>
                <c:pt idx="244">
                  <c:v>23.03.2021</c:v>
                </c:pt>
                <c:pt idx="245">
                  <c:v>24.03.2021</c:v>
                </c:pt>
                <c:pt idx="246">
                  <c:v>25.03.2021</c:v>
                </c:pt>
                <c:pt idx="247">
                  <c:v>29.03.2021</c:v>
                </c:pt>
                <c:pt idx="248">
                  <c:v>30.03.2021</c:v>
                </c:pt>
                <c:pt idx="249">
                  <c:v>31.03.2021</c:v>
                </c:pt>
                <c:pt idx="250">
                  <c:v>05.04.2021</c:v>
                </c:pt>
                <c:pt idx="251">
                  <c:v>06.04.2021</c:v>
                </c:pt>
                <c:pt idx="252">
                  <c:v>07.04.2021</c:v>
                </c:pt>
                <c:pt idx="253">
                  <c:v>08.04.2021</c:v>
                </c:pt>
                <c:pt idx="254">
                  <c:v>12.04.2021</c:v>
                </c:pt>
                <c:pt idx="255">
                  <c:v>13.04.2021</c:v>
                </c:pt>
                <c:pt idx="256">
                  <c:v>14.04.2021</c:v>
                </c:pt>
                <c:pt idx="257">
                  <c:v>15.04.2021</c:v>
                </c:pt>
                <c:pt idx="258">
                  <c:v>19.04.2021</c:v>
                </c:pt>
                <c:pt idx="259">
                  <c:v>20.04.2021</c:v>
                </c:pt>
                <c:pt idx="260">
                  <c:v>21.04.2021</c:v>
                </c:pt>
                <c:pt idx="261">
                  <c:v>22.04.2021</c:v>
                </c:pt>
                <c:pt idx="262">
                  <c:v>26.04.2021</c:v>
                </c:pt>
                <c:pt idx="263">
                  <c:v>27.04.2021</c:v>
                </c:pt>
                <c:pt idx="264">
                  <c:v>28.04.2021</c:v>
                </c:pt>
                <c:pt idx="265">
                  <c:v>29.04.2021</c:v>
                </c:pt>
                <c:pt idx="266">
                  <c:v>03.05.2021</c:v>
                </c:pt>
                <c:pt idx="267">
                  <c:v>04.05.2021</c:v>
                </c:pt>
                <c:pt idx="268">
                  <c:v>05.05.2021</c:v>
                </c:pt>
                <c:pt idx="269">
                  <c:v>06.05.2021</c:v>
                </c:pt>
                <c:pt idx="270">
                  <c:v>10.05.2021</c:v>
                </c:pt>
                <c:pt idx="271">
                  <c:v>11.05.2021</c:v>
                </c:pt>
                <c:pt idx="272">
                  <c:v>12.05.2021</c:v>
                </c:pt>
                <c:pt idx="273">
                  <c:v>13.05.2021</c:v>
                </c:pt>
                <c:pt idx="274">
                  <c:v>17.05.2021</c:v>
                </c:pt>
                <c:pt idx="275">
                  <c:v>18.05.2021</c:v>
                </c:pt>
                <c:pt idx="276">
                  <c:v>19.05.2021</c:v>
                </c:pt>
                <c:pt idx="277">
                  <c:v>20.05.2021</c:v>
                </c:pt>
                <c:pt idx="278">
                  <c:v>24.05.2021</c:v>
                </c:pt>
                <c:pt idx="279">
                  <c:v>25.05.2021</c:v>
                </c:pt>
                <c:pt idx="280">
                  <c:v>26.05.2021</c:v>
                </c:pt>
                <c:pt idx="281">
                  <c:v>27.05.2021</c:v>
                </c:pt>
                <c:pt idx="282">
                  <c:v>01.06.2021</c:v>
                </c:pt>
                <c:pt idx="283">
                  <c:v>02.06.2021</c:v>
                </c:pt>
                <c:pt idx="284">
                  <c:v>03.06.2021</c:v>
                </c:pt>
                <c:pt idx="285">
                  <c:v>07.06.2021</c:v>
                </c:pt>
                <c:pt idx="286">
                  <c:v>08.06.2021</c:v>
                </c:pt>
                <c:pt idx="287">
                  <c:v>09.06.2021</c:v>
                </c:pt>
                <c:pt idx="288">
                  <c:v>10.06.2021</c:v>
                </c:pt>
                <c:pt idx="289">
                  <c:v>14.06.2021</c:v>
                </c:pt>
                <c:pt idx="290">
                  <c:v>15.06.2021</c:v>
                </c:pt>
                <c:pt idx="291">
                  <c:v>16.06.2021</c:v>
                </c:pt>
                <c:pt idx="292">
                  <c:v>17.06.2021</c:v>
                </c:pt>
                <c:pt idx="293">
                  <c:v>21.06.2021</c:v>
                </c:pt>
                <c:pt idx="294">
                  <c:v>22.06.2021</c:v>
                </c:pt>
                <c:pt idx="295">
                  <c:v>23.06.2021</c:v>
                </c:pt>
                <c:pt idx="296">
                  <c:v>24.06.2021</c:v>
                </c:pt>
                <c:pt idx="297">
                  <c:v>28.06.2021</c:v>
                </c:pt>
                <c:pt idx="298">
                  <c:v>29.06.2021</c:v>
                </c:pt>
                <c:pt idx="299">
                  <c:v>30.06.2021</c:v>
                </c:pt>
                <c:pt idx="300">
                  <c:v>01.07.2021</c:v>
                </c:pt>
                <c:pt idx="301">
                  <c:v>06.07.2021</c:v>
                </c:pt>
                <c:pt idx="302">
                  <c:v>07.07.2021</c:v>
                </c:pt>
                <c:pt idx="303">
                  <c:v>08.07.2021</c:v>
                </c:pt>
                <c:pt idx="304">
                  <c:v>12.07.2021</c:v>
                </c:pt>
                <c:pt idx="305">
                  <c:v>13.07.2021</c:v>
                </c:pt>
                <c:pt idx="306">
                  <c:v>14.07.2021</c:v>
                </c:pt>
                <c:pt idx="307">
                  <c:v>15.07.2021</c:v>
                </c:pt>
                <c:pt idx="308">
                  <c:v>19.07.2021</c:v>
                </c:pt>
                <c:pt idx="309">
                  <c:v>20.07.2021</c:v>
                </c:pt>
                <c:pt idx="310">
                  <c:v>21.07.2021</c:v>
                </c:pt>
                <c:pt idx="311">
                  <c:v>22.07.2021</c:v>
                </c:pt>
                <c:pt idx="312">
                  <c:v>26.07.2021</c:v>
                </c:pt>
                <c:pt idx="313">
                  <c:v>27.07.2021</c:v>
                </c:pt>
                <c:pt idx="314">
                  <c:v>28.07.2021</c:v>
                </c:pt>
                <c:pt idx="315">
                  <c:v>29.07.2021</c:v>
                </c:pt>
                <c:pt idx="316">
                  <c:v>02.08.2021</c:v>
                </c:pt>
                <c:pt idx="317">
                  <c:v>03.08.2021</c:v>
                </c:pt>
                <c:pt idx="318">
                  <c:v>04.08.2021</c:v>
                </c:pt>
                <c:pt idx="319">
                  <c:v>05.08.2021</c:v>
                </c:pt>
                <c:pt idx="320">
                  <c:v>09.08.2021</c:v>
                </c:pt>
                <c:pt idx="321">
                  <c:v>10.08.2021</c:v>
                </c:pt>
                <c:pt idx="322">
                  <c:v>11.08.2021</c:v>
                </c:pt>
                <c:pt idx="323">
                  <c:v>12.08.2021</c:v>
                </c:pt>
                <c:pt idx="324">
                  <c:v>16.08.2021</c:v>
                </c:pt>
                <c:pt idx="325">
                  <c:v>17.08.2021</c:v>
                </c:pt>
                <c:pt idx="326">
                  <c:v>18.08.2021</c:v>
                </c:pt>
                <c:pt idx="327">
                  <c:v>19.08.2021</c:v>
                </c:pt>
                <c:pt idx="328">
                  <c:v>23.08.2021</c:v>
                </c:pt>
                <c:pt idx="329">
                  <c:v>24.08.2021</c:v>
                </c:pt>
                <c:pt idx="330">
                  <c:v>25.08.2021</c:v>
                </c:pt>
                <c:pt idx="331">
                  <c:v>26.08.2021</c:v>
                </c:pt>
                <c:pt idx="332">
                  <c:v>30.08.2021</c:v>
                </c:pt>
                <c:pt idx="333">
                  <c:v>31.08.2021</c:v>
                </c:pt>
                <c:pt idx="334">
                  <c:v>01.09.2021</c:v>
                </c:pt>
                <c:pt idx="335">
                  <c:v>02.09.2021</c:v>
                </c:pt>
                <c:pt idx="336">
                  <c:v>07.09.2021</c:v>
                </c:pt>
                <c:pt idx="337">
                  <c:v>08.09.2021</c:v>
                </c:pt>
                <c:pt idx="338">
                  <c:v>09.09.2021</c:v>
                </c:pt>
                <c:pt idx="339">
                  <c:v>13.09.2021</c:v>
                </c:pt>
                <c:pt idx="340">
                  <c:v>14.09.2021</c:v>
                </c:pt>
                <c:pt idx="341">
                  <c:v>15.09.2021</c:v>
                </c:pt>
                <c:pt idx="342">
                  <c:v>16.09.2021</c:v>
                </c:pt>
                <c:pt idx="343">
                  <c:v>20.09.2021</c:v>
                </c:pt>
                <c:pt idx="344">
                  <c:v>21.09.2021</c:v>
                </c:pt>
                <c:pt idx="345">
                  <c:v>22.09.2021</c:v>
                </c:pt>
                <c:pt idx="346">
                  <c:v>23.09.2021</c:v>
                </c:pt>
                <c:pt idx="347">
                  <c:v>27.09.2021</c:v>
                </c:pt>
                <c:pt idx="348">
                  <c:v>28.09.2021</c:v>
                </c:pt>
                <c:pt idx="349">
                  <c:v>29.09.2021</c:v>
                </c:pt>
                <c:pt idx="350">
                  <c:v>30.09.2021</c:v>
                </c:pt>
                <c:pt idx="351">
                  <c:v>04.10.2021</c:v>
                </c:pt>
                <c:pt idx="352">
                  <c:v>05.10.2021</c:v>
                </c:pt>
                <c:pt idx="353">
                  <c:v>06.10.2021</c:v>
                </c:pt>
                <c:pt idx="354">
                  <c:v>07.10.2021</c:v>
                </c:pt>
                <c:pt idx="355">
                  <c:v>11.10.2021</c:v>
                </c:pt>
                <c:pt idx="356">
                  <c:v>12.10.2021</c:v>
                </c:pt>
                <c:pt idx="357">
                  <c:v>13.10.2021</c:v>
                </c:pt>
                <c:pt idx="358">
                  <c:v>14.10.2021</c:v>
                </c:pt>
                <c:pt idx="359">
                  <c:v>18.10.2021</c:v>
                </c:pt>
                <c:pt idx="360">
                  <c:v>19.10.2021</c:v>
                </c:pt>
                <c:pt idx="361">
                  <c:v>20.10.2021</c:v>
                </c:pt>
                <c:pt idx="362">
                  <c:v>21.10.2021</c:v>
                </c:pt>
                <c:pt idx="363">
                  <c:v>25.10.2021</c:v>
                </c:pt>
                <c:pt idx="364">
                  <c:v>26.10.2021</c:v>
                </c:pt>
                <c:pt idx="365">
                  <c:v>27.10.2021</c:v>
                </c:pt>
                <c:pt idx="366">
                  <c:v>28.10.2021</c:v>
                </c:pt>
                <c:pt idx="367">
                  <c:v>01.11.2021</c:v>
                </c:pt>
                <c:pt idx="368">
                  <c:v>02.11.2021</c:v>
                </c:pt>
                <c:pt idx="369">
                  <c:v>03.11.2021</c:v>
                </c:pt>
                <c:pt idx="370">
                  <c:v>04.11.2021</c:v>
                </c:pt>
                <c:pt idx="371">
                  <c:v>08.11.2021</c:v>
                </c:pt>
                <c:pt idx="372">
                  <c:v>09.11.2021</c:v>
                </c:pt>
                <c:pt idx="373">
                  <c:v>10.11.2021</c:v>
                </c:pt>
                <c:pt idx="374">
                  <c:v>11.11.2021</c:v>
                </c:pt>
                <c:pt idx="375">
                  <c:v>15.11.2021</c:v>
                </c:pt>
                <c:pt idx="376">
                  <c:v>16.11.2021</c:v>
                </c:pt>
                <c:pt idx="377">
                  <c:v>17.11.2021</c:v>
                </c:pt>
                <c:pt idx="378">
                  <c:v>18.11.2021</c:v>
                </c:pt>
                <c:pt idx="379">
                  <c:v>22.11.2021</c:v>
                </c:pt>
                <c:pt idx="380">
                  <c:v>23.11.2021</c:v>
                </c:pt>
                <c:pt idx="381">
                  <c:v>24.11.2021</c:v>
                </c:pt>
                <c:pt idx="382">
                  <c:v>29.11.2021</c:v>
                </c:pt>
                <c:pt idx="383">
                  <c:v>30.11.2021</c:v>
                </c:pt>
                <c:pt idx="384">
                  <c:v>01.12.2021</c:v>
                </c:pt>
                <c:pt idx="385">
                  <c:v>02.12.2021</c:v>
                </c:pt>
                <c:pt idx="386">
                  <c:v>06.12.2021</c:v>
                </c:pt>
                <c:pt idx="387">
                  <c:v>07.12.2021</c:v>
                </c:pt>
                <c:pt idx="388">
                  <c:v>08.12.2021</c:v>
                </c:pt>
                <c:pt idx="389">
                  <c:v>09.12.2021</c:v>
                </c:pt>
                <c:pt idx="390">
                  <c:v>13.12.2021</c:v>
                </c:pt>
                <c:pt idx="391">
                  <c:v>14.12.2021</c:v>
                </c:pt>
                <c:pt idx="392">
                  <c:v>15.12.2021</c:v>
                </c:pt>
                <c:pt idx="393">
                  <c:v>16.12.2021</c:v>
                </c:pt>
                <c:pt idx="394">
                  <c:v>20.12.2021</c:v>
                </c:pt>
                <c:pt idx="395">
                  <c:v>21.12.2021</c:v>
                </c:pt>
                <c:pt idx="396">
                  <c:v>22.12.2021</c:v>
                </c:pt>
                <c:pt idx="397">
                  <c:v>27.12.2021</c:v>
                </c:pt>
                <c:pt idx="398">
                  <c:v>28.12.2021</c:v>
                </c:pt>
                <c:pt idx="399">
                  <c:v>29.12.2021</c:v>
                </c:pt>
                <c:pt idx="400">
                  <c:v>30.12.2021</c:v>
                </c:pt>
                <c:pt idx="401">
                  <c:v>03.01.2022</c:v>
                </c:pt>
                <c:pt idx="402">
                  <c:v>04.01.2022</c:v>
                </c:pt>
                <c:pt idx="403">
                  <c:v>05.01.2022</c:v>
                </c:pt>
                <c:pt idx="404">
                  <c:v>06.01.2022</c:v>
                </c:pt>
                <c:pt idx="405">
                  <c:v>10.01.2022</c:v>
                </c:pt>
                <c:pt idx="406">
                  <c:v>11.01.2022</c:v>
                </c:pt>
                <c:pt idx="407">
                  <c:v>12.01.2022</c:v>
                </c:pt>
                <c:pt idx="408">
                  <c:v>13.01.2022</c:v>
                </c:pt>
                <c:pt idx="409">
                  <c:v>18.01.2022</c:v>
                </c:pt>
                <c:pt idx="410">
                  <c:v>19.01.2022</c:v>
                </c:pt>
                <c:pt idx="411">
                  <c:v>20.01.2022</c:v>
                </c:pt>
                <c:pt idx="412">
                  <c:v>24.01.2022</c:v>
                </c:pt>
                <c:pt idx="413">
                  <c:v>25.01.2022</c:v>
                </c:pt>
                <c:pt idx="414">
                  <c:v>26.01.2022</c:v>
                </c:pt>
                <c:pt idx="415">
                  <c:v>27.01.2022</c:v>
                </c:pt>
                <c:pt idx="416">
                  <c:v>31.01.2022</c:v>
                </c:pt>
                <c:pt idx="417">
                  <c:v>01.02.2022</c:v>
                </c:pt>
                <c:pt idx="418">
                  <c:v>02.02.2022</c:v>
                </c:pt>
                <c:pt idx="419">
                  <c:v>03.02.2022</c:v>
                </c:pt>
                <c:pt idx="420">
                  <c:v>07.02.2022</c:v>
                </c:pt>
                <c:pt idx="421">
                  <c:v>08.02.2022</c:v>
                </c:pt>
                <c:pt idx="422">
                  <c:v>09.02.2022</c:v>
                </c:pt>
                <c:pt idx="423">
                  <c:v>10.02.2022</c:v>
                </c:pt>
                <c:pt idx="424">
                  <c:v>14.02.2022</c:v>
                </c:pt>
                <c:pt idx="425">
                  <c:v>15.02.2022</c:v>
                </c:pt>
                <c:pt idx="426">
                  <c:v>16.02.2022</c:v>
                </c:pt>
                <c:pt idx="427">
                  <c:v>17.02.2022</c:v>
                </c:pt>
                <c:pt idx="428">
                  <c:v>22.02.2022</c:v>
                </c:pt>
                <c:pt idx="429">
                  <c:v>23.02.2022</c:v>
                </c:pt>
                <c:pt idx="430">
                  <c:v>24.02.2022</c:v>
                </c:pt>
                <c:pt idx="431">
                  <c:v>28.02.2022</c:v>
                </c:pt>
                <c:pt idx="432">
                  <c:v>01.03.2022</c:v>
                </c:pt>
                <c:pt idx="433">
                  <c:v>02.03.2022</c:v>
                </c:pt>
                <c:pt idx="434">
                  <c:v>03.03.2022</c:v>
                </c:pt>
                <c:pt idx="435">
                  <c:v>07.03.2022</c:v>
                </c:pt>
                <c:pt idx="436">
                  <c:v>08.03.2022</c:v>
                </c:pt>
                <c:pt idx="437">
                  <c:v>09.03.2022</c:v>
                </c:pt>
                <c:pt idx="438">
                  <c:v>10.03.2022</c:v>
                </c:pt>
                <c:pt idx="439">
                  <c:v>14.03.2022</c:v>
                </c:pt>
                <c:pt idx="440">
                  <c:v>15.03.2022</c:v>
                </c:pt>
                <c:pt idx="441">
                  <c:v>16.03.2022</c:v>
                </c:pt>
                <c:pt idx="442">
                  <c:v>17.03.2022</c:v>
                </c:pt>
                <c:pt idx="443">
                  <c:v>21.03.2022</c:v>
                </c:pt>
                <c:pt idx="444">
                  <c:v>22.03.2022</c:v>
                </c:pt>
                <c:pt idx="445">
                  <c:v>23.03.2022</c:v>
                </c:pt>
                <c:pt idx="446">
                  <c:v>24.03.2022</c:v>
                </c:pt>
                <c:pt idx="447">
                  <c:v>28.03.2022</c:v>
                </c:pt>
                <c:pt idx="448">
                  <c:v>29.03.2022</c:v>
                </c:pt>
                <c:pt idx="449">
                  <c:v>30.03.2022</c:v>
                </c:pt>
                <c:pt idx="450">
                  <c:v>31.03.2022</c:v>
                </c:pt>
                <c:pt idx="451">
                  <c:v>04.04.2022</c:v>
                </c:pt>
                <c:pt idx="452">
                  <c:v>05.04.2022</c:v>
                </c:pt>
                <c:pt idx="453">
                  <c:v>06.04.2022</c:v>
                </c:pt>
                <c:pt idx="454">
                  <c:v>07.04.2022</c:v>
                </c:pt>
                <c:pt idx="455">
                  <c:v>11.04.2022</c:v>
                </c:pt>
                <c:pt idx="456">
                  <c:v>12.04.2022</c:v>
                </c:pt>
                <c:pt idx="457">
                  <c:v>13.04.2022</c:v>
                </c:pt>
                <c:pt idx="458">
                  <c:v>18.04.2022</c:v>
                </c:pt>
                <c:pt idx="459">
                  <c:v>19.04.2022</c:v>
                </c:pt>
                <c:pt idx="460">
                  <c:v>20.04.2022</c:v>
                </c:pt>
                <c:pt idx="461">
                  <c:v>21.04.2022</c:v>
                </c:pt>
                <c:pt idx="462">
                  <c:v>25.04.2022</c:v>
                </c:pt>
                <c:pt idx="463">
                  <c:v>26.04.2022</c:v>
                </c:pt>
                <c:pt idx="464">
                  <c:v>27.04.2022</c:v>
                </c:pt>
                <c:pt idx="465">
                  <c:v>28.04.2022</c:v>
                </c:pt>
                <c:pt idx="466">
                  <c:v>02.05.2022</c:v>
                </c:pt>
                <c:pt idx="467">
                  <c:v>03.05.2022</c:v>
                </c:pt>
                <c:pt idx="468">
                  <c:v>04.05.2022</c:v>
                </c:pt>
                <c:pt idx="469">
                  <c:v>05.05.2022</c:v>
                </c:pt>
                <c:pt idx="470">
                  <c:v>09.05.2022</c:v>
                </c:pt>
                <c:pt idx="471">
                  <c:v>10.05.2022</c:v>
                </c:pt>
                <c:pt idx="472">
                  <c:v>11.05.2022</c:v>
                </c:pt>
                <c:pt idx="473">
                  <c:v>12.05.2022</c:v>
                </c:pt>
                <c:pt idx="474">
                  <c:v>16.05.2022</c:v>
                </c:pt>
                <c:pt idx="475">
                  <c:v>17.05.2022</c:v>
                </c:pt>
                <c:pt idx="476">
                  <c:v>18.05.2022</c:v>
                </c:pt>
                <c:pt idx="477">
                  <c:v>19.05.2022</c:v>
                </c:pt>
                <c:pt idx="478">
                  <c:v>23.05.2022</c:v>
                </c:pt>
                <c:pt idx="479">
                  <c:v>24.05.2022</c:v>
                </c:pt>
                <c:pt idx="480">
                  <c:v>25.05.2022</c:v>
                </c:pt>
                <c:pt idx="481">
                  <c:v>26.05.2022</c:v>
                </c:pt>
                <c:pt idx="482">
                  <c:v>31.05.2022</c:v>
                </c:pt>
                <c:pt idx="483">
                  <c:v>01.06.2022</c:v>
                </c:pt>
                <c:pt idx="484">
                  <c:v>02.06.2022</c:v>
                </c:pt>
                <c:pt idx="485">
                  <c:v>06.06.2022</c:v>
                </c:pt>
                <c:pt idx="486">
                  <c:v>07.06.2022</c:v>
                </c:pt>
                <c:pt idx="487">
                  <c:v>08.06.2022</c:v>
                </c:pt>
                <c:pt idx="488">
                  <c:v>09.06.2022</c:v>
                </c:pt>
                <c:pt idx="489">
                  <c:v>13.06.2022</c:v>
                </c:pt>
                <c:pt idx="490">
                  <c:v>14.06.2022</c:v>
                </c:pt>
                <c:pt idx="491">
                  <c:v>15.06.2022</c:v>
                </c:pt>
                <c:pt idx="492">
                  <c:v>16.06.2022</c:v>
                </c:pt>
                <c:pt idx="493">
                  <c:v>21.06.2022</c:v>
                </c:pt>
                <c:pt idx="494">
                  <c:v>22.06.2022</c:v>
                </c:pt>
                <c:pt idx="495">
                  <c:v>23.06.2022</c:v>
                </c:pt>
                <c:pt idx="496">
                  <c:v>27.06.2022</c:v>
                </c:pt>
                <c:pt idx="497">
                  <c:v>28.06.2022</c:v>
                </c:pt>
                <c:pt idx="498">
                  <c:v>29.06.2022</c:v>
                </c:pt>
                <c:pt idx="499">
                  <c:v>30.06.2022</c:v>
                </c:pt>
                <c:pt idx="500">
                  <c:v>05.07.2022</c:v>
                </c:pt>
                <c:pt idx="501">
                  <c:v>06.07.2022</c:v>
                </c:pt>
                <c:pt idx="502">
                  <c:v>07.07.2022</c:v>
                </c:pt>
                <c:pt idx="503">
                  <c:v>11.07.2022</c:v>
                </c:pt>
                <c:pt idx="504">
                  <c:v>12.07.2022</c:v>
                </c:pt>
                <c:pt idx="505">
                  <c:v>13.07.2022</c:v>
                </c:pt>
                <c:pt idx="506">
                  <c:v>14.07.2022</c:v>
                </c:pt>
                <c:pt idx="507">
                  <c:v>18.07.2022</c:v>
                </c:pt>
                <c:pt idx="508">
                  <c:v>19.07.2022</c:v>
                </c:pt>
                <c:pt idx="509">
                  <c:v>20.07.2022</c:v>
                </c:pt>
                <c:pt idx="510">
                  <c:v>21.07.2022</c:v>
                </c:pt>
                <c:pt idx="511">
                  <c:v>25.07.2022</c:v>
                </c:pt>
                <c:pt idx="512">
                  <c:v>26.07.2022</c:v>
                </c:pt>
                <c:pt idx="513">
                  <c:v>27.07.2022</c:v>
                </c:pt>
                <c:pt idx="514">
                  <c:v>28.07.2022</c:v>
                </c:pt>
                <c:pt idx="515">
                  <c:v>01.08.2022</c:v>
                </c:pt>
                <c:pt idx="516">
                  <c:v>02.08.2022</c:v>
                </c:pt>
                <c:pt idx="517">
                  <c:v>03.08.2022</c:v>
                </c:pt>
                <c:pt idx="518">
                  <c:v>04.08.2022</c:v>
                </c:pt>
                <c:pt idx="519">
                  <c:v>08.08.2022</c:v>
                </c:pt>
                <c:pt idx="520">
                  <c:v>09.08.2022</c:v>
                </c:pt>
                <c:pt idx="521">
                  <c:v>10.08.2022</c:v>
                </c:pt>
                <c:pt idx="522">
                  <c:v>11.08.2022</c:v>
                </c:pt>
                <c:pt idx="523">
                  <c:v>15.08.2022</c:v>
                </c:pt>
                <c:pt idx="524">
                  <c:v>16.08.2022</c:v>
                </c:pt>
                <c:pt idx="525">
                  <c:v>17.08.2022</c:v>
                </c:pt>
                <c:pt idx="526">
                  <c:v>18.08.2022</c:v>
                </c:pt>
                <c:pt idx="527">
                  <c:v>22.08.2022</c:v>
                </c:pt>
                <c:pt idx="528">
                  <c:v>23.08.2022</c:v>
                </c:pt>
                <c:pt idx="529">
                  <c:v>24.08.2022</c:v>
                </c:pt>
                <c:pt idx="530">
                  <c:v>25.08.2022</c:v>
                </c:pt>
                <c:pt idx="531">
                  <c:v>29.08.2022</c:v>
                </c:pt>
                <c:pt idx="532">
                  <c:v>30.08.2022</c:v>
                </c:pt>
                <c:pt idx="533">
                  <c:v>31.08.2022</c:v>
                </c:pt>
                <c:pt idx="534">
                  <c:v>01.09.2022</c:v>
                </c:pt>
                <c:pt idx="535">
                  <c:v>06.09.2022</c:v>
                </c:pt>
                <c:pt idx="536">
                  <c:v>07.09.2022</c:v>
                </c:pt>
                <c:pt idx="537">
                  <c:v>08.09.2022</c:v>
                </c:pt>
                <c:pt idx="538">
                  <c:v>12.09.2022</c:v>
                </c:pt>
                <c:pt idx="539">
                  <c:v>13.09.2022</c:v>
                </c:pt>
                <c:pt idx="540">
                  <c:v>14.09.2022</c:v>
                </c:pt>
                <c:pt idx="541">
                  <c:v>15.09.2022</c:v>
                </c:pt>
                <c:pt idx="542">
                  <c:v>19.09.2022</c:v>
                </c:pt>
                <c:pt idx="543">
                  <c:v>20.09.2022</c:v>
                </c:pt>
                <c:pt idx="544">
                  <c:v>21.09.2022</c:v>
                </c:pt>
                <c:pt idx="545">
                  <c:v>22.09.2022</c:v>
                </c:pt>
                <c:pt idx="546">
                  <c:v>26.09.2022</c:v>
                </c:pt>
                <c:pt idx="547">
                  <c:v>27.09.2022</c:v>
                </c:pt>
                <c:pt idx="548">
                  <c:v>28.09.2022</c:v>
                </c:pt>
                <c:pt idx="549">
                  <c:v>29.09.2022</c:v>
                </c:pt>
                <c:pt idx="550">
                  <c:v>03.10.2022</c:v>
                </c:pt>
                <c:pt idx="551">
                  <c:v>04.10.2022</c:v>
                </c:pt>
                <c:pt idx="552">
                  <c:v>05.10.2022</c:v>
                </c:pt>
                <c:pt idx="553">
                  <c:v>06.10.2022</c:v>
                </c:pt>
                <c:pt idx="554">
                  <c:v>10.10.2022</c:v>
                </c:pt>
                <c:pt idx="555">
                  <c:v>11.10.2022</c:v>
                </c:pt>
                <c:pt idx="556">
                  <c:v>12.10.2022</c:v>
                </c:pt>
                <c:pt idx="557">
                  <c:v>13.10.2022</c:v>
                </c:pt>
                <c:pt idx="558">
                  <c:v>17.10.2022</c:v>
                </c:pt>
                <c:pt idx="559">
                  <c:v>18.10.2022</c:v>
                </c:pt>
                <c:pt idx="560">
                  <c:v>19.10.2022</c:v>
                </c:pt>
                <c:pt idx="561">
                  <c:v>20.10.2022</c:v>
                </c:pt>
                <c:pt idx="562">
                  <c:v>24.10.2022</c:v>
                </c:pt>
                <c:pt idx="563">
                  <c:v>25.10.2022</c:v>
                </c:pt>
                <c:pt idx="564">
                  <c:v>26.10.2022</c:v>
                </c:pt>
                <c:pt idx="565">
                  <c:v>27.10.2022</c:v>
                </c:pt>
                <c:pt idx="566">
                  <c:v>31.10.2022</c:v>
                </c:pt>
                <c:pt idx="567">
                  <c:v>01.11.2022</c:v>
                </c:pt>
                <c:pt idx="568">
                  <c:v>02.11.2022</c:v>
                </c:pt>
                <c:pt idx="569">
                  <c:v>03.11.2022</c:v>
                </c:pt>
                <c:pt idx="570">
                  <c:v>07.11.2022</c:v>
                </c:pt>
                <c:pt idx="571">
                  <c:v>08.11.2022</c:v>
                </c:pt>
                <c:pt idx="572">
                  <c:v>09.11.2022</c:v>
                </c:pt>
                <c:pt idx="573">
                  <c:v>10.11.2022</c:v>
                </c:pt>
                <c:pt idx="574">
                  <c:v>14.11.2022</c:v>
                </c:pt>
                <c:pt idx="575">
                  <c:v>15.11.2022</c:v>
                </c:pt>
                <c:pt idx="576">
                  <c:v>16.11.2022</c:v>
                </c:pt>
                <c:pt idx="577">
                  <c:v>17.11.2022</c:v>
                </c:pt>
                <c:pt idx="578">
                  <c:v>21.11.2022</c:v>
                </c:pt>
                <c:pt idx="579">
                  <c:v>22.11.2022</c:v>
                </c:pt>
                <c:pt idx="580">
                  <c:v>23.11.2022</c:v>
                </c:pt>
                <c:pt idx="581">
                  <c:v>28.11.2022</c:v>
                </c:pt>
                <c:pt idx="582">
                  <c:v>29.11.2022</c:v>
                </c:pt>
                <c:pt idx="583">
                  <c:v>30.11.2022</c:v>
                </c:pt>
                <c:pt idx="584">
                  <c:v>01.12.2022</c:v>
                </c:pt>
                <c:pt idx="585">
                  <c:v>05.12.2022</c:v>
                </c:pt>
                <c:pt idx="586">
                  <c:v>06.12.2022</c:v>
                </c:pt>
                <c:pt idx="587">
                  <c:v>07.12.2022</c:v>
                </c:pt>
                <c:pt idx="588">
                  <c:v>08.12.2022</c:v>
                </c:pt>
                <c:pt idx="589">
                  <c:v>12.12.2022</c:v>
                </c:pt>
                <c:pt idx="590">
                  <c:v>13.12.2022</c:v>
                </c:pt>
                <c:pt idx="591">
                  <c:v>14.12.2022</c:v>
                </c:pt>
                <c:pt idx="592">
                  <c:v>15.12.2022</c:v>
                </c:pt>
                <c:pt idx="593">
                  <c:v>19.12.2022</c:v>
                </c:pt>
                <c:pt idx="594">
                  <c:v>20.12.2022</c:v>
                </c:pt>
                <c:pt idx="595">
                  <c:v>21.12.2022</c:v>
                </c:pt>
                <c:pt idx="596">
                  <c:v>22.12.2022</c:v>
                </c:pt>
                <c:pt idx="597">
                  <c:v>27.12.2022</c:v>
                </c:pt>
                <c:pt idx="598">
                  <c:v>28.12.2022</c:v>
                </c:pt>
                <c:pt idx="599">
                  <c:v>29.12.2022</c:v>
                </c:pt>
                <c:pt idx="600">
                  <c:v>03.01.2023</c:v>
                </c:pt>
                <c:pt idx="601">
                  <c:v>04.01.2023</c:v>
                </c:pt>
                <c:pt idx="602">
                  <c:v>05.01.2023</c:v>
                </c:pt>
                <c:pt idx="603">
                  <c:v>09.01.2023</c:v>
                </c:pt>
                <c:pt idx="604">
                  <c:v>10.01.2023</c:v>
                </c:pt>
                <c:pt idx="605">
                  <c:v>11.01.2023</c:v>
                </c:pt>
                <c:pt idx="606">
                  <c:v>12.01.2023</c:v>
                </c:pt>
                <c:pt idx="607">
                  <c:v>17.01.2023</c:v>
                </c:pt>
                <c:pt idx="608">
                  <c:v>18.01.2023</c:v>
                </c:pt>
                <c:pt idx="609">
                  <c:v>19.01.2023</c:v>
                </c:pt>
                <c:pt idx="610">
                  <c:v>23.01.2023</c:v>
                </c:pt>
                <c:pt idx="611">
                  <c:v>24.01.2023</c:v>
                </c:pt>
                <c:pt idx="612">
                  <c:v>25.01.2023</c:v>
                </c:pt>
                <c:pt idx="613">
                  <c:v>26.01.2023</c:v>
                </c:pt>
                <c:pt idx="614">
                  <c:v>30.01.2023</c:v>
                </c:pt>
                <c:pt idx="615">
                  <c:v>31.01.2023</c:v>
                </c:pt>
                <c:pt idx="616">
                  <c:v>01.02.2023</c:v>
                </c:pt>
                <c:pt idx="617">
                  <c:v>02.02.2023</c:v>
                </c:pt>
                <c:pt idx="618">
                  <c:v>06.02.2023</c:v>
                </c:pt>
                <c:pt idx="619">
                  <c:v>07.02.2023</c:v>
                </c:pt>
                <c:pt idx="620">
                  <c:v>08.02.2023</c:v>
                </c:pt>
                <c:pt idx="621">
                  <c:v>09.02.2023</c:v>
                </c:pt>
                <c:pt idx="622">
                  <c:v>13.02.2023</c:v>
                </c:pt>
                <c:pt idx="623">
                  <c:v>14.02.2023</c:v>
                </c:pt>
                <c:pt idx="624">
                  <c:v>15.02.2023</c:v>
                </c:pt>
                <c:pt idx="625">
                  <c:v>16.02.2023</c:v>
                </c:pt>
                <c:pt idx="626">
                  <c:v>21.02.2023</c:v>
                </c:pt>
                <c:pt idx="627">
                  <c:v>22.02.2023</c:v>
                </c:pt>
                <c:pt idx="628">
                  <c:v>23.02.2023</c:v>
                </c:pt>
                <c:pt idx="629">
                  <c:v>27.02.2023</c:v>
                </c:pt>
                <c:pt idx="630">
                  <c:v>28.02.2023</c:v>
                </c:pt>
                <c:pt idx="631">
                  <c:v>01.03.2023</c:v>
                </c:pt>
                <c:pt idx="632">
                  <c:v>02.03.2023</c:v>
                </c:pt>
                <c:pt idx="633">
                  <c:v>06.03.2023</c:v>
                </c:pt>
                <c:pt idx="634">
                  <c:v>07.03.2023</c:v>
                </c:pt>
                <c:pt idx="635">
                  <c:v>08.03.2023</c:v>
                </c:pt>
                <c:pt idx="636">
                  <c:v>09.03.2023</c:v>
                </c:pt>
                <c:pt idx="637">
                  <c:v>13.03.2023</c:v>
                </c:pt>
                <c:pt idx="638">
                  <c:v>14.03.2023</c:v>
                </c:pt>
                <c:pt idx="639">
                  <c:v>15.03.2023</c:v>
                </c:pt>
                <c:pt idx="640">
                  <c:v>16.03.2023</c:v>
                </c:pt>
                <c:pt idx="641">
                  <c:v>20.03.2023</c:v>
                </c:pt>
                <c:pt idx="642">
                  <c:v>21.03.2023</c:v>
                </c:pt>
                <c:pt idx="643">
                  <c:v>22.03.2023</c:v>
                </c:pt>
                <c:pt idx="644">
                  <c:v>23.03.2023</c:v>
                </c:pt>
                <c:pt idx="645">
                  <c:v>27.03.2023</c:v>
                </c:pt>
                <c:pt idx="646">
                  <c:v>28.03.2023</c:v>
                </c:pt>
                <c:pt idx="647">
                  <c:v>29.03.2023</c:v>
                </c:pt>
                <c:pt idx="648">
                  <c:v>30.03.2023</c:v>
                </c:pt>
                <c:pt idx="649">
                  <c:v>03.04.2023</c:v>
                </c:pt>
                <c:pt idx="650">
                  <c:v>04.04.2023</c:v>
                </c:pt>
                <c:pt idx="651">
                  <c:v>05.04.2023</c:v>
                </c:pt>
                <c:pt idx="652">
                  <c:v>10.04.2023</c:v>
                </c:pt>
                <c:pt idx="653">
                  <c:v>11.04.2023</c:v>
                </c:pt>
                <c:pt idx="654">
                  <c:v>12.04.2023</c:v>
                </c:pt>
                <c:pt idx="655">
                  <c:v>13.04.2023</c:v>
                </c:pt>
                <c:pt idx="656">
                  <c:v>17.04.2023</c:v>
                </c:pt>
                <c:pt idx="657">
                  <c:v>18.04.2023</c:v>
                </c:pt>
                <c:pt idx="658">
                  <c:v>19.04.2023</c:v>
                </c:pt>
                <c:pt idx="659">
                  <c:v>20.04.2023</c:v>
                </c:pt>
                <c:pt idx="660">
                  <c:v>24.04.2023</c:v>
                </c:pt>
                <c:pt idx="661">
                  <c:v>25.04.2023</c:v>
                </c:pt>
                <c:pt idx="662">
                  <c:v>26.04.2023</c:v>
                </c:pt>
                <c:pt idx="663">
                  <c:v>27.04.2023</c:v>
                </c:pt>
                <c:pt idx="664">
                  <c:v>01.05.2023</c:v>
                </c:pt>
                <c:pt idx="665">
                  <c:v>02.05.2023</c:v>
                </c:pt>
                <c:pt idx="666">
                  <c:v>03.05.2023</c:v>
                </c:pt>
                <c:pt idx="667">
                  <c:v>04.05.2023</c:v>
                </c:pt>
                <c:pt idx="668">
                  <c:v>08.05.2023</c:v>
                </c:pt>
                <c:pt idx="669">
                  <c:v>09.05.2023</c:v>
                </c:pt>
                <c:pt idx="670">
                  <c:v>10.05.2023</c:v>
                </c:pt>
                <c:pt idx="671">
                  <c:v>11.05.2023</c:v>
                </c:pt>
                <c:pt idx="672">
                  <c:v>15.05.2023</c:v>
                </c:pt>
                <c:pt idx="673">
                  <c:v>16.05.2023</c:v>
                </c:pt>
                <c:pt idx="674">
                  <c:v>17.05.2023</c:v>
                </c:pt>
                <c:pt idx="675">
                  <c:v>18.05.2023</c:v>
                </c:pt>
                <c:pt idx="676">
                  <c:v>22.05.2023</c:v>
                </c:pt>
                <c:pt idx="677">
                  <c:v>23.05.2023</c:v>
                </c:pt>
                <c:pt idx="678">
                  <c:v>24.05.2023</c:v>
                </c:pt>
                <c:pt idx="679">
                  <c:v>25.05.2023</c:v>
                </c:pt>
                <c:pt idx="680">
                  <c:v>30.05.2023</c:v>
                </c:pt>
                <c:pt idx="681">
                  <c:v>31.05.2023</c:v>
                </c:pt>
                <c:pt idx="682">
                  <c:v>01.06.2023</c:v>
                </c:pt>
                <c:pt idx="683">
                  <c:v>05.06.2023</c:v>
                </c:pt>
                <c:pt idx="684">
                  <c:v>06.06.2023</c:v>
                </c:pt>
                <c:pt idx="685">
                  <c:v>07.06.2023</c:v>
                </c:pt>
                <c:pt idx="686">
                  <c:v>08.06.2023</c:v>
                </c:pt>
                <c:pt idx="687">
                  <c:v>12.06.2023</c:v>
                </c:pt>
                <c:pt idx="688">
                  <c:v>13.06.2023</c:v>
                </c:pt>
                <c:pt idx="689">
                  <c:v>14.06.2023</c:v>
                </c:pt>
                <c:pt idx="690">
                  <c:v>15.06.2023</c:v>
                </c:pt>
                <c:pt idx="691">
                  <c:v>20.06.2023</c:v>
                </c:pt>
                <c:pt idx="692">
                  <c:v>21.06.2023</c:v>
                </c:pt>
                <c:pt idx="693">
                  <c:v>22.06.2023</c:v>
                </c:pt>
                <c:pt idx="694">
                  <c:v>26.06.2023</c:v>
                </c:pt>
                <c:pt idx="695">
                  <c:v>27.06.2023</c:v>
                </c:pt>
                <c:pt idx="696">
                  <c:v>28.06.2023</c:v>
                </c:pt>
                <c:pt idx="697">
                  <c:v>29.06.2023</c:v>
                </c:pt>
                <c:pt idx="698">
                  <c:v>03.07.2023</c:v>
                </c:pt>
                <c:pt idx="699">
                  <c:v>05.07.2023</c:v>
                </c:pt>
                <c:pt idx="700">
                  <c:v>06.07.2023</c:v>
                </c:pt>
                <c:pt idx="701">
                  <c:v>10.07.2023</c:v>
                </c:pt>
                <c:pt idx="702">
                  <c:v>11.07.2023</c:v>
                </c:pt>
                <c:pt idx="703">
                  <c:v>12.07.2023</c:v>
                </c:pt>
                <c:pt idx="704">
                  <c:v>13.07.2023</c:v>
                </c:pt>
                <c:pt idx="705">
                  <c:v>17.07.2023</c:v>
                </c:pt>
                <c:pt idx="706">
                  <c:v>18.07.2023</c:v>
                </c:pt>
                <c:pt idx="707">
                  <c:v>19.07.2023</c:v>
                </c:pt>
                <c:pt idx="708">
                  <c:v>20.07.2023</c:v>
                </c:pt>
                <c:pt idx="709">
                  <c:v>24.07.2023</c:v>
                </c:pt>
                <c:pt idx="710">
                  <c:v>25.07.2023</c:v>
                </c:pt>
                <c:pt idx="711">
                  <c:v>26.07.2023</c:v>
                </c:pt>
                <c:pt idx="712">
                  <c:v>27.07.2023</c:v>
                </c:pt>
                <c:pt idx="713">
                  <c:v>31.07.2023</c:v>
                </c:pt>
                <c:pt idx="714">
                  <c:v>01.08.2023</c:v>
                </c:pt>
                <c:pt idx="715">
                  <c:v>02.08.2023</c:v>
                </c:pt>
                <c:pt idx="716">
                  <c:v>03.08.2023</c:v>
                </c:pt>
                <c:pt idx="717">
                  <c:v>07.08.2023</c:v>
                </c:pt>
                <c:pt idx="718">
                  <c:v>08.08.2023</c:v>
                </c:pt>
                <c:pt idx="719">
                  <c:v>09.08.2023</c:v>
                </c:pt>
                <c:pt idx="720">
                  <c:v>10.08.2023</c:v>
                </c:pt>
                <c:pt idx="721">
                  <c:v>14.08.2023</c:v>
                </c:pt>
                <c:pt idx="722">
                  <c:v>15.08.2023</c:v>
                </c:pt>
                <c:pt idx="723">
                  <c:v>16.08.2023</c:v>
                </c:pt>
                <c:pt idx="724">
                  <c:v>17.08.2023</c:v>
                </c:pt>
                <c:pt idx="725">
                  <c:v>21.08.2023</c:v>
                </c:pt>
                <c:pt idx="726">
                  <c:v>22.08.2023</c:v>
                </c:pt>
                <c:pt idx="727">
                  <c:v>23.08.2023</c:v>
                </c:pt>
                <c:pt idx="728">
                  <c:v>24.08.2023</c:v>
                </c:pt>
                <c:pt idx="729">
                  <c:v>28.08.2023</c:v>
                </c:pt>
                <c:pt idx="730">
                  <c:v>29.08.2023</c:v>
                </c:pt>
                <c:pt idx="731">
                  <c:v>30.08.2023</c:v>
                </c:pt>
                <c:pt idx="732">
                  <c:v>31.08.2023</c:v>
                </c:pt>
                <c:pt idx="733">
                  <c:v>05.09.2023</c:v>
                </c:pt>
                <c:pt idx="734">
                  <c:v>06.09.2023</c:v>
                </c:pt>
                <c:pt idx="735">
                  <c:v>07.09.2023</c:v>
                </c:pt>
                <c:pt idx="736">
                  <c:v>11.09.2023</c:v>
                </c:pt>
                <c:pt idx="737">
                  <c:v>12.09.2023</c:v>
                </c:pt>
                <c:pt idx="738">
                  <c:v>13.09.2023</c:v>
                </c:pt>
                <c:pt idx="739">
                  <c:v>14.09.2023</c:v>
                </c:pt>
                <c:pt idx="740">
                  <c:v>18.09.2023</c:v>
                </c:pt>
                <c:pt idx="741">
                  <c:v>19.09.2023</c:v>
                </c:pt>
                <c:pt idx="742">
                  <c:v>20.09.2023</c:v>
                </c:pt>
                <c:pt idx="743">
                  <c:v>21.09.2023</c:v>
                </c:pt>
                <c:pt idx="744">
                  <c:v>25.09.2023</c:v>
                </c:pt>
                <c:pt idx="745">
                  <c:v>26.09.2023</c:v>
                </c:pt>
                <c:pt idx="746">
                  <c:v>27.09.2023</c:v>
                </c:pt>
                <c:pt idx="747">
                  <c:v>28.09.2023</c:v>
                </c:pt>
                <c:pt idx="748">
                  <c:v>02.10.2023</c:v>
                </c:pt>
                <c:pt idx="749">
                  <c:v>03.10.2023</c:v>
                </c:pt>
                <c:pt idx="750">
                  <c:v>04.10.2023</c:v>
                </c:pt>
                <c:pt idx="751">
                  <c:v>05.10.2023</c:v>
                </c:pt>
                <c:pt idx="752">
                  <c:v>09.10.2023</c:v>
                </c:pt>
                <c:pt idx="753">
                  <c:v>10.10.2023</c:v>
                </c:pt>
                <c:pt idx="754">
                  <c:v>11.10.2023</c:v>
                </c:pt>
                <c:pt idx="755">
                  <c:v>12.10.2023</c:v>
                </c:pt>
                <c:pt idx="756">
                  <c:v>16.10.2023</c:v>
                </c:pt>
                <c:pt idx="757">
                  <c:v>17.10.2023</c:v>
                </c:pt>
                <c:pt idx="758">
                  <c:v>18.10.2023</c:v>
                </c:pt>
                <c:pt idx="759">
                  <c:v>19.10.2023</c:v>
                </c:pt>
                <c:pt idx="760">
                  <c:v>23.10.2023</c:v>
                </c:pt>
                <c:pt idx="761">
                  <c:v>24.10.2023</c:v>
                </c:pt>
                <c:pt idx="762">
                  <c:v>25.10.2023</c:v>
                </c:pt>
                <c:pt idx="763">
                  <c:v>26.10.2023</c:v>
                </c:pt>
                <c:pt idx="764">
                  <c:v>30.10.2023</c:v>
                </c:pt>
                <c:pt idx="765">
                  <c:v>31.10.2023</c:v>
                </c:pt>
                <c:pt idx="766">
                  <c:v>01.11.2023</c:v>
                </c:pt>
                <c:pt idx="767">
                  <c:v>02.11.2023</c:v>
                </c:pt>
                <c:pt idx="768">
                  <c:v>06.11.2023</c:v>
                </c:pt>
                <c:pt idx="769">
                  <c:v>07.11.2023</c:v>
                </c:pt>
                <c:pt idx="770">
                  <c:v>08.11.2023</c:v>
                </c:pt>
                <c:pt idx="771">
                  <c:v>09.11.2023</c:v>
                </c:pt>
                <c:pt idx="772">
                  <c:v>13.11.2023</c:v>
                </c:pt>
                <c:pt idx="773">
                  <c:v>14.11.2023</c:v>
                </c:pt>
                <c:pt idx="774">
                  <c:v>15.11.2023</c:v>
                </c:pt>
                <c:pt idx="775">
                  <c:v>16.11.2023</c:v>
                </c:pt>
                <c:pt idx="776">
                  <c:v>20.11.2023</c:v>
                </c:pt>
                <c:pt idx="777">
                  <c:v>21.11.2023</c:v>
                </c:pt>
                <c:pt idx="778">
                  <c:v>22.11.2023</c:v>
                </c:pt>
                <c:pt idx="779">
                  <c:v>27.11.2023</c:v>
                </c:pt>
                <c:pt idx="780">
                  <c:v>28.11.2023</c:v>
                </c:pt>
                <c:pt idx="781">
                  <c:v>29.11.2023</c:v>
                </c:pt>
                <c:pt idx="782">
                  <c:v>30.11.2023</c:v>
                </c:pt>
                <c:pt idx="783">
                  <c:v>04.12.2023</c:v>
                </c:pt>
                <c:pt idx="784">
                  <c:v>05.12.2023</c:v>
                </c:pt>
                <c:pt idx="785">
                  <c:v>06.12.2023</c:v>
                </c:pt>
                <c:pt idx="786">
                  <c:v>07.12.2023</c:v>
                </c:pt>
                <c:pt idx="787">
                  <c:v>11.12.2023</c:v>
                </c:pt>
                <c:pt idx="788">
                  <c:v>12.12.2023</c:v>
                </c:pt>
                <c:pt idx="789">
                  <c:v>13.12.2023</c:v>
                </c:pt>
                <c:pt idx="790">
                  <c:v>14.12.2023</c:v>
                </c:pt>
                <c:pt idx="791">
                  <c:v>18.12.2023</c:v>
                </c:pt>
                <c:pt idx="792">
                  <c:v>19.12.2023</c:v>
                </c:pt>
                <c:pt idx="793">
                  <c:v>20.12.2023</c:v>
                </c:pt>
                <c:pt idx="794">
                  <c:v>21.12.2023</c:v>
                </c:pt>
                <c:pt idx="795">
                  <c:v>26.12.2023</c:v>
                </c:pt>
                <c:pt idx="796">
                  <c:v>27.12.2023</c:v>
                </c:pt>
                <c:pt idx="797">
                  <c:v>28.12.2023</c:v>
                </c:pt>
                <c:pt idx="798">
                  <c:v>02.01.2024</c:v>
                </c:pt>
                <c:pt idx="799">
                  <c:v>03.01.2024</c:v>
                </c:pt>
                <c:pt idx="800">
                  <c:v>04.01.2024</c:v>
                </c:pt>
                <c:pt idx="801">
                  <c:v>08.01.2024</c:v>
                </c:pt>
                <c:pt idx="802">
                  <c:v>09.01.2024</c:v>
                </c:pt>
                <c:pt idx="803">
                  <c:v>10.01.2024</c:v>
                </c:pt>
                <c:pt idx="804">
                  <c:v>11.01.2024</c:v>
                </c:pt>
                <c:pt idx="805">
                  <c:v>16.01.2024</c:v>
                </c:pt>
                <c:pt idx="806">
                  <c:v>17.01.2024</c:v>
                </c:pt>
                <c:pt idx="807">
                  <c:v>18.01.2024</c:v>
                </c:pt>
                <c:pt idx="808">
                  <c:v>22.01.2024</c:v>
                </c:pt>
                <c:pt idx="809">
                  <c:v>23.01.2024</c:v>
                </c:pt>
                <c:pt idx="810">
                  <c:v>24.01.2024</c:v>
                </c:pt>
                <c:pt idx="811">
                  <c:v>25.01.2024</c:v>
                </c:pt>
                <c:pt idx="812">
                  <c:v>29.01.2024</c:v>
                </c:pt>
                <c:pt idx="813">
                  <c:v>30.01.2024</c:v>
                </c:pt>
                <c:pt idx="814">
                  <c:v>31.01.2024</c:v>
                </c:pt>
                <c:pt idx="815">
                  <c:v>01.02.2024</c:v>
                </c:pt>
                <c:pt idx="816">
                  <c:v>05.02.2024</c:v>
                </c:pt>
                <c:pt idx="817">
                  <c:v>06.02.2024</c:v>
                </c:pt>
                <c:pt idx="818">
                  <c:v>07.02.2024</c:v>
                </c:pt>
                <c:pt idx="819">
                  <c:v>08.02.2024</c:v>
                </c:pt>
                <c:pt idx="820">
                  <c:v>12.02.2024</c:v>
                </c:pt>
                <c:pt idx="821">
                  <c:v>13.02.2024</c:v>
                </c:pt>
                <c:pt idx="822">
                  <c:v>14.02.2024</c:v>
                </c:pt>
                <c:pt idx="823">
                  <c:v>15.02.2024</c:v>
                </c:pt>
                <c:pt idx="824">
                  <c:v>20.02.2024</c:v>
                </c:pt>
                <c:pt idx="825">
                  <c:v>21.02.2024</c:v>
                </c:pt>
                <c:pt idx="826">
                  <c:v>22.02.2024</c:v>
                </c:pt>
                <c:pt idx="827">
                  <c:v>26.02.2024</c:v>
                </c:pt>
                <c:pt idx="828">
                  <c:v>27.02.2024</c:v>
                </c:pt>
                <c:pt idx="829">
                  <c:v>28.02.2024</c:v>
                </c:pt>
                <c:pt idx="830">
                  <c:v>29.02.2024</c:v>
                </c:pt>
                <c:pt idx="831">
                  <c:v>04.03.2024</c:v>
                </c:pt>
                <c:pt idx="832">
                  <c:v>05.03.2024</c:v>
                </c:pt>
                <c:pt idx="833">
                  <c:v>06.03.2024</c:v>
                </c:pt>
                <c:pt idx="834">
                  <c:v>07.03.2024</c:v>
                </c:pt>
                <c:pt idx="835">
                  <c:v>11.03.2024</c:v>
                </c:pt>
                <c:pt idx="836">
                  <c:v>12.03.2024</c:v>
                </c:pt>
                <c:pt idx="837">
                  <c:v>13.03.2024</c:v>
                </c:pt>
                <c:pt idx="838">
                  <c:v>14.03.2024</c:v>
                </c:pt>
                <c:pt idx="839">
                  <c:v>18.03.2024</c:v>
                </c:pt>
                <c:pt idx="840">
                  <c:v>19.03.2024</c:v>
                </c:pt>
                <c:pt idx="841">
                  <c:v>20.03.2024</c:v>
                </c:pt>
                <c:pt idx="842">
                  <c:v>21.03.2024</c:v>
                </c:pt>
                <c:pt idx="843">
                  <c:v>25.03.2024</c:v>
                </c:pt>
                <c:pt idx="844">
                  <c:v>26.03.2024</c:v>
                </c:pt>
                <c:pt idx="845">
                  <c:v>27.03.2024</c:v>
                </c:pt>
                <c:pt idx="846">
                  <c:v>01.04.2024</c:v>
                </c:pt>
                <c:pt idx="847">
                  <c:v>02.04.2024</c:v>
                </c:pt>
                <c:pt idx="848">
                  <c:v>03.04.2024</c:v>
                </c:pt>
                <c:pt idx="849">
                  <c:v>04.04.2024</c:v>
                </c:pt>
                <c:pt idx="850">
                  <c:v>08.04.2024</c:v>
                </c:pt>
                <c:pt idx="851">
                  <c:v>09.04.2024</c:v>
                </c:pt>
                <c:pt idx="852">
                  <c:v>10.04.2024</c:v>
                </c:pt>
                <c:pt idx="853">
                  <c:v>11.04.2024</c:v>
                </c:pt>
                <c:pt idx="854">
                  <c:v>15.04.2024</c:v>
                </c:pt>
                <c:pt idx="855">
                  <c:v>16.04.2024</c:v>
                </c:pt>
                <c:pt idx="856">
                  <c:v>17.04.2024</c:v>
                </c:pt>
                <c:pt idx="857">
                  <c:v>18.04.2024</c:v>
                </c:pt>
                <c:pt idx="858">
                  <c:v>22.04.2024</c:v>
                </c:pt>
                <c:pt idx="859">
                  <c:v>23.04.2024</c:v>
                </c:pt>
                <c:pt idx="860">
                  <c:v>24.04.2024</c:v>
                </c:pt>
                <c:pt idx="861">
                  <c:v>25.04.2024</c:v>
                </c:pt>
                <c:pt idx="862">
                  <c:v>29.04.2024</c:v>
                </c:pt>
                <c:pt idx="863">
                  <c:v>30.04.2024</c:v>
                </c:pt>
                <c:pt idx="864">
                  <c:v>01.05.2024</c:v>
                </c:pt>
                <c:pt idx="865">
                  <c:v>02.05.2024</c:v>
                </c:pt>
                <c:pt idx="866">
                  <c:v>06.05.2024</c:v>
                </c:pt>
                <c:pt idx="867">
                  <c:v>07.05.2024</c:v>
                </c:pt>
                <c:pt idx="868">
                  <c:v>08.05.2024</c:v>
                </c:pt>
                <c:pt idx="869">
                  <c:v>09.05.2024</c:v>
                </c:pt>
                <c:pt idx="870">
                  <c:v>13.05.2024</c:v>
                </c:pt>
                <c:pt idx="871">
                  <c:v>14.05.2024</c:v>
                </c:pt>
                <c:pt idx="872">
                  <c:v>15.05.2024</c:v>
                </c:pt>
                <c:pt idx="873">
                  <c:v>16.05.2024</c:v>
                </c:pt>
                <c:pt idx="874">
                  <c:v>20.05.2024</c:v>
                </c:pt>
                <c:pt idx="875">
                  <c:v>21.05.2024</c:v>
                </c:pt>
                <c:pt idx="876">
                  <c:v>22.05.2024</c:v>
                </c:pt>
                <c:pt idx="877">
                  <c:v>23.05.2024</c:v>
                </c:pt>
                <c:pt idx="878">
                  <c:v>28.05.2024</c:v>
                </c:pt>
                <c:pt idx="879">
                  <c:v>29.05.2024</c:v>
                </c:pt>
                <c:pt idx="880">
                  <c:v>30.05.2024</c:v>
                </c:pt>
                <c:pt idx="881">
                  <c:v>03.06.2024</c:v>
                </c:pt>
                <c:pt idx="882">
                  <c:v>04.06.2024</c:v>
                </c:pt>
                <c:pt idx="883">
                  <c:v>05.06.2024</c:v>
                </c:pt>
                <c:pt idx="884">
                  <c:v>06.06.2024</c:v>
                </c:pt>
                <c:pt idx="885">
                  <c:v>10.06.2024</c:v>
                </c:pt>
                <c:pt idx="886">
                  <c:v>11.06.2024</c:v>
                </c:pt>
                <c:pt idx="887">
                  <c:v>12.06.2024</c:v>
                </c:pt>
                <c:pt idx="888">
                  <c:v>13.06.2024</c:v>
                </c:pt>
                <c:pt idx="889">
                  <c:v>17.06.2024</c:v>
                </c:pt>
                <c:pt idx="890">
                  <c:v>18.06.2024</c:v>
                </c:pt>
                <c:pt idx="891">
                  <c:v>20.06.2024</c:v>
                </c:pt>
                <c:pt idx="892">
                  <c:v>24.06.2024</c:v>
                </c:pt>
                <c:pt idx="893">
                  <c:v>25.06.2024</c:v>
                </c:pt>
                <c:pt idx="894">
                  <c:v>26.06.2024</c:v>
                </c:pt>
                <c:pt idx="895">
                  <c:v>27.06.2024</c:v>
                </c:pt>
                <c:pt idx="896">
                  <c:v>01.07.2024</c:v>
                </c:pt>
                <c:pt idx="897">
                  <c:v>02.07.2024</c:v>
                </c:pt>
                <c:pt idx="898">
                  <c:v>03.07.2024</c:v>
                </c:pt>
                <c:pt idx="899">
                  <c:v>08.07.2024</c:v>
                </c:pt>
                <c:pt idx="900">
                  <c:v>09.07.2024</c:v>
                </c:pt>
                <c:pt idx="901">
                  <c:v>10.07.2024</c:v>
                </c:pt>
                <c:pt idx="902">
                  <c:v>11.07.2024</c:v>
                </c:pt>
                <c:pt idx="903">
                  <c:v>15.07.2024</c:v>
                </c:pt>
                <c:pt idx="904">
                  <c:v>16.07.2024</c:v>
                </c:pt>
                <c:pt idx="905">
                  <c:v>17.07.2024</c:v>
                </c:pt>
                <c:pt idx="906">
                  <c:v>18.07.2024</c:v>
                </c:pt>
                <c:pt idx="907">
                  <c:v>22.07.2024</c:v>
                </c:pt>
                <c:pt idx="908">
                  <c:v>23.07.2024</c:v>
                </c:pt>
                <c:pt idx="909">
                  <c:v>24.07.2024</c:v>
                </c:pt>
                <c:pt idx="910">
                  <c:v>25.07.2024</c:v>
                </c:pt>
                <c:pt idx="911">
                  <c:v>29.07.2024</c:v>
                </c:pt>
                <c:pt idx="912">
                  <c:v>30.07.2024</c:v>
                </c:pt>
                <c:pt idx="913">
                  <c:v>31.07.2024</c:v>
                </c:pt>
                <c:pt idx="914">
                  <c:v>01.08.2024</c:v>
                </c:pt>
                <c:pt idx="915">
                  <c:v>05.08.2024</c:v>
                </c:pt>
                <c:pt idx="916">
                  <c:v>06.08.2024</c:v>
                </c:pt>
                <c:pt idx="917">
                  <c:v>07.08.2024</c:v>
                </c:pt>
                <c:pt idx="918">
                  <c:v>08.08.2024</c:v>
                </c:pt>
                <c:pt idx="919">
                  <c:v>12.08.2024</c:v>
                </c:pt>
                <c:pt idx="920">
                  <c:v>13.08.2024</c:v>
                </c:pt>
                <c:pt idx="921">
                  <c:v>14.08.2024</c:v>
                </c:pt>
                <c:pt idx="922">
                  <c:v>15.08.2024</c:v>
                </c:pt>
                <c:pt idx="923">
                  <c:v>19.08.2024</c:v>
                </c:pt>
                <c:pt idx="924">
                  <c:v>20.08.2024</c:v>
                </c:pt>
                <c:pt idx="925">
                  <c:v>21.08.2024</c:v>
                </c:pt>
                <c:pt idx="926">
                  <c:v>22.08.2024</c:v>
                </c:pt>
                <c:pt idx="927">
                  <c:v>26.08.2024</c:v>
                </c:pt>
                <c:pt idx="928">
                  <c:v>27.08.2024</c:v>
                </c:pt>
                <c:pt idx="929">
                  <c:v>28.08.2024</c:v>
                </c:pt>
                <c:pt idx="930">
                  <c:v>29.08.2024</c:v>
                </c:pt>
                <c:pt idx="931">
                  <c:v>03.09.2024</c:v>
                </c:pt>
                <c:pt idx="932">
                  <c:v>04.09.2024</c:v>
                </c:pt>
                <c:pt idx="933">
                  <c:v>05.09.2024</c:v>
                </c:pt>
                <c:pt idx="934">
                  <c:v>09.09.2024</c:v>
                </c:pt>
                <c:pt idx="935">
                  <c:v>10.09.2024</c:v>
                </c:pt>
                <c:pt idx="936">
                  <c:v>11.09.2024</c:v>
                </c:pt>
                <c:pt idx="937">
                  <c:v>12.09.2024</c:v>
                </c:pt>
                <c:pt idx="938">
                  <c:v>16.09.2024</c:v>
                </c:pt>
                <c:pt idx="939">
                  <c:v>17.09.2024</c:v>
                </c:pt>
                <c:pt idx="940">
                  <c:v>18.09.2024</c:v>
                </c:pt>
                <c:pt idx="941">
                  <c:v>19.09.2024</c:v>
                </c:pt>
                <c:pt idx="942">
                  <c:v>23.09.2024</c:v>
                </c:pt>
                <c:pt idx="943">
                  <c:v>24.09.2024</c:v>
                </c:pt>
                <c:pt idx="944">
                  <c:v>25.09.2024</c:v>
                </c:pt>
                <c:pt idx="945">
                  <c:v>26.09.2024</c:v>
                </c:pt>
                <c:pt idx="946">
                  <c:v>30.09.2024</c:v>
                </c:pt>
                <c:pt idx="947">
                  <c:v>01.10.2024</c:v>
                </c:pt>
                <c:pt idx="948">
                  <c:v>02.10.2024</c:v>
                </c:pt>
                <c:pt idx="949">
                  <c:v>03.10.2024</c:v>
                </c:pt>
                <c:pt idx="950">
                  <c:v>07.10.2024</c:v>
                </c:pt>
                <c:pt idx="951">
                  <c:v>08.10.2024</c:v>
                </c:pt>
                <c:pt idx="952">
                  <c:v>09.10.2024</c:v>
                </c:pt>
                <c:pt idx="953">
                  <c:v>10.10.2024</c:v>
                </c:pt>
                <c:pt idx="954">
                  <c:v>14.10.2024</c:v>
                </c:pt>
                <c:pt idx="955">
                  <c:v>15.10.2024</c:v>
                </c:pt>
                <c:pt idx="956">
                  <c:v>16.10.2024</c:v>
                </c:pt>
                <c:pt idx="957">
                  <c:v>17.10.2024</c:v>
                </c:pt>
                <c:pt idx="958">
                  <c:v>21.10.2024</c:v>
                </c:pt>
                <c:pt idx="959">
                  <c:v>22.10.2024</c:v>
                </c:pt>
                <c:pt idx="960">
                  <c:v>23.10.2024</c:v>
                </c:pt>
                <c:pt idx="961">
                  <c:v>24.10.2024</c:v>
                </c:pt>
                <c:pt idx="962">
                  <c:v>28.10.2024</c:v>
                </c:pt>
                <c:pt idx="963">
                  <c:v>29.10.2024</c:v>
                </c:pt>
                <c:pt idx="964">
                  <c:v>30.10.2024</c:v>
                </c:pt>
                <c:pt idx="965">
                  <c:v>31.10.2024</c:v>
                </c:pt>
                <c:pt idx="966">
                  <c:v>04.11.2024</c:v>
                </c:pt>
                <c:pt idx="967">
                  <c:v>05.11.2024</c:v>
                </c:pt>
                <c:pt idx="968">
                  <c:v>06.11.2024</c:v>
                </c:pt>
                <c:pt idx="969">
                  <c:v>07.11.2024</c:v>
                </c:pt>
                <c:pt idx="970">
                  <c:v>11.11.2024</c:v>
                </c:pt>
                <c:pt idx="971">
                  <c:v>12.11.2024</c:v>
                </c:pt>
                <c:pt idx="972">
                  <c:v>13.11.2024</c:v>
                </c:pt>
                <c:pt idx="973">
                  <c:v>14.11.2024</c:v>
                </c:pt>
                <c:pt idx="974">
                  <c:v>18.11.2024</c:v>
                </c:pt>
                <c:pt idx="975">
                  <c:v>19.11.2024</c:v>
                </c:pt>
                <c:pt idx="976">
                  <c:v>20.11.2024</c:v>
                </c:pt>
                <c:pt idx="977">
                  <c:v>21.11.2024</c:v>
                </c:pt>
                <c:pt idx="978">
                  <c:v>25.11.2024</c:v>
                </c:pt>
                <c:pt idx="979">
                  <c:v>26.11.2024</c:v>
                </c:pt>
                <c:pt idx="980">
                  <c:v>27.11.2024</c:v>
                </c:pt>
                <c:pt idx="981">
                  <c:v>02.12.2024</c:v>
                </c:pt>
                <c:pt idx="982">
                  <c:v>03.12.2024</c:v>
                </c:pt>
                <c:pt idx="983">
                  <c:v>04.12.2024</c:v>
                </c:pt>
                <c:pt idx="984">
                  <c:v>05.12.2024</c:v>
                </c:pt>
                <c:pt idx="985">
                  <c:v>09.12.2024</c:v>
                </c:pt>
                <c:pt idx="986">
                  <c:v>10.12.2024</c:v>
                </c:pt>
                <c:pt idx="987">
                  <c:v>11.12.2024</c:v>
                </c:pt>
                <c:pt idx="988">
                  <c:v>12.12.2024</c:v>
                </c:pt>
                <c:pt idx="989">
                  <c:v>16.12.2024</c:v>
                </c:pt>
                <c:pt idx="990">
                  <c:v>17.12.2024</c:v>
                </c:pt>
                <c:pt idx="991">
                  <c:v>18.12.2024</c:v>
                </c:pt>
                <c:pt idx="992">
                  <c:v>19.12.2024</c:v>
                </c:pt>
                <c:pt idx="993">
                  <c:v>23.12.2024</c:v>
                </c:pt>
                <c:pt idx="994">
                  <c:v>26.12.2024</c:v>
                </c:pt>
                <c:pt idx="995">
                  <c:v>30.12.2024</c:v>
                </c:pt>
                <c:pt idx="996">
                  <c:v>02.01.2025</c:v>
                </c:pt>
                <c:pt idx="997">
                  <c:v>06.01.2025</c:v>
                </c:pt>
                <c:pt idx="998">
                  <c:v>07.01.2025</c:v>
                </c:pt>
                <c:pt idx="999">
                  <c:v>08.01.2025</c:v>
                </c:pt>
                <c:pt idx="1000">
                  <c:v>09.01.2025</c:v>
                </c:pt>
                <c:pt idx="1001">
                  <c:v>13.01.2025</c:v>
                </c:pt>
                <c:pt idx="1002">
                  <c:v>14.01.2025</c:v>
                </c:pt>
                <c:pt idx="1003">
                  <c:v>15.01.2025</c:v>
                </c:pt>
                <c:pt idx="1004">
                  <c:v>16.01.2025</c:v>
                </c:pt>
                <c:pt idx="1005">
                  <c:v>21.01.2025</c:v>
                </c:pt>
                <c:pt idx="1006">
                  <c:v>22.01.2025</c:v>
                </c:pt>
                <c:pt idx="1007">
                  <c:v>23.01.2025</c:v>
                </c:pt>
                <c:pt idx="1008">
                  <c:v>27.01.2025</c:v>
                </c:pt>
                <c:pt idx="1009">
                  <c:v>28.01.2025</c:v>
                </c:pt>
                <c:pt idx="1010">
                  <c:v>29.01.2025</c:v>
                </c:pt>
                <c:pt idx="1011">
                  <c:v>30.01.2025</c:v>
                </c:pt>
                <c:pt idx="1012">
                  <c:v>03.02.2025</c:v>
                </c:pt>
                <c:pt idx="1013">
                  <c:v>04.02.2025</c:v>
                </c:pt>
                <c:pt idx="1014">
                  <c:v>05.02.2025</c:v>
                </c:pt>
                <c:pt idx="1015">
                  <c:v>06.02.2025</c:v>
                </c:pt>
                <c:pt idx="1016">
                  <c:v>10.02.2025</c:v>
                </c:pt>
                <c:pt idx="1017">
                  <c:v>11.02.2025</c:v>
                </c:pt>
                <c:pt idx="1018">
                  <c:v>12.02.2025</c:v>
                </c:pt>
                <c:pt idx="1019">
                  <c:v>13.02.2025</c:v>
                </c:pt>
                <c:pt idx="1020">
                  <c:v>18.02.2025</c:v>
                </c:pt>
                <c:pt idx="1021">
                  <c:v>19.02.2025</c:v>
                </c:pt>
                <c:pt idx="1022">
                  <c:v>20.02.2025</c:v>
                </c:pt>
                <c:pt idx="1023">
                  <c:v>24.02.2025</c:v>
                </c:pt>
                <c:pt idx="1024">
                  <c:v>25.02.2025</c:v>
                </c:pt>
                <c:pt idx="1025">
                  <c:v>26.02.2025</c:v>
                </c:pt>
                <c:pt idx="1026">
                  <c:v>27.02.2025</c:v>
                </c:pt>
                <c:pt idx="1027">
                  <c:v>03.03.2025</c:v>
                </c:pt>
                <c:pt idx="1028">
                  <c:v>04.03.2025</c:v>
                </c:pt>
                <c:pt idx="1029">
                  <c:v>05.03.2025</c:v>
                </c:pt>
                <c:pt idx="1030">
                  <c:v>06.03.2025</c:v>
                </c:pt>
                <c:pt idx="1031">
                  <c:v>10.03.2025</c:v>
                </c:pt>
                <c:pt idx="1032">
                  <c:v>11.03.2025</c:v>
                </c:pt>
                <c:pt idx="1033">
                  <c:v>12.03.2025</c:v>
                </c:pt>
                <c:pt idx="1034">
                  <c:v>13.03.2025</c:v>
                </c:pt>
                <c:pt idx="1035">
                  <c:v>17.03.2025</c:v>
                </c:pt>
                <c:pt idx="1036">
                  <c:v>18.03.2025</c:v>
                </c:pt>
                <c:pt idx="1037">
                  <c:v>19.03.2025</c:v>
                </c:pt>
                <c:pt idx="1038">
                  <c:v>20.03.2025</c:v>
                </c:pt>
                <c:pt idx="1039">
                  <c:v>24.03.2025</c:v>
                </c:pt>
                <c:pt idx="1040">
                  <c:v>25.03.2025</c:v>
                </c:pt>
                <c:pt idx="1041">
                  <c:v>26.03.2025</c:v>
                </c:pt>
                <c:pt idx="1042">
                  <c:v>27.03.2025</c:v>
                </c:pt>
                <c:pt idx="1043">
                  <c:v>31.03.2025</c:v>
                </c:pt>
                <c:pt idx="1044">
                  <c:v>01.04.2025</c:v>
                </c:pt>
                <c:pt idx="1045">
                  <c:v>02.04.2025</c:v>
                </c:pt>
                <c:pt idx="1046">
                  <c:v>03.04.2025</c:v>
                </c:pt>
                <c:pt idx="1047">
                  <c:v>07.04.2025</c:v>
                </c:pt>
                <c:pt idx="1048">
                  <c:v>08.04.2025</c:v>
                </c:pt>
                <c:pt idx="1049">
                  <c:v>09.04.2025</c:v>
                </c:pt>
                <c:pt idx="1050">
                  <c:v>10.04.2025</c:v>
                </c:pt>
                <c:pt idx="1051">
                  <c:v>14.04.2025</c:v>
                </c:pt>
                <c:pt idx="1052">
                  <c:v>15.04.2025</c:v>
                </c:pt>
                <c:pt idx="1053">
                  <c:v>16.04.2025</c:v>
                </c:pt>
                <c:pt idx="1054">
                  <c:v>21.04.2025</c:v>
                </c:pt>
                <c:pt idx="1055">
                  <c:v>22.04.2025</c:v>
                </c:pt>
                <c:pt idx="1056">
                  <c:v>23.04.2025</c:v>
                </c:pt>
                <c:pt idx="1057">
                  <c:v>24.04.2025</c:v>
                </c:pt>
                <c:pt idx="1058">
                  <c:v>28.04.2025</c:v>
                </c:pt>
                <c:pt idx="1059">
                  <c:v>29.04.2025</c:v>
                </c:pt>
                <c:pt idx="1060">
                  <c:v>30.04.2025</c:v>
                </c:pt>
                <c:pt idx="1061">
                  <c:v>01.05.2025</c:v>
                </c:pt>
                <c:pt idx="1062">
                  <c:v>05.05.2025</c:v>
                </c:pt>
                <c:pt idx="1063">
                  <c:v>06.05.2025</c:v>
                </c:pt>
                <c:pt idx="1064">
                  <c:v>07.05.2025</c:v>
                </c:pt>
                <c:pt idx="1065">
                  <c:v>08.05.2025</c:v>
                </c:pt>
                <c:pt idx="1066">
                  <c:v>12.05.2025</c:v>
                </c:pt>
                <c:pt idx="1067">
                  <c:v>13.05.2025</c:v>
                </c:pt>
                <c:pt idx="1068">
                  <c:v>14.05.2025</c:v>
                </c:pt>
                <c:pt idx="1069">
                  <c:v>15.05.2025</c:v>
                </c:pt>
                <c:pt idx="1070">
                  <c:v>19.05.2025</c:v>
                </c:pt>
                <c:pt idx="1071">
                  <c:v>20.05.2025</c:v>
                </c:pt>
                <c:pt idx="1072">
                  <c:v>21.05.2025</c:v>
                </c:pt>
                <c:pt idx="1073">
                  <c:v>22.05.2025</c:v>
                </c:pt>
                <c:pt idx="1074">
                  <c:v>25.05.2025</c:v>
                </c:pt>
                <c:pt idx="1075">
                  <c:v>27.05.2025</c:v>
                </c:pt>
                <c:pt idx="1076">
                  <c:v>28.05.2025</c:v>
                </c:pt>
                <c:pt idx="1077">
                  <c:v>29.05.2025</c:v>
                </c:pt>
                <c:pt idx="1078">
                  <c:v>02.06.2025</c:v>
                </c:pt>
                <c:pt idx="1079">
                  <c:v>03.06.2025</c:v>
                </c:pt>
                <c:pt idx="1080">
                  <c:v>04.06.2025</c:v>
                </c:pt>
                <c:pt idx="1081">
                  <c:v>05.06.2025</c:v>
                </c:pt>
                <c:pt idx="1082">
                  <c:v>09.06.2025</c:v>
                </c:pt>
                <c:pt idx="1083">
                  <c:v>10.06.2025</c:v>
                </c:pt>
                <c:pt idx="1084">
                  <c:v>11.06.2025</c:v>
                </c:pt>
                <c:pt idx="1085">
                  <c:v>12.06.2025</c:v>
                </c:pt>
                <c:pt idx="1086">
                  <c:v>16.06.2025</c:v>
                </c:pt>
                <c:pt idx="1087">
                  <c:v>17.06.2025</c:v>
                </c:pt>
                <c:pt idx="1088">
                  <c:v>18.06.2025</c:v>
                </c:pt>
                <c:pt idx="1089">
                  <c:v>23.06.2025</c:v>
                </c:pt>
                <c:pt idx="1090">
                  <c:v>24.06.2025</c:v>
                </c:pt>
                <c:pt idx="1091">
                  <c:v>25.06.2025</c:v>
                </c:pt>
                <c:pt idx="1092">
                  <c:v>26.06.2025</c:v>
                </c:pt>
                <c:pt idx="1093">
                  <c:v>30.06.2025</c:v>
                </c:pt>
                <c:pt idx="1094">
                  <c:v>01.07.2025</c:v>
                </c:pt>
                <c:pt idx="1095">
                  <c:v>02.07.2025</c:v>
                </c:pt>
                <c:pt idx="1096">
                  <c:v>03.07.2025</c:v>
                </c:pt>
                <c:pt idx="1097">
                  <c:v>07.07.2025</c:v>
                </c:pt>
                <c:pt idx="1098">
                  <c:v>08.07.2025</c:v>
                </c:pt>
                <c:pt idx="1099">
                  <c:v>09.07.2025</c:v>
                </c:pt>
                <c:pt idx="1100">
                  <c:v>10.07.2025</c:v>
                </c:pt>
                <c:pt idx="1101">
                  <c:v>14.07.2025</c:v>
                </c:pt>
                <c:pt idx="1102">
                  <c:v>15.07.2025</c:v>
                </c:pt>
                <c:pt idx="1103">
                  <c:v>16.07.2025</c:v>
                </c:pt>
                <c:pt idx="1104">
                  <c:v>17.07.2025</c:v>
                </c:pt>
                <c:pt idx="1105">
                  <c:v>21.07.2025</c:v>
                </c:pt>
                <c:pt idx="1106">
                  <c:v>22.07.2025</c:v>
                </c:pt>
                <c:pt idx="1107">
                  <c:v>23.07.2025</c:v>
                </c:pt>
                <c:pt idx="1108">
                  <c:v>24.07.2025</c:v>
                </c:pt>
                <c:pt idx="1109">
                  <c:v>28.07.2025</c:v>
                </c:pt>
                <c:pt idx="1110">
                  <c:v>29.07.2025</c:v>
                </c:pt>
                <c:pt idx="1111">
                  <c:v>30.07.2025</c:v>
                </c:pt>
                <c:pt idx="1112">
                  <c:v>31.07.2025</c:v>
                </c:pt>
                <c:pt idx="1113">
                  <c:v>04.08.2025</c:v>
                </c:pt>
                <c:pt idx="1114">
                  <c:v>05.08.2025</c:v>
                </c:pt>
                <c:pt idx="1115">
                  <c:v>06.08.2025</c:v>
                </c:pt>
                <c:pt idx="1116">
                  <c:v>07.08.2025</c:v>
                </c:pt>
                <c:pt idx="1117">
                  <c:v>11.08.2025</c:v>
                </c:pt>
                <c:pt idx="1118">
                  <c:v>12.08.2025</c:v>
                </c:pt>
                <c:pt idx="1119">
                  <c:v>13.08.2025</c:v>
                </c:pt>
                <c:pt idx="1120">
                  <c:v>14.08.2025</c:v>
                </c:pt>
                <c:pt idx="1121">
                  <c:v>18.08.2025</c:v>
                </c:pt>
                <c:pt idx="1122">
                  <c:v>19.08.2025</c:v>
                </c:pt>
                <c:pt idx="1123">
                  <c:v>20.08.2025</c:v>
                </c:pt>
                <c:pt idx="1124">
                  <c:v>21.08.2025</c:v>
                </c:pt>
                <c:pt idx="1125">
                  <c:v>25.08.2025</c:v>
                </c:pt>
                <c:pt idx="1126">
                  <c:v>26.08.2025</c:v>
                </c:pt>
                <c:pt idx="1127">
                  <c:v>27.08.2025</c:v>
                </c:pt>
                <c:pt idx="1128">
                  <c:v>28.08.2025</c:v>
                </c:pt>
                <c:pt idx="1129">
                  <c:v>31.08.2025</c:v>
                </c:pt>
                <c:pt idx="1130">
                  <c:v>02.09.2025</c:v>
                </c:pt>
                <c:pt idx="1131">
                  <c:v>03.09.2025</c:v>
                </c:pt>
                <c:pt idx="1132">
                  <c:v>04.09.2025</c:v>
                </c:pt>
                <c:pt idx="1133">
                  <c:v>08.09.2025</c:v>
                </c:pt>
                <c:pt idx="1134">
                  <c:v>09.09.2025</c:v>
                </c:pt>
                <c:pt idx="1135">
                  <c:v>10.09.2025</c:v>
                </c:pt>
                <c:pt idx="1136">
                  <c:v>11.09.2025</c:v>
                </c:pt>
                <c:pt idx="1137">
                  <c:v>15.09.2025</c:v>
                </c:pt>
                <c:pt idx="1138">
                  <c:v>16.09.2025</c:v>
                </c:pt>
                <c:pt idx="1139">
                  <c:v>17.09.2025</c:v>
                </c:pt>
                <c:pt idx="1140">
                  <c:v>18.09.2025</c:v>
                </c:pt>
                <c:pt idx="1141">
                  <c:v>22.09.2025</c:v>
                </c:pt>
                <c:pt idx="1142">
                  <c:v>23.09.2025</c:v>
                </c:pt>
                <c:pt idx="1143">
                  <c:v>24.09.2025</c:v>
                </c:pt>
                <c:pt idx="1144">
                  <c:v>25.09.2025</c:v>
                </c:pt>
                <c:pt idx="1145">
                  <c:v>29.09.2025</c:v>
                </c:pt>
                <c:pt idx="1146">
                  <c:v>30.09.2025</c:v>
                </c:pt>
                <c:pt idx="1147">
                  <c:v>01.10.2025</c:v>
                </c:pt>
                <c:pt idx="1148">
                  <c:v>02.10.2025</c:v>
                </c:pt>
                <c:pt idx="1149">
                  <c:v>06.10.2025</c:v>
                </c:pt>
                <c:pt idx="1150">
                  <c:v>07.10.2025</c:v>
                </c:pt>
                <c:pt idx="1151">
                  <c:v>08.10.2025</c:v>
                </c:pt>
                <c:pt idx="1152">
                  <c:v>09.10.2025</c:v>
                </c:pt>
                <c:pt idx="1153">
                  <c:v>13.10.2025</c:v>
                </c:pt>
                <c:pt idx="1154">
                  <c:v>14.10.2025</c:v>
                </c:pt>
                <c:pt idx="1155">
                  <c:v>15.10.2025</c:v>
                </c:pt>
                <c:pt idx="1156">
                  <c:v>16.10.2025</c:v>
                </c:pt>
                <c:pt idx="1157">
                  <c:v>20.10.2025</c:v>
                </c:pt>
                <c:pt idx="1158">
                  <c:v>21.10.2025</c:v>
                </c:pt>
                <c:pt idx="1159">
                  <c:v>22.10.2025</c:v>
                </c:pt>
                <c:pt idx="1160">
                  <c:v>23.10.2025</c:v>
                </c:pt>
                <c:pt idx="1161">
                  <c:v>27.10.2025</c:v>
                </c:pt>
                <c:pt idx="1162">
                  <c:v>28.10.2025</c:v>
                </c:pt>
                <c:pt idx="1163">
                  <c:v>29.10.2025</c:v>
                </c:pt>
                <c:pt idx="1164">
                  <c:v>30.10.2025</c:v>
                </c:pt>
                <c:pt idx="1165">
                  <c:v>03.11.2025</c:v>
                </c:pt>
                <c:pt idx="1166">
                  <c:v>04.11.2025</c:v>
                </c:pt>
                <c:pt idx="1167">
                  <c:v>05.11.2025</c:v>
                </c:pt>
                <c:pt idx="1168">
                  <c:v>06.11.2025</c:v>
                </c:pt>
                <c:pt idx="1169">
                  <c:v>10.11.2025</c:v>
                </c:pt>
                <c:pt idx="1170">
                  <c:v>11.11.2025</c:v>
                </c:pt>
                <c:pt idx="1171">
                  <c:v>12.11.2025</c:v>
                </c:pt>
                <c:pt idx="1172">
                  <c:v>13.11.2025</c:v>
                </c:pt>
                <c:pt idx="1173">
                  <c:v>17.11.2025</c:v>
                </c:pt>
                <c:pt idx="1174">
                  <c:v>18.11.2025</c:v>
                </c:pt>
                <c:pt idx="1175">
                  <c:v>19.11.2025</c:v>
                </c:pt>
                <c:pt idx="1176">
                  <c:v>20.11.2025</c:v>
                </c:pt>
                <c:pt idx="1177">
                  <c:v>24.11.2025</c:v>
                </c:pt>
                <c:pt idx="1178">
                  <c:v>25.11.2025</c:v>
                </c:pt>
                <c:pt idx="1179">
                  <c:v>26.11.2025</c:v>
                </c:pt>
                <c:pt idx="1180">
                  <c:v>01.12.2025</c:v>
                </c:pt>
                <c:pt idx="1181">
                  <c:v>02.12.2025</c:v>
                </c:pt>
                <c:pt idx="1182">
                  <c:v>03.12.2025</c:v>
                </c:pt>
                <c:pt idx="1183">
                  <c:v>04.12.2025</c:v>
                </c:pt>
                <c:pt idx="1184">
                  <c:v>08.12.2025</c:v>
                </c:pt>
                <c:pt idx="1185">
                  <c:v>09.12.2025</c:v>
                </c:pt>
                <c:pt idx="1186">
                  <c:v>10.12.2025</c:v>
                </c:pt>
                <c:pt idx="1187">
                  <c:v>11.12.2025</c:v>
                </c:pt>
                <c:pt idx="1188">
                  <c:v>15.12.2025</c:v>
                </c:pt>
                <c:pt idx="1189">
                  <c:v>16.12.2025</c:v>
                </c:pt>
                <c:pt idx="1190">
                  <c:v>17.12.2025</c:v>
                </c:pt>
                <c:pt idx="1191">
                  <c:v>18.12.2025</c:v>
                </c:pt>
                <c:pt idx="1192">
                  <c:v>22.12.2025</c:v>
                </c:pt>
                <c:pt idx="1193">
                  <c:v>23.12.2025</c:v>
                </c:pt>
                <c:pt idx="1194">
                  <c:v>25.12.2025</c:v>
                </c:pt>
                <c:pt idx="1195">
                  <c:v>29.12.2025</c:v>
                </c:pt>
                <c:pt idx="1196">
                  <c:v>30.12.2025</c:v>
                </c:pt>
              </c:strCache>
            </c:strRef>
          </c:cat>
          <c:val>
            <c:numRef>
              <c:f>Analysis!$F$2:$F$1328</c:f>
              <c:numCache>
                <c:formatCode>0.00%</c:formatCode>
                <c:ptCount val="1327"/>
                <c:pt idx="1">
                  <c:v>2.6634382566585988E-2</c:v>
                </c:pt>
                <c:pt idx="2">
                  <c:v>3.0233623453962469E-2</c:v>
                </c:pt>
                <c:pt idx="3">
                  <c:v>2.1006478633597368E-2</c:v>
                </c:pt>
                <c:pt idx="4">
                  <c:v>1.7145474772593448E-2</c:v>
                </c:pt>
                <c:pt idx="5">
                  <c:v>1.4724167266540149E-2</c:v>
                </c:pt>
                <c:pt idx="6">
                  <c:v>1.0797722662129442E-2</c:v>
                </c:pt>
                <c:pt idx="7">
                  <c:v>1.694915254237294E-2</c:v>
                </c:pt>
                <c:pt idx="8">
                  <c:v>1.4658726523133363E-2</c:v>
                </c:pt>
                <c:pt idx="9">
                  <c:v>1.9501341535239962E-2</c:v>
                </c:pt>
                <c:pt idx="10">
                  <c:v>1.8716052614357791E-2</c:v>
                </c:pt>
                <c:pt idx="11">
                  <c:v>2.4409397290753344E-2</c:v>
                </c:pt>
                <c:pt idx="12">
                  <c:v>3.2262286499574758E-2</c:v>
                </c:pt>
                <c:pt idx="13">
                  <c:v>2.7288790000654439E-2</c:v>
                </c:pt>
                <c:pt idx="14">
                  <c:v>2.7681434461095597E-2</c:v>
                </c:pt>
                <c:pt idx="15">
                  <c:v>3.998429422158245E-2</c:v>
                </c:pt>
                <c:pt idx="16">
                  <c:v>3.553432366991701E-2</c:v>
                </c:pt>
                <c:pt idx="17">
                  <c:v>1.793076369347562E-2</c:v>
                </c:pt>
                <c:pt idx="18">
                  <c:v>2.2707937962175281E-2</c:v>
                </c:pt>
                <c:pt idx="19">
                  <c:v>2.7419671487468159E-2</c:v>
                </c:pt>
                <c:pt idx="20">
                  <c:v>3.3636542111118446E-2</c:v>
                </c:pt>
                <c:pt idx="21">
                  <c:v>2.7485112230874943E-2</c:v>
                </c:pt>
                <c:pt idx="22">
                  <c:v>2.8466723381977622E-2</c:v>
                </c:pt>
                <c:pt idx="23">
                  <c:v>3.3178456907270497E-2</c:v>
                </c:pt>
                <c:pt idx="24">
                  <c:v>4.9407761272168053E-2</c:v>
                </c:pt>
                <c:pt idx="25">
                  <c:v>5.4773902231529385E-2</c:v>
                </c:pt>
                <c:pt idx="26">
                  <c:v>6.0467246907924939E-2</c:v>
                </c:pt>
                <c:pt idx="27">
                  <c:v>9.7179503959164984E-2</c:v>
                </c:pt>
                <c:pt idx="28">
                  <c:v>7.977226621294424E-2</c:v>
                </c:pt>
                <c:pt idx="29">
                  <c:v>7.5256854917871874E-2</c:v>
                </c:pt>
                <c:pt idx="30">
                  <c:v>7.4864210457430858E-2</c:v>
                </c:pt>
                <c:pt idx="31">
                  <c:v>4.3648975852365712E-2</c:v>
                </c:pt>
                <c:pt idx="32">
                  <c:v>7.6107584582160978E-2</c:v>
                </c:pt>
                <c:pt idx="33">
                  <c:v>7.5191414174465079E-2</c:v>
                </c:pt>
                <c:pt idx="34">
                  <c:v>9.1551600026176364E-2</c:v>
                </c:pt>
                <c:pt idx="35">
                  <c:v>9.659053726850346E-2</c:v>
                </c:pt>
                <c:pt idx="36">
                  <c:v>8.6512662783849253E-2</c:v>
                </c:pt>
                <c:pt idx="37">
                  <c:v>7.4733328970617144E-2</c:v>
                </c:pt>
                <c:pt idx="38">
                  <c:v>4.0704142399057688E-2</c:v>
                </c:pt>
                <c:pt idx="39">
                  <c:v>-2.7223349257247505E-2</c:v>
                </c:pt>
                <c:pt idx="40">
                  <c:v>-1.5051370983574076E-3</c:v>
                </c:pt>
                <c:pt idx="41">
                  <c:v>-3.2851253190236122E-2</c:v>
                </c:pt>
                <c:pt idx="42">
                  <c:v>-3.1935082782540383E-2</c:v>
                </c:pt>
                <c:pt idx="43">
                  <c:v>2.5849093645703817E-2</c:v>
                </c:pt>
                <c:pt idx="44">
                  <c:v>8.6839866500883489E-2</c:v>
                </c:pt>
                <c:pt idx="45">
                  <c:v>6.8909102807408015E-2</c:v>
                </c:pt>
                <c:pt idx="46">
                  <c:v>8.0557555133826411E-2</c:v>
                </c:pt>
                <c:pt idx="47">
                  <c:v>7.5322295661278807E-2</c:v>
                </c:pt>
                <c:pt idx="48">
                  <c:v>4.48269092336889E-2</c:v>
                </c:pt>
                <c:pt idx="49">
                  <c:v>4.1423990576533072E-2</c:v>
                </c:pt>
                <c:pt idx="50">
                  <c:v>7.1723054773902326E-2</c:v>
                </c:pt>
                <c:pt idx="51">
                  <c:v>0.10850075256854931</c:v>
                </c:pt>
                <c:pt idx="52">
                  <c:v>0.10182579674105108</c:v>
                </c:pt>
                <c:pt idx="53">
                  <c:v>0.10221844120149208</c:v>
                </c:pt>
                <c:pt idx="54">
                  <c:v>0.15267325436816975</c:v>
                </c:pt>
                <c:pt idx="55">
                  <c:v>0.15758131012368312</c:v>
                </c:pt>
                <c:pt idx="56">
                  <c:v>0.13879981676591857</c:v>
                </c:pt>
                <c:pt idx="57">
                  <c:v>0.13323735357633673</c:v>
                </c:pt>
                <c:pt idx="58">
                  <c:v>0.11982200117793347</c:v>
                </c:pt>
                <c:pt idx="59">
                  <c:v>0.10450886722073166</c:v>
                </c:pt>
                <c:pt idx="60">
                  <c:v>0.13755644264118844</c:v>
                </c:pt>
                <c:pt idx="61">
                  <c:v>0.14220273542307454</c:v>
                </c:pt>
                <c:pt idx="62">
                  <c:v>0.12806753484719591</c:v>
                </c:pt>
                <c:pt idx="63">
                  <c:v>0.12702048295268645</c:v>
                </c:pt>
                <c:pt idx="64">
                  <c:v>0.1212616975328841</c:v>
                </c:pt>
                <c:pt idx="65">
                  <c:v>0.1086970747987698</c:v>
                </c:pt>
                <c:pt idx="66">
                  <c:v>0.12119625678947717</c:v>
                </c:pt>
                <c:pt idx="67">
                  <c:v>0.11942935671749232</c:v>
                </c:pt>
                <c:pt idx="68">
                  <c:v>0.10496695242457961</c:v>
                </c:pt>
                <c:pt idx="69">
                  <c:v>0.12937634971533279</c:v>
                </c:pt>
                <c:pt idx="70">
                  <c:v>0.11118382304822989</c:v>
                </c:pt>
                <c:pt idx="71">
                  <c:v>0.11694260846803223</c:v>
                </c:pt>
                <c:pt idx="72">
                  <c:v>0.12322491983508946</c:v>
                </c:pt>
                <c:pt idx="73">
                  <c:v>0.13925790196976651</c:v>
                </c:pt>
                <c:pt idx="74">
                  <c:v>0.13500425364832158</c:v>
                </c:pt>
                <c:pt idx="75">
                  <c:v>0.14233361690988811</c:v>
                </c:pt>
                <c:pt idx="76">
                  <c:v>0.14658726523133303</c:v>
                </c:pt>
                <c:pt idx="77">
                  <c:v>0.12682416072246594</c:v>
                </c:pt>
                <c:pt idx="78">
                  <c:v>0.11615731954715006</c:v>
                </c:pt>
                <c:pt idx="79">
                  <c:v>0.13003075714940127</c:v>
                </c:pt>
                <c:pt idx="80">
                  <c:v>0.13101236830050392</c:v>
                </c:pt>
                <c:pt idx="81">
                  <c:v>0.14540933185000984</c:v>
                </c:pt>
                <c:pt idx="82">
                  <c:v>0.13474249067469413</c:v>
                </c:pt>
                <c:pt idx="83">
                  <c:v>0.11563379359989533</c:v>
                </c:pt>
                <c:pt idx="84">
                  <c:v>0.13042340160984242</c:v>
                </c:pt>
                <c:pt idx="85">
                  <c:v>0.11583011583011583</c:v>
                </c:pt>
                <c:pt idx="86">
                  <c:v>0.12682416072246594</c:v>
                </c:pt>
                <c:pt idx="87">
                  <c:v>0.12603887180158377</c:v>
                </c:pt>
                <c:pt idx="88">
                  <c:v>0.13853805379229112</c:v>
                </c:pt>
                <c:pt idx="89">
                  <c:v>0.13029252012302869</c:v>
                </c:pt>
                <c:pt idx="90">
                  <c:v>0.13637850925986525</c:v>
                </c:pt>
                <c:pt idx="91">
                  <c:v>0.13578954256920359</c:v>
                </c:pt>
                <c:pt idx="92">
                  <c:v>0.13284470911589558</c:v>
                </c:pt>
                <c:pt idx="93">
                  <c:v>0.155945291538512</c:v>
                </c:pt>
                <c:pt idx="94">
                  <c:v>0.16615404750997978</c:v>
                </c:pt>
                <c:pt idx="95">
                  <c:v>0.1616386362149074</c:v>
                </c:pt>
                <c:pt idx="96">
                  <c:v>0.15869380276159939</c:v>
                </c:pt>
                <c:pt idx="97">
                  <c:v>0.16563052156272506</c:v>
                </c:pt>
                <c:pt idx="98">
                  <c:v>0.17826058504024614</c:v>
                </c:pt>
                <c:pt idx="99">
                  <c:v>0.16477979189843608</c:v>
                </c:pt>
                <c:pt idx="100">
                  <c:v>0.17138930698252738</c:v>
                </c:pt>
                <c:pt idx="101">
                  <c:v>0.17367973300176698</c:v>
                </c:pt>
                <c:pt idx="102">
                  <c:v>0.18441201492048961</c:v>
                </c:pt>
                <c:pt idx="103">
                  <c:v>0.19141417446502193</c:v>
                </c:pt>
                <c:pt idx="104">
                  <c:v>0.18042012957267198</c:v>
                </c:pt>
                <c:pt idx="105">
                  <c:v>0.18716052614357701</c:v>
                </c:pt>
                <c:pt idx="106">
                  <c:v>0.18670244093972921</c:v>
                </c:pt>
                <c:pt idx="107">
                  <c:v>0.1869642039133565</c:v>
                </c:pt>
                <c:pt idx="108">
                  <c:v>0.17812970355343241</c:v>
                </c:pt>
                <c:pt idx="109">
                  <c:v>0.18932007067600301</c:v>
                </c:pt>
                <c:pt idx="110">
                  <c:v>0.20666186767881697</c:v>
                </c:pt>
                <c:pt idx="111">
                  <c:v>0.22053530528106802</c:v>
                </c:pt>
                <c:pt idx="112">
                  <c:v>0.23683005038937249</c:v>
                </c:pt>
                <c:pt idx="113">
                  <c:v>0.26366075518617899</c:v>
                </c:pt>
                <c:pt idx="114">
                  <c:v>0.27256069628950985</c:v>
                </c:pt>
                <c:pt idx="115">
                  <c:v>0.27831948170931237</c:v>
                </c:pt>
                <c:pt idx="116">
                  <c:v>0.2870885413258295</c:v>
                </c:pt>
                <c:pt idx="117">
                  <c:v>0.29984948629016428</c:v>
                </c:pt>
                <c:pt idx="118">
                  <c:v>0.32255742425233958</c:v>
                </c:pt>
                <c:pt idx="119">
                  <c:v>0.34107715463647686</c:v>
                </c:pt>
                <c:pt idx="120">
                  <c:v>0.35423074406125266</c:v>
                </c:pt>
                <c:pt idx="121">
                  <c:v>0.33479484326941966</c:v>
                </c:pt>
                <c:pt idx="122">
                  <c:v>0.27367318892742626</c:v>
                </c:pt>
                <c:pt idx="123">
                  <c:v>0.27544008899941114</c:v>
                </c:pt>
                <c:pt idx="124">
                  <c:v>0.28944440808847605</c:v>
                </c:pt>
                <c:pt idx="125">
                  <c:v>0.30796413847261317</c:v>
                </c:pt>
                <c:pt idx="126">
                  <c:v>0.31738760552319878</c:v>
                </c:pt>
                <c:pt idx="127">
                  <c:v>0.28937896734506907</c:v>
                </c:pt>
                <c:pt idx="128">
                  <c:v>0.27380407041423999</c:v>
                </c:pt>
                <c:pt idx="129">
                  <c:v>0.26902689614554032</c:v>
                </c:pt>
                <c:pt idx="130">
                  <c:v>0.25849093645703819</c:v>
                </c:pt>
                <c:pt idx="131">
                  <c:v>0.2777305150186507</c:v>
                </c:pt>
                <c:pt idx="132">
                  <c:v>0.26470780708068847</c:v>
                </c:pt>
                <c:pt idx="133">
                  <c:v>0.29481054904783721</c:v>
                </c:pt>
                <c:pt idx="134">
                  <c:v>0.29500687127805786</c:v>
                </c:pt>
                <c:pt idx="135">
                  <c:v>0.27262613703291683</c:v>
                </c:pt>
                <c:pt idx="136">
                  <c:v>0.26811072573784445</c:v>
                </c:pt>
                <c:pt idx="137">
                  <c:v>0.27164452588181415</c:v>
                </c:pt>
                <c:pt idx="138">
                  <c:v>0.27930109286041505</c:v>
                </c:pt>
                <c:pt idx="139">
                  <c:v>0.28545252274065835</c:v>
                </c:pt>
                <c:pt idx="140">
                  <c:v>0.28505987828021739</c:v>
                </c:pt>
                <c:pt idx="141">
                  <c:v>0.28669589686538849</c:v>
                </c:pt>
                <c:pt idx="142">
                  <c:v>0.2895098488318828</c:v>
                </c:pt>
                <c:pt idx="143">
                  <c:v>0.2760290556900728</c:v>
                </c:pt>
                <c:pt idx="144">
                  <c:v>0.25031084353118255</c:v>
                </c:pt>
                <c:pt idx="145">
                  <c:v>0.24834762122897719</c:v>
                </c:pt>
                <c:pt idx="146">
                  <c:v>0.22269484981349402</c:v>
                </c:pt>
                <c:pt idx="147">
                  <c:v>0.22825731300307583</c:v>
                </c:pt>
                <c:pt idx="148">
                  <c:v>0.2317911131470454</c:v>
                </c:pt>
                <c:pt idx="149">
                  <c:v>0.24546822851907607</c:v>
                </c:pt>
                <c:pt idx="150">
                  <c:v>0.24042929127674897</c:v>
                </c:pt>
                <c:pt idx="151">
                  <c:v>0.25404096590537273</c:v>
                </c:pt>
                <c:pt idx="152">
                  <c:v>0.25652771415483283</c:v>
                </c:pt>
                <c:pt idx="153">
                  <c:v>0.24913291014985936</c:v>
                </c:pt>
                <c:pt idx="154">
                  <c:v>0.23735357633662724</c:v>
                </c:pt>
                <c:pt idx="155">
                  <c:v>0.24016752830312155</c:v>
                </c:pt>
                <c:pt idx="156">
                  <c:v>0.26228649957463529</c:v>
                </c:pt>
                <c:pt idx="157">
                  <c:v>0.23984032458608731</c:v>
                </c:pt>
                <c:pt idx="158">
                  <c:v>0.24815129899875668</c:v>
                </c:pt>
                <c:pt idx="159">
                  <c:v>0.24919835089326628</c:v>
                </c:pt>
                <c:pt idx="160">
                  <c:v>0.25103069170865794</c:v>
                </c:pt>
                <c:pt idx="161">
                  <c:v>0.25345199921471123</c:v>
                </c:pt>
                <c:pt idx="162">
                  <c:v>0.26267914403507631</c:v>
                </c:pt>
                <c:pt idx="163">
                  <c:v>0.24638439892677183</c:v>
                </c:pt>
                <c:pt idx="164">
                  <c:v>0.24710424710424722</c:v>
                </c:pt>
                <c:pt idx="165">
                  <c:v>0.25116157319547161</c:v>
                </c:pt>
                <c:pt idx="166">
                  <c:v>0.22976245010143326</c:v>
                </c:pt>
                <c:pt idx="167">
                  <c:v>0.22243308683986657</c:v>
                </c:pt>
                <c:pt idx="168">
                  <c:v>0.23846606897454362</c:v>
                </c:pt>
                <c:pt idx="169">
                  <c:v>0.25017996204436893</c:v>
                </c:pt>
                <c:pt idx="170">
                  <c:v>0.24088737648059691</c:v>
                </c:pt>
                <c:pt idx="171">
                  <c:v>0.27400039264446047</c:v>
                </c:pt>
                <c:pt idx="172">
                  <c:v>0.2135331457365357</c:v>
                </c:pt>
                <c:pt idx="173">
                  <c:v>0.22793010928604163</c:v>
                </c:pt>
                <c:pt idx="174">
                  <c:v>0.21824487926182842</c:v>
                </c:pt>
                <c:pt idx="175">
                  <c:v>0.22590144624042932</c:v>
                </c:pt>
                <c:pt idx="176">
                  <c:v>0.23539035403442188</c:v>
                </c:pt>
                <c:pt idx="177">
                  <c:v>0.23362345396243703</c:v>
                </c:pt>
                <c:pt idx="178">
                  <c:v>0.2262940907008705</c:v>
                </c:pt>
                <c:pt idx="179">
                  <c:v>0.21817943851842164</c:v>
                </c:pt>
                <c:pt idx="180">
                  <c:v>0.20266998233099931</c:v>
                </c:pt>
                <c:pt idx="181">
                  <c:v>0.18094365551992672</c:v>
                </c:pt>
                <c:pt idx="182">
                  <c:v>0.18153262221058838</c:v>
                </c:pt>
                <c:pt idx="183">
                  <c:v>0.16543419933250456</c:v>
                </c:pt>
                <c:pt idx="184">
                  <c:v>0.19030168182710569</c:v>
                </c:pt>
                <c:pt idx="185">
                  <c:v>0.19769648583207916</c:v>
                </c:pt>
                <c:pt idx="186">
                  <c:v>0.20482952686342518</c:v>
                </c:pt>
                <c:pt idx="187">
                  <c:v>0.22112427197172968</c:v>
                </c:pt>
                <c:pt idx="188">
                  <c:v>0.22694849813493895</c:v>
                </c:pt>
                <c:pt idx="189">
                  <c:v>0.20312806753484727</c:v>
                </c:pt>
                <c:pt idx="190">
                  <c:v>0.20240821935737202</c:v>
                </c:pt>
                <c:pt idx="191">
                  <c:v>0.19893985995680913</c:v>
                </c:pt>
                <c:pt idx="192">
                  <c:v>0.21412211242719723</c:v>
                </c:pt>
                <c:pt idx="193">
                  <c:v>0.2166088606766573</c:v>
                </c:pt>
                <c:pt idx="194">
                  <c:v>0.23709181336299995</c:v>
                </c:pt>
                <c:pt idx="195">
                  <c:v>0.23211831686407963</c:v>
                </c:pt>
                <c:pt idx="196">
                  <c:v>0.22393822393822399</c:v>
                </c:pt>
                <c:pt idx="197">
                  <c:v>0.22904260192395787</c:v>
                </c:pt>
                <c:pt idx="198">
                  <c:v>0.23054773902231543</c:v>
                </c:pt>
                <c:pt idx="199">
                  <c:v>0.23218375760748655</c:v>
                </c:pt>
                <c:pt idx="200">
                  <c:v>0.23905503566520528</c:v>
                </c:pt>
                <c:pt idx="201">
                  <c:v>0.27386951115764679</c:v>
                </c:pt>
                <c:pt idx="202">
                  <c:v>0.27897388914338078</c:v>
                </c:pt>
                <c:pt idx="203">
                  <c:v>0.24900202866304563</c:v>
                </c:pt>
                <c:pt idx="204">
                  <c:v>0.25227406583338791</c:v>
                </c:pt>
                <c:pt idx="205">
                  <c:v>0.21117727897388919</c:v>
                </c:pt>
                <c:pt idx="206">
                  <c:v>0.20685818990903748</c:v>
                </c:pt>
                <c:pt idx="207">
                  <c:v>0.21386034945356994</c:v>
                </c:pt>
                <c:pt idx="208">
                  <c:v>0.21156992343433034</c:v>
                </c:pt>
                <c:pt idx="209">
                  <c:v>0.20424056017276365</c:v>
                </c:pt>
                <c:pt idx="210">
                  <c:v>0.22145147568876389</c:v>
                </c:pt>
                <c:pt idx="211">
                  <c:v>0.2210588312283229</c:v>
                </c:pt>
                <c:pt idx="212">
                  <c:v>0.21405667168379042</c:v>
                </c:pt>
                <c:pt idx="213">
                  <c:v>0.21124271971729611</c:v>
                </c:pt>
                <c:pt idx="214">
                  <c:v>0.20731627511288542</c:v>
                </c:pt>
                <c:pt idx="215">
                  <c:v>0.20489496760683212</c:v>
                </c:pt>
                <c:pt idx="216">
                  <c:v>0.21975001636018598</c:v>
                </c:pt>
                <c:pt idx="217">
                  <c:v>0.19979058962109822</c:v>
                </c:pt>
                <c:pt idx="218">
                  <c:v>0.20090308225901449</c:v>
                </c:pt>
                <c:pt idx="219">
                  <c:v>0.17217459590340956</c:v>
                </c:pt>
                <c:pt idx="220">
                  <c:v>0.20031411556835296</c:v>
                </c:pt>
                <c:pt idx="221">
                  <c:v>0.20247366010077883</c:v>
                </c:pt>
                <c:pt idx="222">
                  <c:v>0.2058765787579348</c:v>
                </c:pt>
                <c:pt idx="223">
                  <c:v>0.19547150055624635</c:v>
                </c:pt>
                <c:pt idx="224">
                  <c:v>0.17727897388914346</c:v>
                </c:pt>
                <c:pt idx="225">
                  <c:v>0.16013349911655</c:v>
                </c:pt>
                <c:pt idx="226">
                  <c:v>0.16157319547150062</c:v>
                </c:pt>
                <c:pt idx="227">
                  <c:v>0.18343040376938696</c:v>
                </c:pt>
                <c:pt idx="228">
                  <c:v>0.18179438518421581</c:v>
                </c:pt>
                <c:pt idx="229">
                  <c:v>0.17655912571166821</c:v>
                </c:pt>
                <c:pt idx="230">
                  <c:v>0.16183495844512807</c:v>
                </c:pt>
                <c:pt idx="231">
                  <c:v>0.12754400889994116</c:v>
                </c:pt>
                <c:pt idx="232">
                  <c:v>0.1344807277010667</c:v>
                </c:pt>
                <c:pt idx="233">
                  <c:v>0.12283227537464829</c:v>
                </c:pt>
                <c:pt idx="234">
                  <c:v>0.11295072312021474</c:v>
                </c:pt>
                <c:pt idx="235">
                  <c:v>9.8095674366860869E-2</c:v>
                </c:pt>
                <c:pt idx="236">
                  <c:v>0.12355212355212368</c:v>
                </c:pt>
                <c:pt idx="237">
                  <c:v>0.12675871997905899</c:v>
                </c:pt>
                <c:pt idx="238">
                  <c:v>0.12728224592631374</c:v>
                </c:pt>
                <c:pt idx="239">
                  <c:v>0.13160133499116561</c:v>
                </c:pt>
                <c:pt idx="240">
                  <c:v>0.13271382762908199</c:v>
                </c:pt>
                <c:pt idx="241">
                  <c:v>0.13022707937962177</c:v>
                </c:pt>
                <c:pt idx="242">
                  <c:v>0.13376087952359145</c:v>
                </c:pt>
                <c:pt idx="243">
                  <c:v>0.13742556115437471</c:v>
                </c:pt>
                <c:pt idx="244">
                  <c:v>0.12891826451148486</c:v>
                </c:pt>
                <c:pt idx="245">
                  <c:v>0.13421896472743941</c:v>
                </c:pt>
                <c:pt idx="246">
                  <c:v>0.12891826451148486</c:v>
                </c:pt>
                <c:pt idx="247">
                  <c:v>0.12204698645376612</c:v>
                </c:pt>
                <c:pt idx="248">
                  <c:v>0.10333093383940849</c:v>
                </c:pt>
                <c:pt idx="249">
                  <c:v>0.12270139388783458</c:v>
                </c:pt>
                <c:pt idx="250">
                  <c:v>0.13133957201753815</c:v>
                </c:pt>
                <c:pt idx="251">
                  <c:v>0.1406321575813102</c:v>
                </c:pt>
                <c:pt idx="252">
                  <c:v>0.1397159871736143</c:v>
                </c:pt>
                <c:pt idx="253">
                  <c:v>0.15057915057915067</c:v>
                </c:pt>
                <c:pt idx="254">
                  <c:v>0.13389176101040517</c:v>
                </c:pt>
                <c:pt idx="255">
                  <c:v>0.14364243177802502</c:v>
                </c:pt>
                <c:pt idx="256">
                  <c:v>0.13624762777305155</c:v>
                </c:pt>
                <c:pt idx="257">
                  <c:v>0.15620705451213929</c:v>
                </c:pt>
                <c:pt idx="258">
                  <c:v>0.15869380276159939</c:v>
                </c:pt>
                <c:pt idx="259">
                  <c:v>0.16379818074733341</c:v>
                </c:pt>
                <c:pt idx="260">
                  <c:v>0.17341797002813952</c:v>
                </c:pt>
                <c:pt idx="261">
                  <c:v>0.16615404750997978</c:v>
                </c:pt>
                <c:pt idx="262">
                  <c:v>0.16491067338524967</c:v>
                </c:pt>
                <c:pt idx="263">
                  <c:v>0.16405994372096072</c:v>
                </c:pt>
                <c:pt idx="264">
                  <c:v>0.16085334729402539</c:v>
                </c:pt>
                <c:pt idx="265">
                  <c:v>0.15718866566324197</c:v>
                </c:pt>
                <c:pt idx="266">
                  <c:v>0.17256724036385057</c:v>
                </c:pt>
                <c:pt idx="267">
                  <c:v>0.16222760290556906</c:v>
                </c:pt>
                <c:pt idx="268">
                  <c:v>0.1676591846083372</c:v>
                </c:pt>
                <c:pt idx="269">
                  <c:v>0.1882075780380866</c:v>
                </c:pt>
                <c:pt idx="270">
                  <c:v>0.20253910084418561</c:v>
                </c:pt>
                <c:pt idx="271">
                  <c:v>0.20155748969308293</c:v>
                </c:pt>
                <c:pt idx="272">
                  <c:v>0.19285387081997254</c:v>
                </c:pt>
                <c:pt idx="273">
                  <c:v>0.19363915974085472</c:v>
                </c:pt>
                <c:pt idx="274">
                  <c:v>0.22217132386623914</c:v>
                </c:pt>
                <c:pt idx="275">
                  <c:v>0.22243308683986657</c:v>
                </c:pt>
                <c:pt idx="276">
                  <c:v>0.23126758719979065</c:v>
                </c:pt>
                <c:pt idx="277">
                  <c:v>0.23152935017341811</c:v>
                </c:pt>
                <c:pt idx="278">
                  <c:v>0.23323080950199601</c:v>
                </c:pt>
                <c:pt idx="279">
                  <c:v>0.2420653098619201</c:v>
                </c:pt>
                <c:pt idx="280">
                  <c:v>0.24586087297951709</c:v>
                </c:pt>
                <c:pt idx="281">
                  <c:v>0.24239251357895433</c:v>
                </c:pt>
                <c:pt idx="282">
                  <c:v>0.24664616190039926</c:v>
                </c:pt>
                <c:pt idx="283">
                  <c:v>0.24985275832733472</c:v>
                </c:pt>
                <c:pt idx="284">
                  <c:v>0.22590144624042932</c:v>
                </c:pt>
                <c:pt idx="285">
                  <c:v>0.24258883580917484</c:v>
                </c:pt>
                <c:pt idx="286">
                  <c:v>0.23970944309927375</c:v>
                </c:pt>
                <c:pt idx="287">
                  <c:v>0.24042929127674897</c:v>
                </c:pt>
                <c:pt idx="288">
                  <c:v>0.24101825796741064</c:v>
                </c:pt>
                <c:pt idx="289">
                  <c:v>0.2210588312283229</c:v>
                </c:pt>
                <c:pt idx="290">
                  <c:v>0.21484196060467259</c:v>
                </c:pt>
                <c:pt idx="291">
                  <c:v>0.21811399777501486</c:v>
                </c:pt>
                <c:pt idx="292">
                  <c:v>0.16144231398468689</c:v>
                </c:pt>
                <c:pt idx="293">
                  <c:v>0.16674301420064144</c:v>
                </c:pt>
                <c:pt idx="294">
                  <c:v>0.16314377331326496</c:v>
                </c:pt>
                <c:pt idx="295">
                  <c:v>0.16707021791767568</c:v>
                </c:pt>
                <c:pt idx="296">
                  <c:v>0.16268568810941703</c:v>
                </c:pt>
                <c:pt idx="297">
                  <c:v>0.16530331784569083</c:v>
                </c:pt>
                <c:pt idx="298">
                  <c:v>0.15411295072312023</c:v>
                </c:pt>
                <c:pt idx="299">
                  <c:v>0.15934821019566783</c:v>
                </c:pt>
                <c:pt idx="300">
                  <c:v>0.16275112885282381</c:v>
                </c:pt>
                <c:pt idx="301">
                  <c:v>0.17413781820561491</c:v>
                </c:pt>
                <c:pt idx="302">
                  <c:v>0.1793076369347556</c:v>
                </c:pt>
                <c:pt idx="303">
                  <c:v>0.17806426281002563</c:v>
                </c:pt>
                <c:pt idx="304">
                  <c:v>0.18179438518421581</c:v>
                </c:pt>
                <c:pt idx="305">
                  <c:v>0.18441201492048961</c:v>
                </c:pt>
                <c:pt idx="306">
                  <c:v>0.19429356717492319</c:v>
                </c:pt>
                <c:pt idx="307">
                  <c:v>0.19691119691119699</c:v>
                </c:pt>
                <c:pt idx="308">
                  <c:v>0.18395392971664168</c:v>
                </c:pt>
                <c:pt idx="309">
                  <c:v>0.18539362607159229</c:v>
                </c:pt>
                <c:pt idx="310">
                  <c:v>0.18015836659904469</c:v>
                </c:pt>
                <c:pt idx="311">
                  <c:v>0.1814671814671816</c:v>
                </c:pt>
                <c:pt idx="312">
                  <c:v>0.17740985537595716</c:v>
                </c:pt>
                <c:pt idx="313">
                  <c:v>0.17780249983639818</c:v>
                </c:pt>
                <c:pt idx="314">
                  <c:v>0.1777370590929914</c:v>
                </c:pt>
                <c:pt idx="315">
                  <c:v>0.20136116746286242</c:v>
                </c:pt>
                <c:pt idx="316">
                  <c:v>0.19246122635953156</c:v>
                </c:pt>
                <c:pt idx="317">
                  <c:v>0.18716052614357701</c:v>
                </c:pt>
                <c:pt idx="318">
                  <c:v>0.18742228911720443</c:v>
                </c:pt>
                <c:pt idx="319">
                  <c:v>0.18375760748642117</c:v>
                </c:pt>
                <c:pt idx="320">
                  <c:v>0.12983443491918076</c:v>
                </c:pt>
                <c:pt idx="321">
                  <c:v>0.13323735357633673</c:v>
                </c:pt>
                <c:pt idx="322">
                  <c:v>0.1473725541522152</c:v>
                </c:pt>
                <c:pt idx="323">
                  <c:v>0.14639094300111252</c:v>
                </c:pt>
                <c:pt idx="324">
                  <c:v>0.17125842549571368</c:v>
                </c:pt>
                <c:pt idx="325">
                  <c:v>0.16994961062757677</c:v>
                </c:pt>
                <c:pt idx="326">
                  <c:v>0.16772462535174412</c:v>
                </c:pt>
                <c:pt idx="327">
                  <c:v>0.16687389568745503</c:v>
                </c:pt>
                <c:pt idx="328">
                  <c:v>0.1820561481578431</c:v>
                </c:pt>
                <c:pt idx="329">
                  <c:v>0.18349584451279374</c:v>
                </c:pt>
                <c:pt idx="330">
                  <c:v>0.17204371441659586</c:v>
                </c:pt>
                <c:pt idx="331">
                  <c:v>0.17479222563968336</c:v>
                </c:pt>
                <c:pt idx="332">
                  <c:v>0.18591715201884704</c:v>
                </c:pt>
                <c:pt idx="333">
                  <c:v>0.18977815587985081</c:v>
                </c:pt>
                <c:pt idx="334">
                  <c:v>0.18840390026830711</c:v>
                </c:pt>
                <c:pt idx="335">
                  <c:v>0.1854590668149991</c:v>
                </c:pt>
                <c:pt idx="336">
                  <c:v>0.17695177017210922</c:v>
                </c:pt>
                <c:pt idx="337">
                  <c:v>0.17367973300176698</c:v>
                </c:pt>
                <c:pt idx="338">
                  <c:v>0.1779333813232119</c:v>
                </c:pt>
                <c:pt idx="339">
                  <c:v>0.17426869969242864</c:v>
                </c:pt>
                <c:pt idx="340">
                  <c:v>0.18257967410509784</c:v>
                </c:pt>
                <c:pt idx="341">
                  <c:v>0.17453046266605593</c:v>
                </c:pt>
                <c:pt idx="342">
                  <c:v>0.14959753942804799</c:v>
                </c:pt>
                <c:pt idx="343">
                  <c:v>0.15424383220993396</c:v>
                </c:pt>
                <c:pt idx="344">
                  <c:v>0.16366729926051971</c:v>
                </c:pt>
                <c:pt idx="345">
                  <c:v>0.16405994372096072</c:v>
                </c:pt>
                <c:pt idx="346">
                  <c:v>0.14508212813297564</c:v>
                </c:pt>
                <c:pt idx="347">
                  <c:v>0.14652182448792625</c:v>
                </c:pt>
                <c:pt idx="348">
                  <c:v>0.13703291669393372</c:v>
                </c:pt>
                <c:pt idx="349">
                  <c:v>0.12747856815653438</c:v>
                </c:pt>
                <c:pt idx="350">
                  <c:v>0.1497938616582685</c:v>
                </c:pt>
                <c:pt idx="351">
                  <c:v>0.15673058045939403</c:v>
                </c:pt>
                <c:pt idx="352">
                  <c:v>0.15234605065113552</c:v>
                </c:pt>
                <c:pt idx="353">
                  <c:v>0.15293501734179704</c:v>
                </c:pt>
                <c:pt idx="354">
                  <c:v>0.15123355801321914</c:v>
                </c:pt>
                <c:pt idx="355">
                  <c:v>0.14894313199397954</c:v>
                </c:pt>
                <c:pt idx="356">
                  <c:v>0.15129899875662592</c:v>
                </c:pt>
                <c:pt idx="357">
                  <c:v>0.17446502192264915</c:v>
                </c:pt>
                <c:pt idx="358">
                  <c:v>0.17655912571166821</c:v>
                </c:pt>
                <c:pt idx="359">
                  <c:v>0.15548720633466406</c:v>
                </c:pt>
                <c:pt idx="360">
                  <c:v>0.15862836201819261</c:v>
                </c:pt>
                <c:pt idx="361">
                  <c:v>0.16805182906877836</c:v>
                </c:pt>
                <c:pt idx="362">
                  <c:v>0.166088606766573</c:v>
                </c:pt>
                <c:pt idx="363">
                  <c:v>0.18238335187487734</c:v>
                </c:pt>
                <c:pt idx="364">
                  <c:v>0.1736142922583602</c:v>
                </c:pt>
                <c:pt idx="365">
                  <c:v>0.17714809240232973</c:v>
                </c:pt>
                <c:pt idx="366">
                  <c:v>0.17963484065178981</c:v>
                </c:pt>
                <c:pt idx="367">
                  <c:v>0.17518487010012437</c:v>
                </c:pt>
                <c:pt idx="368">
                  <c:v>0.17099666252208637</c:v>
                </c:pt>
                <c:pt idx="369">
                  <c:v>0.15430927295334088</c:v>
                </c:pt>
                <c:pt idx="370">
                  <c:v>0.17367973300176698</c:v>
                </c:pt>
                <c:pt idx="371">
                  <c:v>0.19625678947712852</c:v>
                </c:pt>
                <c:pt idx="372">
                  <c:v>0.19808913029252018</c:v>
                </c:pt>
                <c:pt idx="373">
                  <c:v>0.20954126038871806</c:v>
                </c:pt>
                <c:pt idx="374">
                  <c:v>0.21975001636018598</c:v>
                </c:pt>
                <c:pt idx="375">
                  <c:v>0.2215169164321707</c:v>
                </c:pt>
                <c:pt idx="376">
                  <c:v>0.21333682350631505</c:v>
                </c:pt>
                <c:pt idx="377">
                  <c:v>0.22387278319481718</c:v>
                </c:pt>
                <c:pt idx="378">
                  <c:v>0.21811399777501486</c:v>
                </c:pt>
                <c:pt idx="379">
                  <c:v>0.1820561481578431</c:v>
                </c:pt>
                <c:pt idx="380">
                  <c:v>0.16733198089130297</c:v>
                </c:pt>
                <c:pt idx="381">
                  <c:v>0.1676591846083372</c:v>
                </c:pt>
                <c:pt idx="382">
                  <c:v>0.16824815129899887</c:v>
                </c:pt>
                <c:pt idx="383">
                  <c:v>0.1625548066226033</c:v>
                </c:pt>
                <c:pt idx="384">
                  <c:v>0.1676591846083372</c:v>
                </c:pt>
                <c:pt idx="385">
                  <c:v>0.1535239840324587</c:v>
                </c:pt>
                <c:pt idx="386">
                  <c:v>0.16451802892480866</c:v>
                </c:pt>
                <c:pt idx="387">
                  <c:v>0.16792094758196463</c:v>
                </c:pt>
                <c:pt idx="388">
                  <c:v>0.16844447352921937</c:v>
                </c:pt>
                <c:pt idx="389">
                  <c:v>0.16268568810941703</c:v>
                </c:pt>
                <c:pt idx="390">
                  <c:v>0.170276814344611</c:v>
                </c:pt>
                <c:pt idx="391">
                  <c:v>0.15980629539951577</c:v>
                </c:pt>
                <c:pt idx="392">
                  <c:v>0.15470191741378189</c:v>
                </c:pt>
                <c:pt idx="393">
                  <c:v>0.17675544794188872</c:v>
                </c:pt>
                <c:pt idx="394">
                  <c:v>0.1743995811792422</c:v>
                </c:pt>
                <c:pt idx="395">
                  <c:v>0.17053857731823843</c:v>
                </c:pt>
                <c:pt idx="396">
                  <c:v>0.17937307767816252</c:v>
                </c:pt>
                <c:pt idx="397">
                  <c:v>0.18369216674301425</c:v>
                </c:pt>
                <c:pt idx="398">
                  <c:v>0.18506642235455809</c:v>
                </c:pt>
                <c:pt idx="399">
                  <c:v>0.18172894444080889</c:v>
                </c:pt>
                <c:pt idx="400">
                  <c:v>0.18716052614357701</c:v>
                </c:pt>
                <c:pt idx="401">
                  <c:v>0.17799882206661868</c:v>
                </c:pt>
                <c:pt idx="402">
                  <c:v>0.18748772986061124</c:v>
                </c:pt>
                <c:pt idx="403">
                  <c:v>0.19435900791832997</c:v>
                </c:pt>
                <c:pt idx="404">
                  <c:v>0.17086578103527267</c:v>
                </c:pt>
                <c:pt idx="405">
                  <c:v>0.17714809240232973</c:v>
                </c:pt>
                <c:pt idx="406">
                  <c:v>0.19003991885347823</c:v>
                </c:pt>
                <c:pt idx="407">
                  <c:v>0.19579870427328058</c:v>
                </c:pt>
                <c:pt idx="408">
                  <c:v>0.19193770041227681</c:v>
                </c:pt>
                <c:pt idx="409">
                  <c:v>0.18604803350566076</c:v>
                </c:pt>
                <c:pt idx="410">
                  <c:v>0.20620378247496901</c:v>
                </c:pt>
                <c:pt idx="411">
                  <c:v>0.20581113801452786</c:v>
                </c:pt>
                <c:pt idx="412">
                  <c:v>0.20522217132386633</c:v>
                </c:pt>
                <c:pt idx="413">
                  <c:v>0.21228977161180559</c:v>
                </c:pt>
                <c:pt idx="414">
                  <c:v>0.19736928211504493</c:v>
                </c:pt>
                <c:pt idx="415">
                  <c:v>0.17466134415286966</c:v>
                </c:pt>
                <c:pt idx="416">
                  <c:v>0.17557751456056553</c:v>
                </c:pt>
                <c:pt idx="417">
                  <c:v>0.17891499247431458</c:v>
                </c:pt>
                <c:pt idx="418">
                  <c:v>0.18467377789411693</c:v>
                </c:pt>
                <c:pt idx="419">
                  <c:v>0.18061645180289249</c:v>
                </c:pt>
                <c:pt idx="420">
                  <c:v>0.1921994633859041</c:v>
                </c:pt>
                <c:pt idx="421">
                  <c:v>0.19619134873372174</c:v>
                </c:pt>
                <c:pt idx="422">
                  <c:v>0.20188469341011714</c:v>
                </c:pt>
                <c:pt idx="423">
                  <c:v>0.20240821935737202</c:v>
                </c:pt>
                <c:pt idx="424">
                  <c:v>0.22334925724756247</c:v>
                </c:pt>
                <c:pt idx="425">
                  <c:v>0.21471107911785889</c:v>
                </c:pt>
                <c:pt idx="426">
                  <c:v>0.22472351285910616</c:v>
                </c:pt>
                <c:pt idx="427">
                  <c:v>0.2446829395981939</c:v>
                </c:pt>
                <c:pt idx="428">
                  <c:v>0.2482167397421636</c:v>
                </c:pt>
                <c:pt idx="429">
                  <c:v>0.25017996204436893</c:v>
                </c:pt>
                <c:pt idx="430">
                  <c:v>0.26058504024605722</c:v>
                </c:pt>
                <c:pt idx="431">
                  <c:v>0.24383220993390495</c:v>
                </c:pt>
                <c:pt idx="432">
                  <c:v>0.27203717034225511</c:v>
                </c:pt>
                <c:pt idx="433">
                  <c:v>0.25796741050978345</c:v>
                </c:pt>
                <c:pt idx="434">
                  <c:v>0.26686735161311448</c:v>
                </c:pt>
                <c:pt idx="435">
                  <c:v>0.30613179765722154</c:v>
                </c:pt>
                <c:pt idx="436">
                  <c:v>0.33715071003206604</c:v>
                </c:pt>
                <c:pt idx="437">
                  <c:v>0.30109286041489441</c:v>
                </c:pt>
                <c:pt idx="438">
                  <c:v>0.30907663111052958</c:v>
                </c:pt>
                <c:pt idx="439">
                  <c:v>0.28316209672141879</c:v>
                </c:pt>
                <c:pt idx="440">
                  <c:v>0.26281002552189003</c:v>
                </c:pt>
                <c:pt idx="441">
                  <c:v>0.24939467312348679</c:v>
                </c:pt>
                <c:pt idx="442">
                  <c:v>0.27164452588181415</c:v>
                </c:pt>
                <c:pt idx="443">
                  <c:v>0.26267914403507631</c:v>
                </c:pt>
                <c:pt idx="444">
                  <c:v>0.2574438845625287</c:v>
                </c:pt>
                <c:pt idx="445">
                  <c:v>0.26778352202081018</c:v>
                </c:pt>
                <c:pt idx="446">
                  <c:v>0.28407826712911471</c:v>
                </c:pt>
                <c:pt idx="447">
                  <c:v>0.26941954060598133</c:v>
                </c:pt>
                <c:pt idx="448">
                  <c:v>0.25515345854328914</c:v>
                </c:pt>
                <c:pt idx="449">
                  <c:v>0.26889601465872659</c:v>
                </c:pt>
                <c:pt idx="450">
                  <c:v>0.27871212616975338</c:v>
                </c:pt>
                <c:pt idx="451">
                  <c:v>0.26339899221255153</c:v>
                </c:pt>
                <c:pt idx="452">
                  <c:v>0.25914534389110661</c:v>
                </c:pt>
                <c:pt idx="453">
                  <c:v>0.25626595118120554</c:v>
                </c:pt>
                <c:pt idx="454">
                  <c:v>0.26608206269223228</c:v>
                </c:pt>
                <c:pt idx="455">
                  <c:v>0.27288790000654412</c:v>
                </c:pt>
                <c:pt idx="456">
                  <c:v>0.29127674890386768</c:v>
                </c:pt>
                <c:pt idx="457">
                  <c:v>0.29697009358026322</c:v>
                </c:pt>
                <c:pt idx="458">
                  <c:v>0.29808258621817946</c:v>
                </c:pt>
                <c:pt idx="459">
                  <c:v>0.28021726326811075</c:v>
                </c:pt>
                <c:pt idx="460">
                  <c:v>0.2779922779922781</c:v>
                </c:pt>
                <c:pt idx="461">
                  <c:v>0.27308422223676476</c:v>
                </c:pt>
                <c:pt idx="462">
                  <c:v>0.23898959492179836</c:v>
                </c:pt>
                <c:pt idx="463">
                  <c:v>0.24435573588115969</c:v>
                </c:pt>
                <c:pt idx="464">
                  <c:v>0.23408153916628496</c:v>
                </c:pt>
                <c:pt idx="465">
                  <c:v>0.23768078005366144</c:v>
                </c:pt>
                <c:pt idx="466">
                  <c:v>0.21955369412996534</c:v>
                </c:pt>
                <c:pt idx="467">
                  <c:v>0.2241345461684445</c:v>
                </c:pt>
                <c:pt idx="468">
                  <c:v>0.22295661278712131</c:v>
                </c:pt>
                <c:pt idx="469">
                  <c:v>0.22747202408219366</c:v>
                </c:pt>
                <c:pt idx="470">
                  <c:v>0.21628165695962306</c:v>
                </c:pt>
                <c:pt idx="471">
                  <c:v>0.2047640861200184</c:v>
                </c:pt>
                <c:pt idx="472">
                  <c:v>0.21307506053268777</c:v>
                </c:pt>
                <c:pt idx="473">
                  <c:v>0.19403180420129573</c:v>
                </c:pt>
                <c:pt idx="474">
                  <c:v>0.18709508540017022</c:v>
                </c:pt>
                <c:pt idx="475">
                  <c:v>0.19030168182710569</c:v>
                </c:pt>
                <c:pt idx="476">
                  <c:v>0.18833845952490033</c:v>
                </c:pt>
                <c:pt idx="477">
                  <c:v>0.20489496760683212</c:v>
                </c:pt>
                <c:pt idx="478">
                  <c:v>0.20921405667168383</c:v>
                </c:pt>
                <c:pt idx="479">
                  <c:v>0.22073162751128866</c:v>
                </c:pt>
                <c:pt idx="480">
                  <c:v>0.20823244552058115</c:v>
                </c:pt>
                <c:pt idx="481">
                  <c:v>0.2090831751848701</c:v>
                </c:pt>
                <c:pt idx="482">
                  <c:v>0.20751259734310593</c:v>
                </c:pt>
                <c:pt idx="483">
                  <c:v>0.20790524180354694</c:v>
                </c:pt>
                <c:pt idx="484">
                  <c:v>0.22269484981349402</c:v>
                </c:pt>
                <c:pt idx="485">
                  <c:v>0.20463320463320467</c:v>
                </c:pt>
                <c:pt idx="486">
                  <c:v>0.21013022707937973</c:v>
                </c:pt>
                <c:pt idx="487">
                  <c:v>0.21300961978928082</c:v>
                </c:pt>
                <c:pt idx="488">
                  <c:v>0.21071919377004125</c:v>
                </c:pt>
                <c:pt idx="489">
                  <c:v>0.19704207839801069</c:v>
                </c:pt>
                <c:pt idx="490">
                  <c:v>0.18480465938093063</c:v>
                </c:pt>
                <c:pt idx="491">
                  <c:v>0.18860022249852762</c:v>
                </c:pt>
                <c:pt idx="492">
                  <c:v>0.20842876775080166</c:v>
                </c:pt>
                <c:pt idx="493">
                  <c:v>0.20109940448923513</c:v>
                </c:pt>
                <c:pt idx="494">
                  <c:v>0.20096852300242141</c:v>
                </c:pt>
                <c:pt idx="495">
                  <c:v>0.19514429683921214</c:v>
                </c:pt>
                <c:pt idx="496">
                  <c:v>0.19167593743864939</c:v>
                </c:pt>
                <c:pt idx="497">
                  <c:v>0.18938551141940979</c:v>
                </c:pt>
                <c:pt idx="498">
                  <c:v>0.18938551141940979</c:v>
                </c:pt>
                <c:pt idx="499">
                  <c:v>0.18271055559191157</c:v>
                </c:pt>
                <c:pt idx="500">
                  <c:v>0.15430927295334088</c:v>
                </c:pt>
                <c:pt idx="501">
                  <c:v>0.13637850925986525</c:v>
                </c:pt>
                <c:pt idx="502">
                  <c:v>0.13847261304888434</c:v>
                </c:pt>
                <c:pt idx="503">
                  <c:v>0.13323735357633673</c:v>
                </c:pt>
                <c:pt idx="504">
                  <c:v>0.12872194228126435</c:v>
                </c:pt>
                <c:pt idx="505">
                  <c:v>0.13572410182579681</c:v>
                </c:pt>
                <c:pt idx="506">
                  <c:v>0.11628820103396378</c:v>
                </c:pt>
                <c:pt idx="507">
                  <c:v>0.11916759374386503</c:v>
                </c:pt>
                <c:pt idx="508">
                  <c:v>0.11949479746089925</c:v>
                </c:pt>
                <c:pt idx="509">
                  <c:v>0.11262351940318052</c:v>
                </c:pt>
                <c:pt idx="510">
                  <c:v>0.1212616975328841</c:v>
                </c:pt>
                <c:pt idx="511">
                  <c:v>0.12499181990707416</c:v>
                </c:pt>
                <c:pt idx="512">
                  <c:v>0.12407564949937841</c:v>
                </c:pt>
                <c:pt idx="513">
                  <c:v>0.12499181990707416</c:v>
                </c:pt>
                <c:pt idx="514">
                  <c:v>0.14809240232969059</c:v>
                </c:pt>
                <c:pt idx="515">
                  <c:v>0.16006805837314322</c:v>
                </c:pt>
                <c:pt idx="516">
                  <c:v>0.16144231398468689</c:v>
                </c:pt>
                <c:pt idx="517">
                  <c:v>0.15234605065113552</c:v>
                </c:pt>
                <c:pt idx="518">
                  <c:v>0.17217459590340956</c:v>
                </c:pt>
                <c:pt idx="519">
                  <c:v>0.17112754400889996</c:v>
                </c:pt>
                <c:pt idx="520">
                  <c:v>0.17583927753419282</c:v>
                </c:pt>
                <c:pt idx="521">
                  <c:v>0.17695177017210922</c:v>
                </c:pt>
                <c:pt idx="522">
                  <c:v>0.17276356259407108</c:v>
                </c:pt>
                <c:pt idx="523">
                  <c:v>0.16700477717426873</c:v>
                </c:pt>
                <c:pt idx="524">
                  <c:v>0.16150775472809384</c:v>
                </c:pt>
                <c:pt idx="525">
                  <c:v>0.15300045808520399</c:v>
                </c:pt>
                <c:pt idx="526">
                  <c:v>0.14946665794123429</c:v>
                </c:pt>
                <c:pt idx="527">
                  <c:v>0.13500425364832158</c:v>
                </c:pt>
                <c:pt idx="528">
                  <c:v>0.14344610954780451</c:v>
                </c:pt>
                <c:pt idx="529">
                  <c:v>0.14377331326483872</c:v>
                </c:pt>
                <c:pt idx="530">
                  <c:v>0.15031738760552324</c:v>
                </c:pt>
                <c:pt idx="531">
                  <c:v>0.13650939074667898</c:v>
                </c:pt>
                <c:pt idx="532">
                  <c:v>0.13009619789280819</c:v>
                </c:pt>
                <c:pt idx="533">
                  <c:v>0.12355212355212368</c:v>
                </c:pt>
                <c:pt idx="534">
                  <c:v>0.11223087494273935</c:v>
                </c:pt>
                <c:pt idx="535">
                  <c:v>0.11471762319219959</c:v>
                </c:pt>
                <c:pt idx="536">
                  <c:v>0.12440285321641263</c:v>
                </c:pt>
                <c:pt idx="537">
                  <c:v>0.11942935671749232</c:v>
                </c:pt>
                <c:pt idx="538">
                  <c:v>0.13264838688567507</c:v>
                </c:pt>
                <c:pt idx="539">
                  <c:v>0.11713893069825274</c:v>
                </c:pt>
                <c:pt idx="540">
                  <c:v>0.11131470453504361</c:v>
                </c:pt>
                <c:pt idx="541">
                  <c:v>9.0766311105294192E-2</c:v>
                </c:pt>
                <c:pt idx="542">
                  <c:v>9.1289837052548922E-2</c:v>
                </c:pt>
                <c:pt idx="543">
                  <c:v>8.6970747987697203E-2</c:v>
                </c:pt>
                <c:pt idx="544">
                  <c:v>9.0111903671225735E-2</c:v>
                </c:pt>
                <c:pt idx="545">
                  <c:v>9.3776585302009149E-2</c:v>
                </c:pt>
                <c:pt idx="546">
                  <c:v>6.2495909953537078E-2</c:v>
                </c:pt>
                <c:pt idx="547">
                  <c:v>6.4393691512335649E-2</c:v>
                </c:pt>
                <c:pt idx="548">
                  <c:v>8.6512662783849253E-2</c:v>
                </c:pt>
                <c:pt idx="549">
                  <c:v>8.867220731627512E-2</c:v>
                </c:pt>
                <c:pt idx="550">
                  <c:v>0.11066029710097516</c:v>
                </c:pt>
                <c:pt idx="551">
                  <c:v>0.12918002748511229</c:v>
                </c:pt>
                <c:pt idx="552">
                  <c:v>0.12270139388783458</c:v>
                </c:pt>
                <c:pt idx="553">
                  <c:v>0.12263595314442778</c:v>
                </c:pt>
                <c:pt idx="554">
                  <c:v>9.2925855637720045E-2</c:v>
                </c:pt>
                <c:pt idx="555">
                  <c:v>9.9993455925659447E-2</c:v>
                </c:pt>
                <c:pt idx="556">
                  <c:v>9.4365551992670674E-2</c:v>
                </c:pt>
                <c:pt idx="557">
                  <c:v>9.4038348275636452E-2</c:v>
                </c:pt>
                <c:pt idx="558">
                  <c:v>8.5596492376153521E-2</c:v>
                </c:pt>
                <c:pt idx="559">
                  <c:v>8.0230351416792189E-2</c:v>
                </c:pt>
                <c:pt idx="560">
                  <c:v>6.6029710097506772E-2</c:v>
                </c:pt>
                <c:pt idx="561">
                  <c:v>6.7862050912898403E-2</c:v>
                </c:pt>
                <c:pt idx="562">
                  <c:v>7.924874026568951E-2</c:v>
                </c:pt>
                <c:pt idx="563">
                  <c:v>8.1931810745370107E-2</c:v>
                </c:pt>
                <c:pt idx="564">
                  <c:v>8.9195733263530003E-2</c:v>
                </c:pt>
                <c:pt idx="565">
                  <c:v>8.6512662783849253E-2</c:v>
                </c:pt>
                <c:pt idx="566">
                  <c:v>7.3686277076107684E-2</c:v>
                </c:pt>
                <c:pt idx="567">
                  <c:v>7.9575943982723732E-2</c:v>
                </c:pt>
                <c:pt idx="568">
                  <c:v>7.977226621294424E-2</c:v>
                </c:pt>
                <c:pt idx="569">
                  <c:v>6.7273084222236892E-2</c:v>
                </c:pt>
                <c:pt idx="570">
                  <c:v>9.9731692952032006E-2</c:v>
                </c:pt>
                <c:pt idx="571">
                  <c:v>0.12296315686146202</c:v>
                </c:pt>
                <c:pt idx="572">
                  <c:v>0.12145801976310461</c:v>
                </c:pt>
                <c:pt idx="573">
                  <c:v>0.14763431712584266</c:v>
                </c:pt>
                <c:pt idx="574">
                  <c:v>0.16281656959623075</c:v>
                </c:pt>
                <c:pt idx="575">
                  <c:v>0.16275112885282381</c:v>
                </c:pt>
                <c:pt idx="576">
                  <c:v>0.16209672141875536</c:v>
                </c:pt>
                <c:pt idx="577">
                  <c:v>0.15372030626267921</c:v>
                </c:pt>
                <c:pt idx="578">
                  <c:v>0.13840717230547739</c:v>
                </c:pt>
                <c:pt idx="579">
                  <c:v>0.13860349453569806</c:v>
                </c:pt>
                <c:pt idx="580">
                  <c:v>0.14233361690988811</c:v>
                </c:pt>
                <c:pt idx="581">
                  <c:v>0.13886525750932535</c:v>
                </c:pt>
                <c:pt idx="582">
                  <c:v>0.14933577645442056</c:v>
                </c:pt>
                <c:pt idx="583">
                  <c:v>0.14730711340880842</c:v>
                </c:pt>
                <c:pt idx="584">
                  <c:v>0.18329952228257324</c:v>
                </c:pt>
                <c:pt idx="585">
                  <c:v>0.16111511026765268</c:v>
                </c:pt>
                <c:pt idx="586">
                  <c:v>0.16190039918853485</c:v>
                </c:pt>
                <c:pt idx="587">
                  <c:v>0.17204371441659586</c:v>
                </c:pt>
                <c:pt idx="588">
                  <c:v>0.17413781820561491</c:v>
                </c:pt>
                <c:pt idx="589">
                  <c:v>0.16811726981218514</c:v>
                </c:pt>
                <c:pt idx="590">
                  <c:v>0.18990903736666453</c:v>
                </c:pt>
                <c:pt idx="591">
                  <c:v>0.1854590668149991</c:v>
                </c:pt>
                <c:pt idx="592">
                  <c:v>0.16523787710228388</c:v>
                </c:pt>
                <c:pt idx="593">
                  <c:v>0.17204371441659586</c:v>
                </c:pt>
                <c:pt idx="594">
                  <c:v>0.19010535959688504</c:v>
                </c:pt>
                <c:pt idx="595">
                  <c:v>0.19003991885347823</c:v>
                </c:pt>
                <c:pt idx="596">
                  <c:v>0.1704076958314247</c:v>
                </c:pt>
                <c:pt idx="597">
                  <c:v>0.18860022249852762</c:v>
                </c:pt>
                <c:pt idx="598">
                  <c:v>0.18369216674301425</c:v>
                </c:pt>
                <c:pt idx="599">
                  <c:v>0.19494797460899163</c:v>
                </c:pt>
                <c:pt idx="600">
                  <c:v>0.20810156403376742</c:v>
                </c:pt>
                <c:pt idx="601">
                  <c:v>0.21654341993325052</c:v>
                </c:pt>
                <c:pt idx="602">
                  <c:v>0.20450232314639097</c:v>
                </c:pt>
                <c:pt idx="603">
                  <c:v>0.22884627969373736</c:v>
                </c:pt>
                <c:pt idx="604">
                  <c:v>0.22799555002944841</c:v>
                </c:pt>
                <c:pt idx="605">
                  <c:v>0.22956612787121275</c:v>
                </c:pt>
                <c:pt idx="606">
                  <c:v>0.24258883580917484</c:v>
                </c:pt>
                <c:pt idx="607">
                  <c:v>0.24985275832733472</c:v>
                </c:pt>
                <c:pt idx="608">
                  <c:v>0.24795497676853617</c:v>
                </c:pt>
                <c:pt idx="609">
                  <c:v>0.25901446240429304</c:v>
                </c:pt>
                <c:pt idx="610">
                  <c:v>0.26209017734441464</c:v>
                </c:pt>
                <c:pt idx="611">
                  <c:v>0.26654014789608022</c:v>
                </c:pt>
                <c:pt idx="612">
                  <c:v>0.27125188142137296</c:v>
                </c:pt>
                <c:pt idx="613">
                  <c:v>0.26300634775211051</c:v>
                </c:pt>
                <c:pt idx="614">
                  <c:v>0.26313722923892424</c:v>
                </c:pt>
                <c:pt idx="615">
                  <c:v>0.26732543681696225</c:v>
                </c:pt>
                <c:pt idx="616">
                  <c:v>0.26582029971860482</c:v>
                </c:pt>
                <c:pt idx="617">
                  <c:v>0.25790196976637664</c:v>
                </c:pt>
                <c:pt idx="618">
                  <c:v>0.22452719062888565</c:v>
                </c:pt>
                <c:pt idx="619">
                  <c:v>0.22799555002944841</c:v>
                </c:pt>
                <c:pt idx="620">
                  <c:v>0.23172567240363862</c:v>
                </c:pt>
                <c:pt idx="621">
                  <c:v>0.22374190170800348</c:v>
                </c:pt>
                <c:pt idx="622">
                  <c:v>0.2139912309403835</c:v>
                </c:pt>
                <c:pt idx="623">
                  <c:v>0.2152346050651136</c:v>
                </c:pt>
                <c:pt idx="624">
                  <c:v>0.20214645638374459</c:v>
                </c:pt>
                <c:pt idx="625">
                  <c:v>0.20633466396178274</c:v>
                </c:pt>
                <c:pt idx="626">
                  <c:v>0.20031411556835296</c:v>
                </c:pt>
                <c:pt idx="627">
                  <c:v>0.1997251488776913</c:v>
                </c:pt>
                <c:pt idx="628">
                  <c:v>0.19023624108369874</c:v>
                </c:pt>
                <c:pt idx="629">
                  <c:v>0.19422812643151638</c:v>
                </c:pt>
                <c:pt idx="630">
                  <c:v>0.20195013415352409</c:v>
                </c:pt>
                <c:pt idx="631">
                  <c:v>0.20764347882991963</c:v>
                </c:pt>
                <c:pt idx="632">
                  <c:v>0.20443688240298416</c:v>
                </c:pt>
                <c:pt idx="633">
                  <c:v>0.21366402722334926</c:v>
                </c:pt>
                <c:pt idx="634">
                  <c:v>0.19102153000458091</c:v>
                </c:pt>
                <c:pt idx="635">
                  <c:v>0.19010535959688504</c:v>
                </c:pt>
                <c:pt idx="636">
                  <c:v>0.20057587854198025</c:v>
                </c:pt>
                <c:pt idx="637">
                  <c:v>0.25417184739218646</c:v>
                </c:pt>
                <c:pt idx="638">
                  <c:v>0.25050716576140319</c:v>
                </c:pt>
                <c:pt idx="639">
                  <c:v>0.26385707741639952</c:v>
                </c:pt>
                <c:pt idx="640">
                  <c:v>0.25842549571363138</c:v>
                </c:pt>
                <c:pt idx="641">
                  <c:v>0.29755906027092471</c:v>
                </c:pt>
                <c:pt idx="642">
                  <c:v>0.27027027027027029</c:v>
                </c:pt>
                <c:pt idx="643">
                  <c:v>0.2758327334598521</c:v>
                </c:pt>
                <c:pt idx="644">
                  <c:v>0.30613179765722154</c:v>
                </c:pt>
                <c:pt idx="645">
                  <c:v>0.27858124468293965</c:v>
                </c:pt>
                <c:pt idx="646">
                  <c:v>0.29147307113408816</c:v>
                </c:pt>
                <c:pt idx="647">
                  <c:v>0.28715398206923642</c:v>
                </c:pt>
                <c:pt idx="648">
                  <c:v>0.30128918264511495</c:v>
                </c:pt>
                <c:pt idx="649">
                  <c:v>0.30312152346050658</c:v>
                </c:pt>
                <c:pt idx="650">
                  <c:v>0.32805444669851463</c:v>
                </c:pt>
                <c:pt idx="651">
                  <c:v>0.32635298736993656</c:v>
                </c:pt>
                <c:pt idx="652">
                  <c:v>0.30541194947974615</c:v>
                </c:pt>
                <c:pt idx="653">
                  <c:v>0.31535894247758661</c:v>
                </c:pt>
                <c:pt idx="654">
                  <c:v>0.31908906485177685</c:v>
                </c:pt>
                <c:pt idx="655">
                  <c:v>0.33878672861723713</c:v>
                </c:pt>
                <c:pt idx="656">
                  <c:v>0.30724429029513778</c:v>
                </c:pt>
                <c:pt idx="657">
                  <c:v>0.31555526470780715</c:v>
                </c:pt>
                <c:pt idx="658">
                  <c:v>0.30750605326876523</c:v>
                </c:pt>
                <c:pt idx="659">
                  <c:v>0.31522806099077288</c:v>
                </c:pt>
                <c:pt idx="660">
                  <c:v>0.30266343825665859</c:v>
                </c:pt>
                <c:pt idx="661">
                  <c:v>0.30560827170996663</c:v>
                </c:pt>
                <c:pt idx="662">
                  <c:v>0.30024213075060546</c:v>
                </c:pt>
                <c:pt idx="663">
                  <c:v>0.30816046070283365</c:v>
                </c:pt>
                <c:pt idx="664">
                  <c:v>0.30371049015116824</c:v>
                </c:pt>
                <c:pt idx="665">
                  <c:v>0.324062561350697</c:v>
                </c:pt>
                <c:pt idx="666">
                  <c:v>0.33302794319743478</c:v>
                </c:pt>
                <c:pt idx="667">
                  <c:v>0.3452653622145147</c:v>
                </c:pt>
                <c:pt idx="668">
                  <c:v>0.33054119494797474</c:v>
                </c:pt>
                <c:pt idx="669">
                  <c:v>0.33688894705843875</c:v>
                </c:pt>
                <c:pt idx="670">
                  <c:v>0.33309338394084159</c:v>
                </c:pt>
                <c:pt idx="671">
                  <c:v>0.32223022053530537</c:v>
                </c:pt>
                <c:pt idx="672">
                  <c:v>0.32366991689025598</c:v>
                </c:pt>
                <c:pt idx="673">
                  <c:v>0.30423401609842293</c:v>
                </c:pt>
                <c:pt idx="674">
                  <c:v>0.29893331588246858</c:v>
                </c:pt>
                <c:pt idx="675">
                  <c:v>0.28250768928735037</c:v>
                </c:pt>
                <c:pt idx="676">
                  <c:v>0.29389437864014145</c:v>
                </c:pt>
                <c:pt idx="677">
                  <c:v>0.29212747856815663</c:v>
                </c:pt>
                <c:pt idx="678">
                  <c:v>0.28564884497087889</c:v>
                </c:pt>
                <c:pt idx="679">
                  <c:v>0.27197172959884836</c:v>
                </c:pt>
                <c:pt idx="680">
                  <c:v>0.28793927099011846</c:v>
                </c:pt>
                <c:pt idx="681">
                  <c:v>0.2912113081604607</c:v>
                </c:pt>
                <c:pt idx="682">
                  <c:v>0.29998036777697801</c:v>
                </c:pt>
                <c:pt idx="683">
                  <c:v>0.28636869314835428</c:v>
                </c:pt>
                <c:pt idx="684">
                  <c:v>0.29108042667364714</c:v>
                </c:pt>
                <c:pt idx="685">
                  <c:v>0.2760290556900728</c:v>
                </c:pt>
                <c:pt idx="686">
                  <c:v>0.28911720437144178</c:v>
                </c:pt>
                <c:pt idx="687">
                  <c:v>0.28322753746482576</c:v>
                </c:pt>
                <c:pt idx="688">
                  <c:v>0.2760290556900728</c:v>
                </c:pt>
                <c:pt idx="689">
                  <c:v>0.28270401151757085</c:v>
                </c:pt>
                <c:pt idx="690">
                  <c:v>0.28381650415548726</c:v>
                </c:pt>
                <c:pt idx="691">
                  <c:v>0.26883057391531984</c:v>
                </c:pt>
                <c:pt idx="692">
                  <c:v>0.26699823309992804</c:v>
                </c:pt>
                <c:pt idx="693">
                  <c:v>0.25319023624108378</c:v>
                </c:pt>
                <c:pt idx="694">
                  <c:v>0.25979975132517508</c:v>
                </c:pt>
                <c:pt idx="695">
                  <c:v>0.25325567698449059</c:v>
                </c:pt>
                <c:pt idx="696">
                  <c:v>0.25214318434657429</c:v>
                </c:pt>
                <c:pt idx="697">
                  <c:v>0.25508801779988233</c:v>
                </c:pt>
                <c:pt idx="698">
                  <c:v>0.26267914403507631</c:v>
                </c:pt>
                <c:pt idx="699">
                  <c:v>0.26110856619331196</c:v>
                </c:pt>
                <c:pt idx="700">
                  <c:v>0.25345199921471123</c:v>
                </c:pt>
                <c:pt idx="701">
                  <c:v>0.26366075518617899</c:v>
                </c:pt>
                <c:pt idx="702">
                  <c:v>0.26765264053399646</c:v>
                </c:pt>
                <c:pt idx="703">
                  <c:v>0.28375106341208045</c:v>
                </c:pt>
                <c:pt idx="704">
                  <c:v>0.28512531902362415</c:v>
                </c:pt>
                <c:pt idx="705">
                  <c:v>0.28028270401151772</c:v>
                </c:pt>
                <c:pt idx="706">
                  <c:v>0.29625024540278783</c:v>
                </c:pt>
                <c:pt idx="707">
                  <c:v>0.29625024540278783</c:v>
                </c:pt>
                <c:pt idx="708">
                  <c:v>0.28977161180551025</c:v>
                </c:pt>
                <c:pt idx="709">
                  <c:v>0.28407826712911471</c:v>
                </c:pt>
                <c:pt idx="710">
                  <c:v>0.28505987828021739</c:v>
                </c:pt>
                <c:pt idx="711">
                  <c:v>0.28924808585825534</c:v>
                </c:pt>
                <c:pt idx="712">
                  <c:v>0.27328054446698524</c:v>
                </c:pt>
                <c:pt idx="713">
                  <c:v>0.29546495648190563</c:v>
                </c:pt>
                <c:pt idx="714">
                  <c:v>0.27589817420325907</c:v>
                </c:pt>
                <c:pt idx="715">
                  <c:v>0.27347686669720578</c:v>
                </c:pt>
                <c:pt idx="716">
                  <c:v>0.26948498134938825</c:v>
                </c:pt>
                <c:pt idx="717">
                  <c:v>0.270008507296643</c:v>
                </c:pt>
                <c:pt idx="718">
                  <c:v>0.26352987369936526</c:v>
                </c:pt>
                <c:pt idx="719">
                  <c:v>0.25770564753615616</c:v>
                </c:pt>
                <c:pt idx="720">
                  <c:v>0.25652771415483283</c:v>
                </c:pt>
                <c:pt idx="721">
                  <c:v>0.25358288070152479</c:v>
                </c:pt>
                <c:pt idx="722">
                  <c:v>0.24788953602512939</c:v>
                </c:pt>
                <c:pt idx="723">
                  <c:v>0.24350500621687074</c:v>
                </c:pt>
                <c:pt idx="724">
                  <c:v>0.23499770957398086</c:v>
                </c:pt>
                <c:pt idx="725">
                  <c:v>0.2405601727635627</c:v>
                </c:pt>
                <c:pt idx="726">
                  <c:v>0.24245795432236111</c:v>
                </c:pt>
                <c:pt idx="727">
                  <c:v>0.25678947712846023</c:v>
                </c:pt>
                <c:pt idx="728">
                  <c:v>0.25587330672076436</c:v>
                </c:pt>
                <c:pt idx="729">
                  <c:v>0.25548066226032334</c:v>
                </c:pt>
                <c:pt idx="730">
                  <c:v>0.26719455533014869</c:v>
                </c:pt>
                <c:pt idx="731">
                  <c:v>0.27871212616975338</c:v>
                </c:pt>
                <c:pt idx="732">
                  <c:v>0.27413127413127419</c:v>
                </c:pt>
                <c:pt idx="733">
                  <c:v>0.26582029971860482</c:v>
                </c:pt>
                <c:pt idx="734">
                  <c:v>0.26025783652902301</c:v>
                </c:pt>
                <c:pt idx="735">
                  <c:v>0.25914534389110661</c:v>
                </c:pt>
                <c:pt idx="736">
                  <c:v>0.26248282180485583</c:v>
                </c:pt>
                <c:pt idx="737">
                  <c:v>0.25462993259603439</c:v>
                </c:pt>
                <c:pt idx="738">
                  <c:v>0.25279759178064276</c:v>
                </c:pt>
                <c:pt idx="739">
                  <c:v>0.25279759178064276</c:v>
                </c:pt>
                <c:pt idx="740">
                  <c:v>0.26640926640926649</c:v>
                </c:pt>
                <c:pt idx="741">
                  <c:v>0.2664747071526733</c:v>
                </c:pt>
                <c:pt idx="742">
                  <c:v>0.27517832602578368</c:v>
                </c:pt>
                <c:pt idx="743">
                  <c:v>0.25724756233230822</c:v>
                </c:pt>
                <c:pt idx="744">
                  <c:v>0.25528434003010286</c:v>
                </c:pt>
                <c:pt idx="745">
                  <c:v>0.24442117662456647</c:v>
                </c:pt>
                <c:pt idx="746">
                  <c:v>0.22524703880636088</c:v>
                </c:pt>
                <c:pt idx="747">
                  <c:v>0.22341469799096925</c:v>
                </c:pt>
                <c:pt idx="748">
                  <c:v>0.20293174530462676</c:v>
                </c:pt>
                <c:pt idx="749">
                  <c:v>0.19926706367384334</c:v>
                </c:pt>
                <c:pt idx="750">
                  <c:v>0.19501341535239841</c:v>
                </c:pt>
                <c:pt idx="751">
                  <c:v>0.1931156337936</c:v>
                </c:pt>
                <c:pt idx="752">
                  <c:v>0.21438387540082465</c:v>
                </c:pt>
                <c:pt idx="753">
                  <c:v>0.22158235717557762</c:v>
                </c:pt>
                <c:pt idx="754">
                  <c:v>0.22923892415417851</c:v>
                </c:pt>
                <c:pt idx="755">
                  <c:v>0.22649041293109101</c:v>
                </c:pt>
                <c:pt idx="756">
                  <c:v>0.25979975132517508</c:v>
                </c:pt>
                <c:pt idx="757">
                  <c:v>0.26065048098946419</c:v>
                </c:pt>
                <c:pt idx="758">
                  <c:v>0.2818532818532819</c:v>
                </c:pt>
                <c:pt idx="759">
                  <c:v>0.28996793403573073</c:v>
                </c:pt>
                <c:pt idx="760">
                  <c:v>0.29454878607420992</c:v>
                </c:pt>
                <c:pt idx="761">
                  <c:v>0.293632615666514</c:v>
                </c:pt>
                <c:pt idx="762">
                  <c:v>0.29932596034290959</c:v>
                </c:pt>
                <c:pt idx="763">
                  <c:v>0.30089653818467393</c:v>
                </c:pt>
                <c:pt idx="764">
                  <c:v>0.31247954976768538</c:v>
                </c:pt>
                <c:pt idx="765">
                  <c:v>0.30508474576271194</c:v>
                </c:pt>
                <c:pt idx="766">
                  <c:v>0.30063477521104648</c:v>
                </c:pt>
                <c:pt idx="767">
                  <c:v>0.3045612198154572</c:v>
                </c:pt>
                <c:pt idx="768">
                  <c:v>0.3013546233885217</c:v>
                </c:pt>
                <c:pt idx="769">
                  <c:v>0.29147307113408816</c:v>
                </c:pt>
                <c:pt idx="770">
                  <c:v>0.28119887441921343</c:v>
                </c:pt>
                <c:pt idx="771">
                  <c:v>0.28905176362803486</c:v>
                </c:pt>
                <c:pt idx="772">
                  <c:v>0.27622537792029328</c:v>
                </c:pt>
                <c:pt idx="773">
                  <c:v>0.28689221909560902</c:v>
                </c:pt>
                <c:pt idx="774">
                  <c:v>0.28545252274065835</c:v>
                </c:pt>
                <c:pt idx="775">
                  <c:v>0.30050389372423275</c:v>
                </c:pt>
                <c:pt idx="776">
                  <c:v>0.29592304168575362</c:v>
                </c:pt>
                <c:pt idx="777">
                  <c:v>0.30986192003141155</c:v>
                </c:pt>
                <c:pt idx="778">
                  <c:v>0.30410313461160926</c:v>
                </c:pt>
                <c:pt idx="779">
                  <c:v>0.31692952031935095</c:v>
                </c:pt>
                <c:pt idx="780">
                  <c:v>0.33499116549964014</c:v>
                </c:pt>
                <c:pt idx="781">
                  <c:v>0.34644329559583803</c:v>
                </c:pt>
                <c:pt idx="782">
                  <c:v>0.33996466199856035</c:v>
                </c:pt>
                <c:pt idx="783">
                  <c:v>0.3303448727177542</c:v>
                </c:pt>
                <c:pt idx="784">
                  <c:v>0.32641842811334348</c:v>
                </c:pt>
                <c:pt idx="785">
                  <c:v>0.33394411360513071</c:v>
                </c:pt>
                <c:pt idx="786">
                  <c:v>0.33296250245402803</c:v>
                </c:pt>
                <c:pt idx="787">
                  <c:v>0.29854067142202739</c:v>
                </c:pt>
                <c:pt idx="788">
                  <c:v>0.2982789084484001</c:v>
                </c:pt>
                <c:pt idx="789">
                  <c:v>0.3010274196714875</c:v>
                </c:pt>
                <c:pt idx="790">
                  <c:v>0.33185000981611162</c:v>
                </c:pt>
                <c:pt idx="791">
                  <c:v>0.32903605784961731</c:v>
                </c:pt>
                <c:pt idx="792">
                  <c:v>0.33669262482821805</c:v>
                </c:pt>
                <c:pt idx="793">
                  <c:v>0.33374779137491006</c:v>
                </c:pt>
                <c:pt idx="794">
                  <c:v>0.33616909888096336</c:v>
                </c:pt>
                <c:pt idx="795">
                  <c:v>0.34834107715463664</c:v>
                </c:pt>
                <c:pt idx="796">
                  <c:v>0.36339244813821098</c:v>
                </c:pt>
                <c:pt idx="797">
                  <c:v>0.36345788888161779</c:v>
                </c:pt>
                <c:pt idx="798">
                  <c:v>0.35684837379752649</c:v>
                </c:pt>
                <c:pt idx="799">
                  <c:v>0.33682350631503177</c:v>
                </c:pt>
                <c:pt idx="800">
                  <c:v>0.34153523984032469</c:v>
                </c:pt>
                <c:pt idx="801">
                  <c:v>0.33073751717819522</c:v>
                </c:pt>
                <c:pt idx="802">
                  <c:v>0.33041031346116101</c:v>
                </c:pt>
                <c:pt idx="803">
                  <c:v>0.32700739480400504</c:v>
                </c:pt>
                <c:pt idx="804">
                  <c:v>0.32137949087101642</c:v>
                </c:pt>
                <c:pt idx="805">
                  <c:v>0.32857797264576938</c:v>
                </c:pt>
                <c:pt idx="806">
                  <c:v>0.31306851645834705</c:v>
                </c:pt>
                <c:pt idx="807">
                  <c:v>0.32295006871278059</c:v>
                </c:pt>
                <c:pt idx="808">
                  <c:v>0.32334271317322177</c:v>
                </c:pt>
                <c:pt idx="809">
                  <c:v>0.32569857993586809</c:v>
                </c:pt>
                <c:pt idx="810">
                  <c:v>0.31928538708199733</c:v>
                </c:pt>
                <c:pt idx="811">
                  <c:v>0.32046332046332049</c:v>
                </c:pt>
                <c:pt idx="812">
                  <c:v>0.3254368169622408</c:v>
                </c:pt>
                <c:pt idx="813">
                  <c:v>0.33571101367711537</c:v>
                </c:pt>
                <c:pt idx="814">
                  <c:v>0.34637785485243128</c:v>
                </c:pt>
                <c:pt idx="815">
                  <c:v>0.34886460310189121</c:v>
                </c:pt>
                <c:pt idx="816">
                  <c:v>0.3303448727177542</c:v>
                </c:pt>
                <c:pt idx="817">
                  <c:v>0.33597277665074282</c:v>
                </c:pt>
                <c:pt idx="818">
                  <c:v>0.33616909888096336</c:v>
                </c:pt>
                <c:pt idx="819">
                  <c:v>0.33374779137491006</c:v>
                </c:pt>
                <c:pt idx="820">
                  <c:v>0.32412800209410392</c:v>
                </c:pt>
                <c:pt idx="821">
                  <c:v>0.3073097310385447</c:v>
                </c:pt>
                <c:pt idx="822">
                  <c:v>0.30534650873633934</c:v>
                </c:pt>
                <c:pt idx="823">
                  <c:v>0.31228322753746485</c:v>
                </c:pt>
                <c:pt idx="824">
                  <c:v>0.32844709115895565</c:v>
                </c:pt>
                <c:pt idx="825">
                  <c:v>0.32484785027157914</c:v>
                </c:pt>
                <c:pt idx="826">
                  <c:v>0.32242654276552585</c:v>
                </c:pt>
                <c:pt idx="827">
                  <c:v>0.32785812446829399</c:v>
                </c:pt>
                <c:pt idx="828">
                  <c:v>0.33132648386885688</c:v>
                </c:pt>
                <c:pt idx="829">
                  <c:v>0.33675806557162502</c:v>
                </c:pt>
                <c:pt idx="830">
                  <c:v>0.34461095478044629</c:v>
                </c:pt>
                <c:pt idx="831">
                  <c:v>0.3914665270597476</c:v>
                </c:pt>
                <c:pt idx="832">
                  <c:v>0.40167528303121536</c:v>
                </c:pt>
                <c:pt idx="833">
                  <c:v>0.41234212420653094</c:v>
                </c:pt>
                <c:pt idx="834">
                  <c:v>0.41692297624501012</c:v>
                </c:pt>
                <c:pt idx="835">
                  <c:v>0.43223611020221192</c:v>
                </c:pt>
                <c:pt idx="836">
                  <c:v>0.41751194293567179</c:v>
                </c:pt>
                <c:pt idx="837">
                  <c:v>0.42713173221647821</c:v>
                </c:pt>
                <c:pt idx="838">
                  <c:v>0.41842811334336766</c:v>
                </c:pt>
                <c:pt idx="839">
                  <c:v>0.41633400955434874</c:v>
                </c:pt>
                <c:pt idx="840">
                  <c:v>0.41332373535763361</c:v>
                </c:pt>
                <c:pt idx="841">
                  <c:v>0.41417446502192273</c:v>
                </c:pt>
                <c:pt idx="842">
                  <c:v>0.4296839212093449</c:v>
                </c:pt>
                <c:pt idx="843">
                  <c:v>0.42425233950657693</c:v>
                </c:pt>
                <c:pt idx="844">
                  <c:v>0.4247758654538315</c:v>
                </c:pt>
                <c:pt idx="845">
                  <c:v>0.44061252535828821</c:v>
                </c:pt>
                <c:pt idx="846">
                  <c:v>0.46973365617433427</c:v>
                </c:pt>
                <c:pt idx="847">
                  <c:v>0.48570119756560454</c:v>
                </c:pt>
                <c:pt idx="848">
                  <c:v>0.50729664288986343</c:v>
                </c:pt>
                <c:pt idx="849">
                  <c:v>0.50310843531182525</c:v>
                </c:pt>
                <c:pt idx="850">
                  <c:v>0.53065898828610703</c:v>
                </c:pt>
                <c:pt idx="851">
                  <c:v>0.538250114521301</c:v>
                </c:pt>
                <c:pt idx="852">
                  <c:v>0.52908841044434263</c:v>
                </c:pt>
                <c:pt idx="853">
                  <c:v>0.54492507034879933</c:v>
                </c:pt>
                <c:pt idx="854">
                  <c:v>0.55153458543289069</c:v>
                </c:pt>
                <c:pt idx="855">
                  <c:v>0.56763300831097452</c:v>
                </c:pt>
                <c:pt idx="856">
                  <c:v>0.55500294483345325</c:v>
                </c:pt>
                <c:pt idx="857">
                  <c:v>0.56128525620051062</c:v>
                </c:pt>
                <c:pt idx="858">
                  <c:v>0.5277795955762058</c:v>
                </c:pt>
                <c:pt idx="859">
                  <c:v>0.5247038806360842</c:v>
                </c:pt>
                <c:pt idx="860">
                  <c:v>0.52215169164321718</c:v>
                </c:pt>
                <c:pt idx="861">
                  <c:v>0.52496564360971165</c:v>
                </c:pt>
                <c:pt idx="862">
                  <c:v>0.54289640730318689</c:v>
                </c:pt>
                <c:pt idx="863">
                  <c:v>0.50703487991623597</c:v>
                </c:pt>
                <c:pt idx="864">
                  <c:v>0.51233558013219038</c:v>
                </c:pt>
                <c:pt idx="865">
                  <c:v>0.51141940972449451</c:v>
                </c:pt>
                <c:pt idx="866">
                  <c:v>0.52555461030037298</c:v>
                </c:pt>
                <c:pt idx="867">
                  <c:v>0.52097375826189385</c:v>
                </c:pt>
                <c:pt idx="868">
                  <c:v>0.51973038413716399</c:v>
                </c:pt>
                <c:pt idx="869">
                  <c:v>0.53150971795039614</c:v>
                </c:pt>
                <c:pt idx="870">
                  <c:v>0.5332766180223808</c:v>
                </c:pt>
                <c:pt idx="871">
                  <c:v>0.54433610365813767</c:v>
                </c:pt>
                <c:pt idx="872">
                  <c:v>0.56724036385053345</c:v>
                </c:pt>
                <c:pt idx="873">
                  <c:v>0.56108893397029003</c:v>
                </c:pt>
                <c:pt idx="874">
                  <c:v>0.59577252797591795</c:v>
                </c:pt>
                <c:pt idx="875">
                  <c:v>0.58752699430665545</c:v>
                </c:pt>
                <c:pt idx="876">
                  <c:v>0.56593154898239661</c:v>
                </c:pt>
                <c:pt idx="877">
                  <c:v>0.5294810549047837</c:v>
                </c:pt>
                <c:pt idx="878">
                  <c:v>0.54211111838230497</c:v>
                </c:pt>
                <c:pt idx="879">
                  <c:v>0.53209868464105747</c:v>
                </c:pt>
                <c:pt idx="880">
                  <c:v>0.54093318500098153</c:v>
                </c:pt>
                <c:pt idx="881">
                  <c:v>0.54276552581637338</c:v>
                </c:pt>
                <c:pt idx="882">
                  <c:v>0.52849944375368096</c:v>
                </c:pt>
                <c:pt idx="883">
                  <c:v>0.54675741116419085</c:v>
                </c:pt>
                <c:pt idx="884">
                  <c:v>0.55676984490543824</c:v>
                </c:pt>
                <c:pt idx="885">
                  <c:v>0.51501865061187102</c:v>
                </c:pt>
                <c:pt idx="886">
                  <c:v>0.5146914468948367</c:v>
                </c:pt>
                <c:pt idx="887">
                  <c:v>0.53308029579216021</c:v>
                </c:pt>
                <c:pt idx="888">
                  <c:v>0.50899810221844133</c:v>
                </c:pt>
                <c:pt idx="889">
                  <c:v>0.51619658399319435</c:v>
                </c:pt>
                <c:pt idx="890">
                  <c:v>0.52791047706301963</c:v>
                </c:pt>
                <c:pt idx="891">
                  <c:v>0.54243832209933918</c:v>
                </c:pt>
                <c:pt idx="892">
                  <c:v>0.52633989922125535</c:v>
                </c:pt>
                <c:pt idx="893">
                  <c:v>0.51717819514429697</c:v>
                </c:pt>
                <c:pt idx="894">
                  <c:v>0.50579150579150589</c:v>
                </c:pt>
                <c:pt idx="895">
                  <c:v>0.52908841044434263</c:v>
                </c:pt>
                <c:pt idx="896">
                  <c:v>0.53059354754270027</c:v>
                </c:pt>
                <c:pt idx="897">
                  <c:v>0.52699430665532376</c:v>
                </c:pt>
                <c:pt idx="898">
                  <c:v>0.55055297428178795</c:v>
                </c:pt>
                <c:pt idx="899">
                  <c:v>0.5466919704207841</c:v>
                </c:pt>
                <c:pt idx="900">
                  <c:v>0.54957136313068533</c:v>
                </c:pt>
                <c:pt idx="901">
                  <c:v>0.55729337085269282</c:v>
                </c:pt>
                <c:pt idx="902">
                  <c:v>0.58490936457038167</c:v>
                </c:pt>
                <c:pt idx="903">
                  <c:v>0.58949021660886081</c:v>
                </c:pt>
                <c:pt idx="904">
                  <c:v>0.6149466657941236</c:v>
                </c:pt>
                <c:pt idx="905">
                  <c:v>0.60977684706498281</c:v>
                </c:pt>
                <c:pt idx="906">
                  <c:v>0.60748642104574324</c:v>
                </c:pt>
                <c:pt idx="907">
                  <c:v>0.56710948236371961</c:v>
                </c:pt>
                <c:pt idx="908">
                  <c:v>0.57535501603298234</c:v>
                </c:pt>
                <c:pt idx="909">
                  <c:v>0.58085203847915712</c:v>
                </c:pt>
                <c:pt idx="910">
                  <c:v>0.54014789608009961</c:v>
                </c:pt>
                <c:pt idx="911">
                  <c:v>0.55604999672796307</c:v>
                </c:pt>
                <c:pt idx="912">
                  <c:v>0.5820954126038872</c:v>
                </c:pt>
                <c:pt idx="913">
                  <c:v>0.59577252797591795</c:v>
                </c:pt>
                <c:pt idx="914">
                  <c:v>0.60061514298802454</c:v>
                </c:pt>
                <c:pt idx="915">
                  <c:v>0.57829984948629043</c:v>
                </c:pt>
                <c:pt idx="916">
                  <c:v>0.56985799358680733</c:v>
                </c:pt>
                <c:pt idx="917">
                  <c:v>0.5705778417642825</c:v>
                </c:pt>
                <c:pt idx="918">
                  <c:v>0.59040638701655668</c:v>
                </c:pt>
                <c:pt idx="919">
                  <c:v>0.6163209214056673</c:v>
                </c:pt>
                <c:pt idx="920">
                  <c:v>0.61893855114194107</c:v>
                </c:pt>
                <c:pt idx="921">
                  <c:v>0.6008114652182448</c:v>
                </c:pt>
                <c:pt idx="922">
                  <c:v>0.60892611740069369</c:v>
                </c:pt>
                <c:pt idx="923">
                  <c:v>0.64046855572279326</c:v>
                </c:pt>
                <c:pt idx="924">
                  <c:v>0.6465545448596296</c:v>
                </c:pt>
                <c:pt idx="925">
                  <c:v>0.64439500032720398</c:v>
                </c:pt>
                <c:pt idx="926">
                  <c:v>0.62430469210130235</c:v>
                </c:pt>
                <c:pt idx="927">
                  <c:v>0.64923761533931024</c:v>
                </c:pt>
                <c:pt idx="928">
                  <c:v>0.64760159675413909</c:v>
                </c:pt>
                <c:pt idx="929">
                  <c:v>0.63772004449970554</c:v>
                </c:pt>
                <c:pt idx="930">
                  <c:v>0.66003533800143965</c:v>
                </c:pt>
                <c:pt idx="931">
                  <c:v>0.63582226294090693</c:v>
                </c:pt>
                <c:pt idx="932">
                  <c:v>0.63778548524311229</c:v>
                </c:pt>
                <c:pt idx="933">
                  <c:v>0.64891041162227603</c:v>
                </c:pt>
                <c:pt idx="934">
                  <c:v>0.6421045743079643</c:v>
                </c:pt>
                <c:pt idx="935">
                  <c:v>0.64877953013546241</c:v>
                </c:pt>
                <c:pt idx="936">
                  <c:v>0.6484523264184282</c:v>
                </c:pt>
                <c:pt idx="937">
                  <c:v>0.67338524965643609</c:v>
                </c:pt>
                <c:pt idx="938">
                  <c:v>0.6917740985537596</c:v>
                </c:pt>
                <c:pt idx="939">
                  <c:v>0.68110725737844402</c:v>
                </c:pt>
                <c:pt idx="940">
                  <c:v>0.68503370198285474</c:v>
                </c:pt>
                <c:pt idx="941">
                  <c:v>0.69550422092794995</c:v>
                </c:pt>
                <c:pt idx="942">
                  <c:v>0.72017538119233038</c:v>
                </c:pt>
                <c:pt idx="943">
                  <c:v>0.7361429225836007</c:v>
                </c:pt>
                <c:pt idx="944">
                  <c:v>0.74118185982592766</c:v>
                </c:pt>
                <c:pt idx="945">
                  <c:v>0.74752961193639178</c:v>
                </c:pt>
                <c:pt idx="946">
                  <c:v>0.73280544466985165</c:v>
                </c:pt>
                <c:pt idx="947">
                  <c:v>0.75283031215234619</c:v>
                </c:pt>
                <c:pt idx="948">
                  <c:v>0.73948040049734964</c:v>
                </c:pt>
                <c:pt idx="949">
                  <c:v>0.74556638963418642</c:v>
                </c:pt>
                <c:pt idx="950">
                  <c:v>0.73679733001766912</c:v>
                </c:pt>
                <c:pt idx="951">
                  <c:v>0.71683790327858132</c:v>
                </c:pt>
                <c:pt idx="952">
                  <c:v>0.71068647339833779</c:v>
                </c:pt>
                <c:pt idx="953">
                  <c:v>0.71939009227144834</c:v>
                </c:pt>
                <c:pt idx="954">
                  <c:v>0.73660100778744841</c:v>
                </c:pt>
                <c:pt idx="955">
                  <c:v>0.74530462666055897</c:v>
                </c:pt>
                <c:pt idx="956">
                  <c:v>0.75335383809960099</c:v>
                </c:pt>
                <c:pt idx="957">
                  <c:v>0.76395523853150982</c:v>
                </c:pt>
                <c:pt idx="958">
                  <c:v>0.78443819121785241</c:v>
                </c:pt>
                <c:pt idx="959">
                  <c:v>0.79791898435966246</c:v>
                </c:pt>
                <c:pt idx="960">
                  <c:v>0.77809043910738829</c:v>
                </c:pt>
                <c:pt idx="961">
                  <c:v>0.79078594332831631</c:v>
                </c:pt>
                <c:pt idx="962">
                  <c:v>0.79543223611020231</c:v>
                </c:pt>
                <c:pt idx="963">
                  <c:v>0.81192330344872743</c:v>
                </c:pt>
                <c:pt idx="964">
                  <c:v>0.83286434133891785</c:v>
                </c:pt>
                <c:pt idx="965">
                  <c:v>0.79916235848439265</c:v>
                </c:pt>
                <c:pt idx="966">
                  <c:v>0.79713369543878021</c:v>
                </c:pt>
                <c:pt idx="967">
                  <c:v>0.79942412145801978</c:v>
                </c:pt>
                <c:pt idx="968">
                  <c:v>0.75139061579739563</c:v>
                </c:pt>
                <c:pt idx="969">
                  <c:v>0.77069563510241501</c:v>
                </c:pt>
                <c:pt idx="970">
                  <c:v>0.71304234016098422</c:v>
                </c:pt>
                <c:pt idx="971">
                  <c:v>0.70558209541260408</c:v>
                </c:pt>
                <c:pt idx="972">
                  <c:v>0.6926248282180486</c:v>
                </c:pt>
                <c:pt idx="973">
                  <c:v>0.68372488711471779</c:v>
                </c:pt>
                <c:pt idx="974">
                  <c:v>0.71101367711537211</c:v>
                </c:pt>
                <c:pt idx="975">
                  <c:v>0.72174595903409478</c:v>
                </c:pt>
                <c:pt idx="976">
                  <c:v>0.73529219291931158</c:v>
                </c:pt>
                <c:pt idx="977">
                  <c:v>0.75047444538969976</c:v>
                </c:pt>
                <c:pt idx="978">
                  <c:v>0.71356586610823913</c:v>
                </c:pt>
                <c:pt idx="979">
                  <c:v>0.71539820692363087</c:v>
                </c:pt>
                <c:pt idx="980">
                  <c:v>0.73568483737975288</c:v>
                </c:pt>
                <c:pt idx="981">
                  <c:v>0.73188927426215578</c:v>
                </c:pt>
                <c:pt idx="982">
                  <c:v>0.7380407041423992</c:v>
                </c:pt>
                <c:pt idx="983">
                  <c:v>0.74353772658857431</c:v>
                </c:pt>
                <c:pt idx="984">
                  <c:v>0.72508343694784372</c:v>
                </c:pt>
                <c:pt idx="985">
                  <c:v>0.74942739349519027</c:v>
                </c:pt>
                <c:pt idx="986">
                  <c:v>0.77056475361560117</c:v>
                </c:pt>
                <c:pt idx="987">
                  <c:v>0.79405798049865861</c:v>
                </c:pt>
                <c:pt idx="988">
                  <c:v>0.76369347555788236</c:v>
                </c:pt>
                <c:pt idx="989">
                  <c:v>0.73876055231987448</c:v>
                </c:pt>
                <c:pt idx="990">
                  <c:v>0.73391793730776789</c:v>
                </c:pt>
                <c:pt idx="991">
                  <c:v>0.72815915188796565</c:v>
                </c:pt>
                <c:pt idx="992">
                  <c:v>0.69884169884169889</c:v>
                </c:pt>
                <c:pt idx="993">
                  <c:v>0.71160264380603377</c:v>
                </c:pt>
                <c:pt idx="994">
                  <c:v>0.72783194817093144</c:v>
                </c:pt>
                <c:pt idx="995">
                  <c:v>0.71330410313461168</c:v>
                </c:pt>
                <c:pt idx="996">
                  <c:v>0.74661344152869591</c:v>
                </c:pt>
                <c:pt idx="997">
                  <c:v>0.73247824095281744</c:v>
                </c:pt>
                <c:pt idx="998">
                  <c:v>0.74425757476604948</c:v>
                </c:pt>
                <c:pt idx="999">
                  <c:v>0.74883842680452861</c:v>
                </c:pt>
                <c:pt idx="1000">
                  <c:v>0.76087952359138822</c:v>
                </c:pt>
                <c:pt idx="1001">
                  <c:v>0.75289575289575295</c:v>
                </c:pt>
                <c:pt idx="1002">
                  <c:v>0.75531706040180635</c:v>
                </c:pt>
                <c:pt idx="1003">
                  <c:v>0.77854852431123645</c:v>
                </c:pt>
                <c:pt idx="1004">
                  <c:v>0.80020941037890203</c:v>
                </c:pt>
                <c:pt idx="1005">
                  <c:v>0.82291734834107721</c:v>
                </c:pt>
                <c:pt idx="1006">
                  <c:v>0.83063935606308503</c:v>
                </c:pt>
                <c:pt idx="1007">
                  <c:v>0.81814017407237771</c:v>
                </c:pt>
                <c:pt idx="1008">
                  <c:v>0.80119102153000477</c:v>
                </c:pt>
                <c:pt idx="1009">
                  <c:v>0.81990707414436237</c:v>
                </c:pt>
                <c:pt idx="1010">
                  <c:v>0.82023427786139658</c:v>
                </c:pt>
                <c:pt idx="1011">
                  <c:v>0.86192003141155682</c:v>
                </c:pt>
                <c:pt idx="1012">
                  <c:v>0.8697074798769715</c:v>
                </c:pt>
                <c:pt idx="1013">
                  <c:v>0.8819448988940517</c:v>
                </c:pt>
                <c:pt idx="1014">
                  <c:v>0.89320070676002894</c:v>
                </c:pt>
                <c:pt idx="1015">
                  <c:v>0.88253386558471303</c:v>
                </c:pt>
                <c:pt idx="1016">
                  <c:v>0.92029317453046289</c:v>
                </c:pt>
                <c:pt idx="1017">
                  <c:v>0.91911524114913956</c:v>
                </c:pt>
                <c:pt idx="1018">
                  <c:v>0.91656305215627254</c:v>
                </c:pt>
                <c:pt idx="1019">
                  <c:v>0.92749165630521579</c:v>
                </c:pt>
                <c:pt idx="1020">
                  <c:v>0.92984752306786211</c:v>
                </c:pt>
                <c:pt idx="1021">
                  <c:v>0.92140566716837913</c:v>
                </c:pt>
                <c:pt idx="1022">
                  <c:v>0.93449381584974811</c:v>
                </c:pt>
                <c:pt idx="1023">
                  <c:v>0.93030560827170994</c:v>
                </c:pt>
                <c:pt idx="1024">
                  <c:v>0.90170800340291879</c:v>
                </c:pt>
                <c:pt idx="1025">
                  <c:v>0.90943001112492661</c:v>
                </c:pt>
                <c:pt idx="1026">
                  <c:v>0.89509848831882743</c:v>
                </c:pt>
                <c:pt idx="1027">
                  <c:v>0.89850140697598335</c:v>
                </c:pt>
                <c:pt idx="1028">
                  <c:v>0.91126235194031813</c:v>
                </c:pt>
                <c:pt idx="1029">
                  <c:v>0.91479615208428777</c:v>
                </c:pt>
                <c:pt idx="1030">
                  <c:v>0.91518879654472884</c:v>
                </c:pt>
                <c:pt idx="1031">
                  <c:v>0.897388914338067</c:v>
                </c:pt>
                <c:pt idx="1032">
                  <c:v>0.91145867417053872</c:v>
                </c:pt>
                <c:pt idx="1033">
                  <c:v>0.92840782671291167</c:v>
                </c:pt>
                <c:pt idx="1034">
                  <c:v>0.95752895752895772</c:v>
                </c:pt>
                <c:pt idx="1035">
                  <c:v>0.98553759570708732</c:v>
                </c:pt>
                <c:pt idx="1036">
                  <c:v>1.0083109744126695</c:v>
                </c:pt>
                <c:pt idx="1037">
                  <c:v>1.008441855899483</c:v>
                </c:pt>
                <c:pt idx="1038">
                  <c:v>1.0098815522544338</c:v>
                </c:pt>
                <c:pt idx="1039">
                  <c:v>0.99201622930436506</c:v>
                </c:pt>
                <c:pt idx="1040">
                  <c:v>0.98913683659446372</c:v>
                </c:pt>
                <c:pt idx="1041">
                  <c:v>0.98763169949610652</c:v>
                </c:pt>
                <c:pt idx="1042">
                  <c:v>1.012826385707742</c:v>
                </c:pt>
                <c:pt idx="1043">
                  <c:v>1.0615797395458415</c:v>
                </c:pt>
                <c:pt idx="1044">
                  <c:v>1.058765787579347</c:v>
                </c:pt>
                <c:pt idx="1045">
                  <c:v>1.0719848177475295</c:v>
                </c:pt>
                <c:pt idx="1046">
                  <c:v>1.0428636869314836</c:v>
                </c:pt>
                <c:pt idx="1047">
                  <c:v>0.94594594594594605</c:v>
                </c:pt>
                <c:pt idx="1048">
                  <c:v>0.95680910935148222</c:v>
                </c:pt>
                <c:pt idx="1049">
                  <c:v>1.0151822524703882</c:v>
                </c:pt>
                <c:pt idx="1050">
                  <c:v>1.0793796217525031</c:v>
                </c:pt>
                <c:pt idx="1051">
                  <c:v>1.1113147045350438</c:v>
                </c:pt>
                <c:pt idx="1052">
                  <c:v>1.1205418493554089</c:v>
                </c:pt>
                <c:pt idx="1053">
                  <c:v>1.1899090373666648</c:v>
                </c:pt>
                <c:pt idx="1054">
                  <c:v>1.2415417839146656</c:v>
                </c:pt>
                <c:pt idx="1055">
                  <c:v>1.2376807800536616</c:v>
                </c:pt>
                <c:pt idx="1056">
                  <c:v>1.1556835285648845</c:v>
                </c:pt>
                <c:pt idx="1057">
                  <c:v>1.1913487337216151</c:v>
                </c:pt>
                <c:pt idx="1058">
                  <c:v>1.1811399777501475</c:v>
                </c:pt>
                <c:pt idx="1059">
                  <c:v>1.1815326222105884</c:v>
                </c:pt>
                <c:pt idx="1060">
                  <c:v>1.1720437144165958</c:v>
                </c:pt>
                <c:pt idx="1061">
                  <c:v>1.1086316340553628</c:v>
                </c:pt>
                <c:pt idx="1062">
                  <c:v>1.174137818205615</c:v>
                </c:pt>
                <c:pt idx="1063">
                  <c:v>1.2399057653294945</c:v>
                </c:pt>
                <c:pt idx="1064">
                  <c:v>1.2196845756167791</c:v>
                </c:pt>
                <c:pt idx="1065">
                  <c:v>1.1634709770302991</c:v>
                </c:pt>
                <c:pt idx="1066">
                  <c:v>1.11242719717296</c:v>
                </c:pt>
                <c:pt idx="1067">
                  <c:v>1.1253844643675155</c:v>
                </c:pt>
                <c:pt idx="1068">
                  <c:v>1.0864472220404426</c:v>
                </c:pt>
                <c:pt idx="1069">
                  <c:v>1.1115110267652641</c:v>
                </c:pt>
                <c:pt idx="1070">
                  <c:v>1.1342844054708463</c:v>
                </c:pt>
                <c:pt idx="1071">
                  <c:v>1.167790066095151</c:v>
                </c:pt>
                <c:pt idx="1072">
                  <c:v>1.1869642039133566</c:v>
                </c:pt>
                <c:pt idx="1073">
                  <c:v>1.1749885478699038</c:v>
                </c:pt>
                <c:pt idx="1074">
                  <c:v>1.2055297428178786</c:v>
                </c:pt>
                <c:pt idx="1075">
                  <c:v>1.1685099142726261</c:v>
                </c:pt>
                <c:pt idx="1076">
                  <c:v>1.1649761141286568</c:v>
                </c:pt>
                <c:pt idx="1077">
                  <c:v>1.1882730187814936</c:v>
                </c:pt>
                <c:pt idx="1078">
                  <c:v>1.2231529350173418</c:v>
                </c:pt>
                <c:pt idx="1079">
                  <c:v>1.2099993455925659</c:v>
                </c:pt>
                <c:pt idx="1080">
                  <c:v>1.2244617498854786</c:v>
                </c:pt>
                <c:pt idx="1081">
                  <c:v>1.2086905307244291</c:v>
                </c:pt>
                <c:pt idx="1082">
                  <c:v>1.1954715005562464</c:v>
                </c:pt>
                <c:pt idx="1083">
                  <c:v>1.1879458150644593</c:v>
                </c:pt>
                <c:pt idx="1084">
                  <c:v>1.1881421372946797</c:v>
                </c:pt>
                <c:pt idx="1085">
                  <c:v>1.226555853674498</c:v>
                </c:pt>
                <c:pt idx="1086">
                  <c:v>1.2363065244421179</c:v>
                </c:pt>
                <c:pt idx="1087">
                  <c:v>1.229500687127806</c:v>
                </c:pt>
                <c:pt idx="1088">
                  <c:v>1.2302859760486879</c:v>
                </c:pt>
                <c:pt idx="1089">
                  <c:v>1.2122897716118055</c:v>
                </c:pt>
                <c:pt idx="1090">
                  <c:v>1.1726326811072576</c:v>
                </c:pt>
                <c:pt idx="1091">
                  <c:v>1.1785223480138736</c:v>
                </c:pt>
                <c:pt idx="1092">
                  <c:v>1.181728944440809</c:v>
                </c:pt>
                <c:pt idx="1093">
                  <c:v>1.1645834696682154</c:v>
                </c:pt>
                <c:pt idx="1094">
                  <c:v>1.1921340226424975</c:v>
                </c:pt>
                <c:pt idx="1095">
                  <c:v>1.198612656239775</c:v>
                </c:pt>
                <c:pt idx="1096">
                  <c:v>1.1876186113474252</c:v>
                </c:pt>
                <c:pt idx="1097">
                  <c:v>1.1875531706040183</c:v>
                </c:pt>
                <c:pt idx="1098">
                  <c:v>1.1706040180616453</c:v>
                </c:pt>
                <c:pt idx="1099">
                  <c:v>1.173287088541326</c:v>
                </c:pt>
                <c:pt idx="1100">
                  <c:v>1.1763628034814475</c:v>
                </c:pt>
                <c:pt idx="1101">
                  <c:v>1.1982200117793338</c:v>
                </c:pt>
                <c:pt idx="1102">
                  <c:v>1.1835612852562005</c:v>
                </c:pt>
                <c:pt idx="1103">
                  <c:v>1.1982200117793338</c:v>
                </c:pt>
                <c:pt idx="1104">
                  <c:v>1.1891891891891895</c:v>
                </c:pt>
                <c:pt idx="1105">
                  <c:v>1.2661475034356393</c:v>
                </c:pt>
                <c:pt idx="1106">
                  <c:v>1.291603952620902</c:v>
                </c:pt>
                <c:pt idx="1107">
                  <c:v>1.2610431254499053</c:v>
                </c:pt>
                <c:pt idx="1108">
                  <c:v>1.2453373470322624</c:v>
                </c:pt>
                <c:pt idx="1109">
                  <c:v>1.1948825338655849</c:v>
                </c:pt>
                <c:pt idx="1110">
                  <c:v>1.2042405601727637</c:v>
                </c:pt>
                <c:pt idx="1111">
                  <c:v>1.1940972449447029</c:v>
                </c:pt>
                <c:pt idx="1112">
                  <c:v>1.1913487337216151</c:v>
                </c:pt>
                <c:pt idx="1113">
                  <c:v>1.2422616320921407</c:v>
                </c:pt>
                <c:pt idx="1114">
                  <c:v>1.2476932137949088</c:v>
                </c:pt>
                <c:pt idx="1115">
                  <c:v>1.2468424841306198</c:v>
                </c:pt>
                <c:pt idx="1116">
                  <c:v>1.2601269550422094</c:v>
                </c:pt>
                <c:pt idx="1117">
                  <c:v>1.2280609907728552</c:v>
                </c:pt>
                <c:pt idx="1118">
                  <c:v>1.2243308683986651</c:v>
                </c:pt>
                <c:pt idx="1119">
                  <c:v>1.2304168575355019</c:v>
                </c:pt>
                <c:pt idx="1120">
                  <c:v>1.2139912309403835</c:v>
                </c:pt>
                <c:pt idx="1121">
                  <c:v>1.2105883122832277</c:v>
                </c:pt>
                <c:pt idx="1122">
                  <c:v>1.1979582488057063</c:v>
                </c:pt>
                <c:pt idx="1123">
                  <c:v>1.2174595903409464</c:v>
                </c:pt>
                <c:pt idx="1124">
                  <c:v>1.2129441790458739</c:v>
                </c:pt>
                <c:pt idx="1125">
                  <c:v>1.228191872259669</c:v>
                </c:pt>
                <c:pt idx="1126">
                  <c:v>1.2381388652575094</c:v>
                </c:pt>
                <c:pt idx="1127">
                  <c:v>1.2483476212289772</c:v>
                </c:pt>
                <c:pt idx="1128">
                  <c:v>1.2736077481840196</c:v>
                </c:pt>
                <c:pt idx="1129">
                  <c:v>1.2982789084484001</c:v>
                </c:pt>
                <c:pt idx="1130">
                  <c:v>1.3507623846606898</c:v>
                </c:pt>
                <c:pt idx="1131">
                  <c:v>1.3790982265558538</c:v>
                </c:pt>
                <c:pt idx="1132">
                  <c:v>1.3602512924546823</c:v>
                </c:pt>
                <c:pt idx="1133">
                  <c:v>1.4065178980433219</c:v>
                </c:pt>
                <c:pt idx="1134">
                  <c:v>1.4096590537268503</c:v>
                </c:pt>
                <c:pt idx="1135">
                  <c:v>1.4095281722400368</c:v>
                </c:pt>
                <c:pt idx="1136">
                  <c:v>1.4040311497938618</c:v>
                </c:pt>
                <c:pt idx="1137">
                  <c:v>1.4337412473005695</c:v>
                </c:pt>
                <c:pt idx="1138">
                  <c:v>1.4377331326483869</c:v>
                </c:pt>
                <c:pt idx="1139">
                  <c:v>1.4329559583796874</c:v>
                </c:pt>
                <c:pt idx="1140">
                  <c:v>1.4071068647339837</c:v>
                </c:pt>
                <c:pt idx="1141">
                  <c:v>1.4616190039918855</c:v>
                </c:pt>
                <c:pt idx="1142">
                  <c:v>1.4879261828414374</c:v>
                </c:pt>
                <c:pt idx="1143">
                  <c:v>1.4562528630325242</c:v>
                </c:pt>
                <c:pt idx="1144">
                  <c:v>1.4582815260781363</c:v>
                </c:pt>
                <c:pt idx="1145">
                  <c:v>1.5228715398206925</c:v>
                </c:pt>
                <c:pt idx="1146">
                  <c:v>1.5346508736339246</c:v>
                </c:pt>
                <c:pt idx="1147">
                  <c:v>1.5505529742817881</c:v>
                </c:pt>
                <c:pt idx="1148">
                  <c:v>1.5313133957201754</c:v>
                </c:pt>
                <c:pt idx="1149">
                  <c:v>1.6021202800863821</c:v>
                </c:pt>
                <c:pt idx="1150">
                  <c:v>1.6205091289837055</c:v>
                </c:pt>
                <c:pt idx="1151">
                  <c:v>1.66376546037563</c:v>
                </c:pt>
                <c:pt idx="1152">
                  <c:v>1.5996989725803286</c:v>
                </c:pt>
                <c:pt idx="1153">
                  <c:v>1.7046659250049083</c:v>
                </c:pt>
                <c:pt idx="1154">
                  <c:v>1.7245599110005889</c:v>
                </c:pt>
                <c:pt idx="1155">
                  <c:v>1.7495582749820042</c:v>
                </c:pt>
                <c:pt idx="1156">
                  <c:v>1.8169622406910546</c:v>
                </c:pt>
                <c:pt idx="1157">
                  <c:v>1.8528237680780053</c:v>
                </c:pt>
                <c:pt idx="1158">
                  <c:v>1.6890255873306725</c:v>
                </c:pt>
                <c:pt idx="1159">
                  <c:v>1.6604279824618811</c:v>
                </c:pt>
                <c:pt idx="1160">
                  <c:v>1.7129114586741709</c:v>
                </c:pt>
                <c:pt idx="1161">
                  <c:v>1.6212289771611808</c:v>
                </c:pt>
                <c:pt idx="1162">
                  <c:v>1.5971467835874615</c:v>
                </c:pt>
                <c:pt idx="1163">
                  <c:v>1.6085989136836596</c:v>
                </c:pt>
                <c:pt idx="1164">
                  <c:v>1.6280348144754926</c:v>
                </c:pt>
                <c:pt idx="1165">
                  <c:v>1.6267914403507626</c:v>
                </c:pt>
                <c:pt idx="1166">
                  <c:v>1.5917806426281005</c:v>
                </c:pt>
                <c:pt idx="1167">
                  <c:v>1.6129834434919184</c:v>
                </c:pt>
                <c:pt idx="1168">
                  <c:v>1.6117400693671882</c:v>
                </c:pt>
                <c:pt idx="1169">
                  <c:v>1.6974674432301553</c:v>
                </c:pt>
                <c:pt idx="1170">
                  <c:v>1.6937373208559652</c:v>
                </c:pt>
                <c:pt idx="1171">
                  <c:v>1.7574111641908257</c:v>
                </c:pt>
                <c:pt idx="1172">
                  <c:v>1.744911982200118</c:v>
                </c:pt>
                <c:pt idx="1173">
                  <c:v>1.6894836725345204</c:v>
                </c:pt>
                <c:pt idx="1174">
                  <c:v>1.6841829723185655</c:v>
                </c:pt>
                <c:pt idx="1175">
                  <c:v>1.6949806949806949</c:v>
                </c:pt>
                <c:pt idx="1176">
                  <c:v>1.6802565277141548</c:v>
                </c:pt>
                <c:pt idx="1177">
                  <c:v>1.6916432170669462</c:v>
                </c:pt>
                <c:pt idx="1178">
                  <c:v>1.7222040442379429</c:v>
                </c:pt>
                <c:pt idx="1179">
                  <c:v>1.750016360185852</c:v>
                </c:pt>
                <c:pt idx="1180">
                  <c:v>1.7974608991558148</c:v>
                </c:pt>
                <c:pt idx="1181">
                  <c:v>1.7621228977161183</c:v>
                </c:pt>
                <c:pt idx="1182">
                  <c:v>1.7697794646947191</c:v>
                </c:pt>
                <c:pt idx="1183">
                  <c:v>1.7766507427524378</c:v>
                </c:pt>
                <c:pt idx="1184">
                  <c:v>1.760094234670506</c:v>
                </c:pt>
                <c:pt idx="1185">
                  <c:v>1.7722007722007722</c:v>
                </c:pt>
                <c:pt idx="1186">
                  <c:v>1.7646750867089851</c:v>
                </c:pt>
                <c:pt idx="1187">
                  <c:v>1.8224592631372294</c:v>
                </c:pt>
                <c:pt idx="1188">
                  <c:v>1.8369871081735489</c:v>
                </c:pt>
                <c:pt idx="1189">
                  <c:v>1.8350893266147505</c:v>
                </c:pt>
                <c:pt idx="1190">
                  <c:v>1.8623126758719979</c:v>
                </c:pt>
                <c:pt idx="1191">
                  <c:v>1.8561612459917547</c:v>
                </c:pt>
                <c:pt idx="1192">
                  <c:v>1.9248085858255348</c:v>
                </c:pt>
                <c:pt idx="1193">
                  <c:v>1.9485635756822197</c:v>
                </c:pt>
                <c:pt idx="1194">
                  <c:v>1.9628296577449122</c:v>
                </c:pt>
                <c:pt idx="1195">
                  <c:v>1.8316209672141877</c:v>
                </c:pt>
                <c:pt idx="1196">
                  <c:v>1.870427328054447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6E-4DD5-9CC7-BF3B704B7913}"/>
            </c:ext>
          </c:extLst>
        </c:ser>
        <c:ser>
          <c:idx val="1"/>
          <c:order val="1"/>
          <c:tx>
            <c:strRef>
              <c:f>Analysis!$G$1</c:f>
              <c:strCache>
                <c:ptCount val="1"/>
                <c:pt idx="0">
                  <c:v>Cum Return Silver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Analysis!$A$2:$A$1328</c:f>
              <c:strCache>
                <c:ptCount val="1197"/>
                <c:pt idx="0">
                  <c:v>02.01.2020</c:v>
                </c:pt>
                <c:pt idx="1">
                  <c:v>06.01.2020</c:v>
                </c:pt>
                <c:pt idx="2">
                  <c:v>07.01.2020</c:v>
                </c:pt>
                <c:pt idx="3">
                  <c:v>08.01.2020</c:v>
                </c:pt>
                <c:pt idx="4">
                  <c:v>09.01.2020</c:v>
                </c:pt>
                <c:pt idx="5">
                  <c:v>13.01.2020</c:v>
                </c:pt>
                <c:pt idx="6">
                  <c:v>14.01.2020</c:v>
                </c:pt>
                <c:pt idx="7">
                  <c:v>15.01.2020</c:v>
                </c:pt>
                <c:pt idx="8">
                  <c:v>16.01.2020</c:v>
                </c:pt>
                <c:pt idx="9">
                  <c:v>21.01.2020</c:v>
                </c:pt>
                <c:pt idx="10">
                  <c:v>22.01.2020</c:v>
                </c:pt>
                <c:pt idx="11">
                  <c:v>23.01.2020</c:v>
                </c:pt>
                <c:pt idx="12">
                  <c:v>27.01.2020</c:v>
                </c:pt>
                <c:pt idx="13">
                  <c:v>28.01.2020</c:v>
                </c:pt>
                <c:pt idx="14">
                  <c:v>29.01.2020</c:v>
                </c:pt>
                <c:pt idx="15">
                  <c:v>30.01.2020</c:v>
                </c:pt>
                <c:pt idx="16">
                  <c:v>03.02.2020</c:v>
                </c:pt>
                <c:pt idx="17">
                  <c:v>04.02.2020</c:v>
                </c:pt>
                <c:pt idx="18">
                  <c:v>05.02.2020</c:v>
                </c:pt>
                <c:pt idx="19">
                  <c:v>06.02.2020</c:v>
                </c:pt>
                <c:pt idx="20">
                  <c:v>10.02.2020</c:v>
                </c:pt>
                <c:pt idx="21">
                  <c:v>11.02.2020</c:v>
                </c:pt>
                <c:pt idx="22">
                  <c:v>12.02.2020</c:v>
                </c:pt>
                <c:pt idx="23">
                  <c:v>13.02.2020</c:v>
                </c:pt>
                <c:pt idx="24">
                  <c:v>18.02.2020</c:v>
                </c:pt>
                <c:pt idx="25">
                  <c:v>19.02.2020</c:v>
                </c:pt>
                <c:pt idx="26">
                  <c:v>20.02.2020</c:v>
                </c:pt>
                <c:pt idx="27">
                  <c:v>24.02.2020</c:v>
                </c:pt>
                <c:pt idx="28">
                  <c:v>25.02.2020</c:v>
                </c:pt>
                <c:pt idx="29">
                  <c:v>26.02.2020</c:v>
                </c:pt>
                <c:pt idx="30">
                  <c:v>27.02.2020</c:v>
                </c:pt>
                <c:pt idx="31">
                  <c:v>02.03.2020</c:v>
                </c:pt>
                <c:pt idx="32">
                  <c:v>03.03.2020</c:v>
                </c:pt>
                <c:pt idx="33">
                  <c:v>04.03.2020</c:v>
                </c:pt>
                <c:pt idx="34">
                  <c:v>05.03.2020</c:v>
                </c:pt>
                <c:pt idx="35">
                  <c:v>09.03.2020</c:v>
                </c:pt>
                <c:pt idx="36">
                  <c:v>10.03.2020</c:v>
                </c:pt>
                <c:pt idx="37">
                  <c:v>11.03.2020</c:v>
                </c:pt>
                <c:pt idx="38">
                  <c:v>12.03.2020</c:v>
                </c:pt>
                <c:pt idx="39">
                  <c:v>16.03.2020</c:v>
                </c:pt>
                <c:pt idx="40">
                  <c:v>17.03.2020</c:v>
                </c:pt>
                <c:pt idx="41">
                  <c:v>18.03.2020</c:v>
                </c:pt>
                <c:pt idx="42">
                  <c:v>19.03.2020</c:v>
                </c:pt>
                <c:pt idx="43">
                  <c:v>23.03.2020</c:v>
                </c:pt>
                <c:pt idx="44">
                  <c:v>24.03.2020</c:v>
                </c:pt>
                <c:pt idx="45">
                  <c:v>25.03.2020</c:v>
                </c:pt>
                <c:pt idx="46">
                  <c:v>26.03.2020</c:v>
                </c:pt>
                <c:pt idx="47">
                  <c:v>30.03.2020</c:v>
                </c:pt>
                <c:pt idx="48">
                  <c:v>31.03.2020</c:v>
                </c:pt>
                <c:pt idx="49">
                  <c:v>01.04.2020</c:v>
                </c:pt>
                <c:pt idx="50">
                  <c:v>02.04.2020</c:v>
                </c:pt>
                <c:pt idx="51">
                  <c:v>06.04.2020</c:v>
                </c:pt>
                <c:pt idx="52">
                  <c:v>07.04.2020</c:v>
                </c:pt>
                <c:pt idx="53">
                  <c:v>08.04.2020</c:v>
                </c:pt>
                <c:pt idx="54">
                  <c:v>13.04.2020</c:v>
                </c:pt>
                <c:pt idx="55">
                  <c:v>14.04.2020</c:v>
                </c:pt>
                <c:pt idx="56">
                  <c:v>15.04.2020</c:v>
                </c:pt>
                <c:pt idx="57">
                  <c:v>16.04.2020</c:v>
                </c:pt>
                <c:pt idx="58">
                  <c:v>20.04.2020</c:v>
                </c:pt>
                <c:pt idx="59">
                  <c:v>21.04.2020</c:v>
                </c:pt>
                <c:pt idx="60">
                  <c:v>22.04.2020</c:v>
                </c:pt>
                <c:pt idx="61">
                  <c:v>23.04.2020</c:v>
                </c:pt>
                <c:pt idx="62">
                  <c:v>27.04.2020</c:v>
                </c:pt>
                <c:pt idx="63">
                  <c:v>28.04.2020</c:v>
                </c:pt>
                <c:pt idx="64">
                  <c:v>29.04.2020</c:v>
                </c:pt>
                <c:pt idx="65">
                  <c:v>30.04.2020</c:v>
                </c:pt>
                <c:pt idx="66">
                  <c:v>04.05.2020</c:v>
                </c:pt>
                <c:pt idx="67">
                  <c:v>05.05.2020</c:v>
                </c:pt>
                <c:pt idx="68">
                  <c:v>06.05.2020</c:v>
                </c:pt>
                <c:pt idx="69">
                  <c:v>07.05.2020</c:v>
                </c:pt>
                <c:pt idx="70">
                  <c:v>11.05.2020</c:v>
                </c:pt>
                <c:pt idx="71">
                  <c:v>12.05.2020</c:v>
                </c:pt>
                <c:pt idx="72">
                  <c:v>13.05.2020</c:v>
                </c:pt>
                <c:pt idx="73">
                  <c:v>14.05.2020</c:v>
                </c:pt>
                <c:pt idx="74">
                  <c:v>18.05.2020</c:v>
                </c:pt>
                <c:pt idx="75">
                  <c:v>19.05.2020</c:v>
                </c:pt>
                <c:pt idx="76">
                  <c:v>20.05.2020</c:v>
                </c:pt>
                <c:pt idx="77">
                  <c:v>21.05.2020</c:v>
                </c:pt>
                <c:pt idx="78">
                  <c:v>26.05.2020</c:v>
                </c:pt>
                <c:pt idx="79">
                  <c:v>27.05.2020</c:v>
                </c:pt>
                <c:pt idx="80">
                  <c:v>28.05.2020</c:v>
                </c:pt>
                <c:pt idx="81">
                  <c:v>01.06.2020</c:v>
                </c:pt>
                <c:pt idx="82">
                  <c:v>02.06.2020</c:v>
                </c:pt>
                <c:pt idx="83">
                  <c:v>03.06.2020</c:v>
                </c:pt>
                <c:pt idx="84">
                  <c:v>04.06.2020</c:v>
                </c:pt>
                <c:pt idx="85">
                  <c:v>08.06.2020</c:v>
                </c:pt>
                <c:pt idx="86">
                  <c:v>09.06.2020</c:v>
                </c:pt>
                <c:pt idx="87">
                  <c:v>10.06.2020</c:v>
                </c:pt>
                <c:pt idx="88">
                  <c:v>11.06.2020</c:v>
                </c:pt>
                <c:pt idx="89">
                  <c:v>15.06.2020</c:v>
                </c:pt>
                <c:pt idx="90">
                  <c:v>16.06.2020</c:v>
                </c:pt>
                <c:pt idx="91">
                  <c:v>17.06.2020</c:v>
                </c:pt>
                <c:pt idx="92">
                  <c:v>18.06.2020</c:v>
                </c:pt>
                <c:pt idx="93">
                  <c:v>22.06.2020</c:v>
                </c:pt>
                <c:pt idx="94">
                  <c:v>23.06.2020</c:v>
                </c:pt>
                <c:pt idx="95">
                  <c:v>24.06.2020</c:v>
                </c:pt>
                <c:pt idx="96">
                  <c:v>25.06.2020</c:v>
                </c:pt>
                <c:pt idx="97">
                  <c:v>29.06.2020</c:v>
                </c:pt>
                <c:pt idx="98">
                  <c:v>30.06.2020</c:v>
                </c:pt>
                <c:pt idx="99">
                  <c:v>01.07.2020</c:v>
                </c:pt>
                <c:pt idx="100">
                  <c:v>02.07.2020</c:v>
                </c:pt>
                <c:pt idx="101">
                  <c:v>06.07.2020</c:v>
                </c:pt>
                <c:pt idx="102">
                  <c:v>07.07.2020</c:v>
                </c:pt>
                <c:pt idx="103">
                  <c:v>08.07.2020</c:v>
                </c:pt>
                <c:pt idx="104">
                  <c:v>09.07.2020</c:v>
                </c:pt>
                <c:pt idx="105">
                  <c:v>13.07.2020</c:v>
                </c:pt>
                <c:pt idx="106">
                  <c:v>14.07.2020</c:v>
                </c:pt>
                <c:pt idx="107">
                  <c:v>15.07.2020</c:v>
                </c:pt>
                <c:pt idx="108">
                  <c:v>16.07.2020</c:v>
                </c:pt>
                <c:pt idx="109">
                  <c:v>20.07.2020</c:v>
                </c:pt>
                <c:pt idx="110">
                  <c:v>21.07.2020</c:v>
                </c:pt>
                <c:pt idx="111">
                  <c:v>22.07.2020</c:v>
                </c:pt>
                <c:pt idx="112">
                  <c:v>23.07.2020</c:v>
                </c:pt>
                <c:pt idx="113">
                  <c:v>27.07.2020</c:v>
                </c:pt>
                <c:pt idx="114">
                  <c:v>28.07.2020</c:v>
                </c:pt>
                <c:pt idx="115">
                  <c:v>29.07.2020</c:v>
                </c:pt>
                <c:pt idx="116">
                  <c:v>30.07.2020</c:v>
                </c:pt>
                <c:pt idx="117">
                  <c:v>03.08.2020</c:v>
                </c:pt>
                <c:pt idx="118">
                  <c:v>04.08.2020</c:v>
                </c:pt>
                <c:pt idx="119">
                  <c:v>05.08.2020</c:v>
                </c:pt>
                <c:pt idx="120">
                  <c:v>06.08.2020</c:v>
                </c:pt>
                <c:pt idx="121">
                  <c:v>10.08.2020</c:v>
                </c:pt>
                <c:pt idx="122">
                  <c:v>11.08.2020</c:v>
                </c:pt>
                <c:pt idx="123">
                  <c:v>12.08.2020</c:v>
                </c:pt>
                <c:pt idx="124">
                  <c:v>13.08.2020</c:v>
                </c:pt>
                <c:pt idx="125">
                  <c:v>17.08.2020</c:v>
                </c:pt>
                <c:pt idx="126">
                  <c:v>18.08.2020</c:v>
                </c:pt>
                <c:pt idx="127">
                  <c:v>19.08.2020</c:v>
                </c:pt>
                <c:pt idx="128">
                  <c:v>20.08.2020</c:v>
                </c:pt>
                <c:pt idx="129">
                  <c:v>24.08.2020</c:v>
                </c:pt>
                <c:pt idx="130">
                  <c:v>25.08.2020</c:v>
                </c:pt>
                <c:pt idx="131">
                  <c:v>26.08.2020</c:v>
                </c:pt>
                <c:pt idx="132">
                  <c:v>27.08.2020</c:v>
                </c:pt>
                <c:pt idx="133">
                  <c:v>31.08.2020</c:v>
                </c:pt>
                <c:pt idx="134">
                  <c:v>01.09.2020</c:v>
                </c:pt>
                <c:pt idx="135">
                  <c:v>02.09.2020</c:v>
                </c:pt>
                <c:pt idx="136">
                  <c:v>03.09.2020</c:v>
                </c:pt>
                <c:pt idx="137">
                  <c:v>08.09.2020</c:v>
                </c:pt>
                <c:pt idx="138">
                  <c:v>09.09.2020</c:v>
                </c:pt>
                <c:pt idx="139">
                  <c:v>10.09.2020</c:v>
                </c:pt>
                <c:pt idx="140">
                  <c:v>14.09.2020</c:v>
                </c:pt>
                <c:pt idx="141">
                  <c:v>15.09.2020</c:v>
                </c:pt>
                <c:pt idx="142">
                  <c:v>16.09.2020</c:v>
                </c:pt>
                <c:pt idx="143">
                  <c:v>17.09.2020</c:v>
                </c:pt>
                <c:pt idx="144">
                  <c:v>21.09.2020</c:v>
                </c:pt>
                <c:pt idx="145">
                  <c:v>22.09.2020</c:v>
                </c:pt>
                <c:pt idx="146">
                  <c:v>23.09.2020</c:v>
                </c:pt>
                <c:pt idx="147">
                  <c:v>24.09.2020</c:v>
                </c:pt>
                <c:pt idx="148">
                  <c:v>28.09.2020</c:v>
                </c:pt>
                <c:pt idx="149">
                  <c:v>29.09.2020</c:v>
                </c:pt>
                <c:pt idx="150">
                  <c:v>30.09.2020</c:v>
                </c:pt>
                <c:pt idx="151">
                  <c:v>01.10.2020</c:v>
                </c:pt>
                <c:pt idx="152">
                  <c:v>05.10.2020</c:v>
                </c:pt>
                <c:pt idx="153">
                  <c:v>06.10.2020</c:v>
                </c:pt>
                <c:pt idx="154">
                  <c:v>07.10.2020</c:v>
                </c:pt>
                <c:pt idx="155">
                  <c:v>08.10.2020</c:v>
                </c:pt>
                <c:pt idx="156">
                  <c:v>12.10.2020</c:v>
                </c:pt>
                <c:pt idx="157">
                  <c:v>13.10.2020</c:v>
                </c:pt>
                <c:pt idx="158">
                  <c:v>14.10.2020</c:v>
                </c:pt>
                <c:pt idx="159">
                  <c:v>15.10.2020</c:v>
                </c:pt>
                <c:pt idx="160">
                  <c:v>19.10.2020</c:v>
                </c:pt>
                <c:pt idx="161">
                  <c:v>20.10.2020</c:v>
                </c:pt>
                <c:pt idx="162">
                  <c:v>21.10.2020</c:v>
                </c:pt>
                <c:pt idx="163">
                  <c:v>22.10.2020</c:v>
                </c:pt>
                <c:pt idx="164">
                  <c:v>26.10.2020</c:v>
                </c:pt>
                <c:pt idx="165">
                  <c:v>27.10.2020</c:v>
                </c:pt>
                <c:pt idx="166">
                  <c:v>28.10.2020</c:v>
                </c:pt>
                <c:pt idx="167">
                  <c:v>29.10.2020</c:v>
                </c:pt>
                <c:pt idx="168">
                  <c:v>02.11.2020</c:v>
                </c:pt>
                <c:pt idx="169">
                  <c:v>03.11.2020</c:v>
                </c:pt>
                <c:pt idx="170">
                  <c:v>04.11.2020</c:v>
                </c:pt>
                <c:pt idx="171">
                  <c:v>05.11.2020</c:v>
                </c:pt>
                <c:pt idx="172">
                  <c:v>09.11.2020</c:v>
                </c:pt>
                <c:pt idx="173">
                  <c:v>10.11.2020</c:v>
                </c:pt>
                <c:pt idx="174">
                  <c:v>11.11.2020</c:v>
                </c:pt>
                <c:pt idx="175">
                  <c:v>12.11.2020</c:v>
                </c:pt>
                <c:pt idx="176">
                  <c:v>16.11.2020</c:v>
                </c:pt>
                <c:pt idx="177">
                  <c:v>17.11.2020</c:v>
                </c:pt>
                <c:pt idx="178">
                  <c:v>18.11.2020</c:v>
                </c:pt>
                <c:pt idx="179">
                  <c:v>19.11.2020</c:v>
                </c:pt>
                <c:pt idx="180">
                  <c:v>23.11.2020</c:v>
                </c:pt>
                <c:pt idx="181">
                  <c:v>24.11.2020</c:v>
                </c:pt>
                <c:pt idx="182">
                  <c:v>25.11.2020</c:v>
                </c:pt>
                <c:pt idx="183">
                  <c:v>30.11.2020</c:v>
                </c:pt>
                <c:pt idx="184">
                  <c:v>01.12.2020</c:v>
                </c:pt>
                <c:pt idx="185">
                  <c:v>02.12.2020</c:v>
                </c:pt>
                <c:pt idx="186">
                  <c:v>03.12.2020</c:v>
                </c:pt>
                <c:pt idx="187">
                  <c:v>07.12.2020</c:v>
                </c:pt>
                <c:pt idx="188">
                  <c:v>08.12.2020</c:v>
                </c:pt>
                <c:pt idx="189">
                  <c:v>09.12.2020</c:v>
                </c:pt>
                <c:pt idx="190">
                  <c:v>10.12.2020</c:v>
                </c:pt>
                <c:pt idx="191">
                  <c:v>14.12.2020</c:v>
                </c:pt>
                <c:pt idx="192">
                  <c:v>15.12.2020</c:v>
                </c:pt>
                <c:pt idx="193">
                  <c:v>16.12.2020</c:v>
                </c:pt>
                <c:pt idx="194">
                  <c:v>17.12.2020</c:v>
                </c:pt>
                <c:pt idx="195">
                  <c:v>21.12.2020</c:v>
                </c:pt>
                <c:pt idx="196">
                  <c:v>22.12.2020</c:v>
                </c:pt>
                <c:pt idx="197">
                  <c:v>23.12.2020</c:v>
                </c:pt>
                <c:pt idx="198">
                  <c:v>28.12.2020</c:v>
                </c:pt>
                <c:pt idx="199">
                  <c:v>29.12.2020</c:v>
                </c:pt>
                <c:pt idx="200">
                  <c:v>30.12.2020</c:v>
                </c:pt>
                <c:pt idx="201">
                  <c:v>04.01.2021</c:v>
                </c:pt>
                <c:pt idx="202">
                  <c:v>05.01.2021</c:v>
                </c:pt>
                <c:pt idx="203">
                  <c:v>06.01.2021</c:v>
                </c:pt>
                <c:pt idx="204">
                  <c:v>07.01.2021</c:v>
                </c:pt>
                <c:pt idx="205">
                  <c:v>11.01.2021</c:v>
                </c:pt>
                <c:pt idx="206">
                  <c:v>12.01.2021</c:v>
                </c:pt>
                <c:pt idx="207">
                  <c:v>13.01.2021</c:v>
                </c:pt>
                <c:pt idx="208">
                  <c:v>14.01.2021</c:v>
                </c:pt>
                <c:pt idx="209">
                  <c:v>19.01.2021</c:v>
                </c:pt>
                <c:pt idx="210">
                  <c:v>20.01.2021</c:v>
                </c:pt>
                <c:pt idx="211">
                  <c:v>21.01.2021</c:v>
                </c:pt>
                <c:pt idx="212">
                  <c:v>25.01.2021</c:v>
                </c:pt>
                <c:pt idx="213">
                  <c:v>26.01.2021</c:v>
                </c:pt>
                <c:pt idx="214">
                  <c:v>27.01.2021</c:v>
                </c:pt>
                <c:pt idx="215">
                  <c:v>28.01.2021</c:v>
                </c:pt>
                <c:pt idx="216">
                  <c:v>01.02.2021</c:v>
                </c:pt>
                <c:pt idx="217">
                  <c:v>02.02.2021</c:v>
                </c:pt>
                <c:pt idx="218">
                  <c:v>03.02.2021</c:v>
                </c:pt>
                <c:pt idx="219">
                  <c:v>04.02.2021</c:v>
                </c:pt>
                <c:pt idx="220">
                  <c:v>08.02.2021</c:v>
                </c:pt>
                <c:pt idx="221">
                  <c:v>09.02.2021</c:v>
                </c:pt>
                <c:pt idx="222">
                  <c:v>10.02.2021</c:v>
                </c:pt>
                <c:pt idx="223">
                  <c:v>11.02.2021</c:v>
                </c:pt>
                <c:pt idx="224">
                  <c:v>16.02.2021</c:v>
                </c:pt>
                <c:pt idx="225">
                  <c:v>17.02.2021</c:v>
                </c:pt>
                <c:pt idx="226">
                  <c:v>18.02.2021</c:v>
                </c:pt>
                <c:pt idx="227">
                  <c:v>22.02.2021</c:v>
                </c:pt>
                <c:pt idx="228">
                  <c:v>23.02.2021</c:v>
                </c:pt>
                <c:pt idx="229">
                  <c:v>24.02.2021</c:v>
                </c:pt>
                <c:pt idx="230">
                  <c:v>25.02.2021</c:v>
                </c:pt>
                <c:pt idx="231">
                  <c:v>01.03.2021</c:v>
                </c:pt>
                <c:pt idx="232">
                  <c:v>02.03.2021</c:v>
                </c:pt>
                <c:pt idx="233">
                  <c:v>03.03.2021</c:v>
                </c:pt>
                <c:pt idx="234">
                  <c:v>04.03.2021</c:v>
                </c:pt>
                <c:pt idx="235">
                  <c:v>08.03.2021</c:v>
                </c:pt>
                <c:pt idx="236">
                  <c:v>09.03.2021</c:v>
                </c:pt>
                <c:pt idx="237">
                  <c:v>10.03.2021</c:v>
                </c:pt>
                <c:pt idx="238">
                  <c:v>11.03.2021</c:v>
                </c:pt>
                <c:pt idx="239">
                  <c:v>15.03.2021</c:v>
                </c:pt>
                <c:pt idx="240">
                  <c:v>16.03.2021</c:v>
                </c:pt>
                <c:pt idx="241">
                  <c:v>17.03.2021</c:v>
                </c:pt>
                <c:pt idx="242">
                  <c:v>18.03.2021</c:v>
                </c:pt>
                <c:pt idx="243">
                  <c:v>22.03.2021</c:v>
                </c:pt>
                <c:pt idx="244">
                  <c:v>23.03.2021</c:v>
                </c:pt>
                <c:pt idx="245">
                  <c:v>24.03.2021</c:v>
                </c:pt>
                <c:pt idx="246">
                  <c:v>25.03.2021</c:v>
                </c:pt>
                <c:pt idx="247">
                  <c:v>29.03.2021</c:v>
                </c:pt>
                <c:pt idx="248">
                  <c:v>30.03.2021</c:v>
                </c:pt>
                <c:pt idx="249">
                  <c:v>31.03.2021</c:v>
                </c:pt>
                <c:pt idx="250">
                  <c:v>05.04.2021</c:v>
                </c:pt>
                <c:pt idx="251">
                  <c:v>06.04.2021</c:v>
                </c:pt>
                <c:pt idx="252">
                  <c:v>07.04.2021</c:v>
                </c:pt>
                <c:pt idx="253">
                  <c:v>08.04.2021</c:v>
                </c:pt>
                <c:pt idx="254">
                  <c:v>12.04.2021</c:v>
                </c:pt>
                <c:pt idx="255">
                  <c:v>13.04.2021</c:v>
                </c:pt>
                <c:pt idx="256">
                  <c:v>14.04.2021</c:v>
                </c:pt>
                <c:pt idx="257">
                  <c:v>15.04.2021</c:v>
                </c:pt>
                <c:pt idx="258">
                  <c:v>19.04.2021</c:v>
                </c:pt>
                <c:pt idx="259">
                  <c:v>20.04.2021</c:v>
                </c:pt>
                <c:pt idx="260">
                  <c:v>21.04.2021</c:v>
                </c:pt>
                <c:pt idx="261">
                  <c:v>22.04.2021</c:v>
                </c:pt>
                <c:pt idx="262">
                  <c:v>26.04.2021</c:v>
                </c:pt>
                <c:pt idx="263">
                  <c:v>27.04.2021</c:v>
                </c:pt>
                <c:pt idx="264">
                  <c:v>28.04.2021</c:v>
                </c:pt>
                <c:pt idx="265">
                  <c:v>29.04.2021</c:v>
                </c:pt>
                <c:pt idx="266">
                  <c:v>03.05.2021</c:v>
                </c:pt>
                <c:pt idx="267">
                  <c:v>04.05.2021</c:v>
                </c:pt>
                <c:pt idx="268">
                  <c:v>05.05.2021</c:v>
                </c:pt>
                <c:pt idx="269">
                  <c:v>06.05.2021</c:v>
                </c:pt>
                <c:pt idx="270">
                  <c:v>10.05.2021</c:v>
                </c:pt>
                <c:pt idx="271">
                  <c:v>11.05.2021</c:v>
                </c:pt>
                <c:pt idx="272">
                  <c:v>12.05.2021</c:v>
                </c:pt>
                <c:pt idx="273">
                  <c:v>13.05.2021</c:v>
                </c:pt>
                <c:pt idx="274">
                  <c:v>17.05.2021</c:v>
                </c:pt>
                <c:pt idx="275">
                  <c:v>18.05.2021</c:v>
                </c:pt>
                <c:pt idx="276">
                  <c:v>19.05.2021</c:v>
                </c:pt>
                <c:pt idx="277">
                  <c:v>20.05.2021</c:v>
                </c:pt>
                <c:pt idx="278">
                  <c:v>24.05.2021</c:v>
                </c:pt>
                <c:pt idx="279">
                  <c:v>25.05.2021</c:v>
                </c:pt>
                <c:pt idx="280">
                  <c:v>26.05.2021</c:v>
                </c:pt>
                <c:pt idx="281">
                  <c:v>27.05.2021</c:v>
                </c:pt>
                <c:pt idx="282">
                  <c:v>01.06.2021</c:v>
                </c:pt>
                <c:pt idx="283">
                  <c:v>02.06.2021</c:v>
                </c:pt>
                <c:pt idx="284">
                  <c:v>03.06.2021</c:v>
                </c:pt>
                <c:pt idx="285">
                  <c:v>07.06.2021</c:v>
                </c:pt>
                <c:pt idx="286">
                  <c:v>08.06.2021</c:v>
                </c:pt>
                <c:pt idx="287">
                  <c:v>09.06.2021</c:v>
                </c:pt>
                <c:pt idx="288">
                  <c:v>10.06.2021</c:v>
                </c:pt>
                <c:pt idx="289">
                  <c:v>14.06.2021</c:v>
                </c:pt>
                <c:pt idx="290">
                  <c:v>15.06.2021</c:v>
                </c:pt>
                <c:pt idx="291">
                  <c:v>16.06.2021</c:v>
                </c:pt>
                <c:pt idx="292">
                  <c:v>17.06.2021</c:v>
                </c:pt>
                <c:pt idx="293">
                  <c:v>21.06.2021</c:v>
                </c:pt>
                <c:pt idx="294">
                  <c:v>22.06.2021</c:v>
                </c:pt>
                <c:pt idx="295">
                  <c:v>23.06.2021</c:v>
                </c:pt>
                <c:pt idx="296">
                  <c:v>24.06.2021</c:v>
                </c:pt>
                <c:pt idx="297">
                  <c:v>28.06.2021</c:v>
                </c:pt>
                <c:pt idx="298">
                  <c:v>29.06.2021</c:v>
                </c:pt>
                <c:pt idx="299">
                  <c:v>30.06.2021</c:v>
                </c:pt>
                <c:pt idx="300">
                  <c:v>01.07.2021</c:v>
                </c:pt>
                <c:pt idx="301">
                  <c:v>06.07.2021</c:v>
                </c:pt>
                <c:pt idx="302">
                  <c:v>07.07.2021</c:v>
                </c:pt>
                <c:pt idx="303">
                  <c:v>08.07.2021</c:v>
                </c:pt>
                <c:pt idx="304">
                  <c:v>12.07.2021</c:v>
                </c:pt>
                <c:pt idx="305">
                  <c:v>13.07.2021</c:v>
                </c:pt>
                <c:pt idx="306">
                  <c:v>14.07.2021</c:v>
                </c:pt>
                <c:pt idx="307">
                  <c:v>15.07.2021</c:v>
                </c:pt>
                <c:pt idx="308">
                  <c:v>19.07.2021</c:v>
                </c:pt>
                <c:pt idx="309">
                  <c:v>20.07.2021</c:v>
                </c:pt>
                <c:pt idx="310">
                  <c:v>21.07.2021</c:v>
                </c:pt>
                <c:pt idx="311">
                  <c:v>22.07.2021</c:v>
                </c:pt>
                <c:pt idx="312">
                  <c:v>26.07.2021</c:v>
                </c:pt>
                <c:pt idx="313">
                  <c:v>27.07.2021</c:v>
                </c:pt>
                <c:pt idx="314">
                  <c:v>28.07.2021</c:v>
                </c:pt>
                <c:pt idx="315">
                  <c:v>29.07.2021</c:v>
                </c:pt>
                <c:pt idx="316">
                  <c:v>02.08.2021</c:v>
                </c:pt>
                <c:pt idx="317">
                  <c:v>03.08.2021</c:v>
                </c:pt>
                <c:pt idx="318">
                  <c:v>04.08.2021</c:v>
                </c:pt>
                <c:pt idx="319">
                  <c:v>05.08.2021</c:v>
                </c:pt>
                <c:pt idx="320">
                  <c:v>09.08.2021</c:v>
                </c:pt>
                <c:pt idx="321">
                  <c:v>10.08.2021</c:v>
                </c:pt>
                <c:pt idx="322">
                  <c:v>11.08.2021</c:v>
                </c:pt>
                <c:pt idx="323">
                  <c:v>12.08.2021</c:v>
                </c:pt>
                <c:pt idx="324">
                  <c:v>16.08.2021</c:v>
                </c:pt>
                <c:pt idx="325">
                  <c:v>17.08.2021</c:v>
                </c:pt>
                <c:pt idx="326">
                  <c:v>18.08.2021</c:v>
                </c:pt>
                <c:pt idx="327">
                  <c:v>19.08.2021</c:v>
                </c:pt>
                <c:pt idx="328">
                  <c:v>23.08.2021</c:v>
                </c:pt>
                <c:pt idx="329">
                  <c:v>24.08.2021</c:v>
                </c:pt>
                <c:pt idx="330">
                  <c:v>25.08.2021</c:v>
                </c:pt>
                <c:pt idx="331">
                  <c:v>26.08.2021</c:v>
                </c:pt>
                <c:pt idx="332">
                  <c:v>30.08.2021</c:v>
                </c:pt>
                <c:pt idx="333">
                  <c:v>31.08.2021</c:v>
                </c:pt>
                <c:pt idx="334">
                  <c:v>01.09.2021</c:v>
                </c:pt>
                <c:pt idx="335">
                  <c:v>02.09.2021</c:v>
                </c:pt>
                <c:pt idx="336">
                  <c:v>07.09.2021</c:v>
                </c:pt>
                <c:pt idx="337">
                  <c:v>08.09.2021</c:v>
                </c:pt>
                <c:pt idx="338">
                  <c:v>09.09.2021</c:v>
                </c:pt>
                <c:pt idx="339">
                  <c:v>13.09.2021</c:v>
                </c:pt>
                <c:pt idx="340">
                  <c:v>14.09.2021</c:v>
                </c:pt>
                <c:pt idx="341">
                  <c:v>15.09.2021</c:v>
                </c:pt>
                <c:pt idx="342">
                  <c:v>16.09.2021</c:v>
                </c:pt>
                <c:pt idx="343">
                  <c:v>20.09.2021</c:v>
                </c:pt>
                <c:pt idx="344">
                  <c:v>21.09.2021</c:v>
                </c:pt>
                <c:pt idx="345">
                  <c:v>22.09.2021</c:v>
                </c:pt>
                <c:pt idx="346">
                  <c:v>23.09.2021</c:v>
                </c:pt>
                <c:pt idx="347">
                  <c:v>27.09.2021</c:v>
                </c:pt>
                <c:pt idx="348">
                  <c:v>28.09.2021</c:v>
                </c:pt>
                <c:pt idx="349">
                  <c:v>29.09.2021</c:v>
                </c:pt>
                <c:pt idx="350">
                  <c:v>30.09.2021</c:v>
                </c:pt>
                <c:pt idx="351">
                  <c:v>04.10.2021</c:v>
                </c:pt>
                <c:pt idx="352">
                  <c:v>05.10.2021</c:v>
                </c:pt>
                <c:pt idx="353">
                  <c:v>06.10.2021</c:v>
                </c:pt>
                <c:pt idx="354">
                  <c:v>07.10.2021</c:v>
                </c:pt>
                <c:pt idx="355">
                  <c:v>11.10.2021</c:v>
                </c:pt>
                <c:pt idx="356">
                  <c:v>12.10.2021</c:v>
                </c:pt>
                <c:pt idx="357">
                  <c:v>13.10.2021</c:v>
                </c:pt>
                <c:pt idx="358">
                  <c:v>14.10.2021</c:v>
                </c:pt>
                <c:pt idx="359">
                  <c:v>18.10.2021</c:v>
                </c:pt>
                <c:pt idx="360">
                  <c:v>19.10.2021</c:v>
                </c:pt>
                <c:pt idx="361">
                  <c:v>20.10.2021</c:v>
                </c:pt>
                <c:pt idx="362">
                  <c:v>21.10.2021</c:v>
                </c:pt>
                <c:pt idx="363">
                  <c:v>25.10.2021</c:v>
                </c:pt>
                <c:pt idx="364">
                  <c:v>26.10.2021</c:v>
                </c:pt>
                <c:pt idx="365">
                  <c:v>27.10.2021</c:v>
                </c:pt>
                <c:pt idx="366">
                  <c:v>28.10.2021</c:v>
                </c:pt>
                <c:pt idx="367">
                  <c:v>01.11.2021</c:v>
                </c:pt>
                <c:pt idx="368">
                  <c:v>02.11.2021</c:v>
                </c:pt>
                <c:pt idx="369">
                  <c:v>03.11.2021</c:v>
                </c:pt>
                <c:pt idx="370">
                  <c:v>04.11.2021</c:v>
                </c:pt>
                <c:pt idx="371">
                  <c:v>08.11.2021</c:v>
                </c:pt>
                <c:pt idx="372">
                  <c:v>09.11.2021</c:v>
                </c:pt>
                <c:pt idx="373">
                  <c:v>10.11.2021</c:v>
                </c:pt>
                <c:pt idx="374">
                  <c:v>11.11.2021</c:v>
                </c:pt>
                <c:pt idx="375">
                  <c:v>15.11.2021</c:v>
                </c:pt>
                <c:pt idx="376">
                  <c:v>16.11.2021</c:v>
                </c:pt>
                <c:pt idx="377">
                  <c:v>17.11.2021</c:v>
                </c:pt>
                <c:pt idx="378">
                  <c:v>18.11.2021</c:v>
                </c:pt>
                <c:pt idx="379">
                  <c:v>22.11.2021</c:v>
                </c:pt>
                <c:pt idx="380">
                  <c:v>23.11.2021</c:v>
                </c:pt>
                <c:pt idx="381">
                  <c:v>24.11.2021</c:v>
                </c:pt>
                <c:pt idx="382">
                  <c:v>29.11.2021</c:v>
                </c:pt>
                <c:pt idx="383">
                  <c:v>30.11.2021</c:v>
                </c:pt>
                <c:pt idx="384">
                  <c:v>01.12.2021</c:v>
                </c:pt>
                <c:pt idx="385">
                  <c:v>02.12.2021</c:v>
                </c:pt>
                <c:pt idx="386">
                  <c:v>06.12.2021</c:v>
                </c:pt>
                <c:pt idx="387">
                  <c:v>07.12.2021</c:v>
                </c:pt>
                <c:pt idx="388">
                  <c:v>08.12.2021</c:v>
                </c:pt>
                <c:pt idx="389">
                  <c:v>09.12.2021</c:v>
                </c:pt>
                <c:pt idx="390">
                  <c:v>13.12.2021</c:v>
                </c:pt>
                <c:pt idx="391">
                  <c:v>14.12.2021</c:v>
                </c:pt>
                <c:pt idx="392">
                  <c:v>15.12.2021</c:v>
                </c:pt>
                <c:pt idx="393">
                  <c:v>16.12.2021</c:v>
                </c:pt>
                <c:pt idx="394">
                  <c:v>20.12.2021</c:v>
                </c:pt>
                <c:pt idx="395">
                  <c:v>21.12.2021</c:v>
                </c:pt>
                <c:pt idx="396">
                  <c:v>22.12.2021</c:v>
                </c:pt>
                <c:pt idx="397">
                  <c:v>27.12.2021</c:v>
                </c:pt>
                <c:pt idx="398">
                  <c:v>28.12.2021</c:v>
                </c:pt>
                <c:pt idx="399">
                  <c:v>29.12.2021</c:v>
                </c:pt>
                <c:pt idx="400">
                  <c:v>30.12.2021</c:v>
                </c:pt>
                <c:pt idx="401">
                  <c:v>03.01.2022</c:v>
                </c:pt>
                <c:pt idx="402">
                  <c:v>04.01.2022</c:v>
                </c:pt>
                <c:pt idx="403">
                  <c:v>05.01.2022</c:v>
                </c:pt>
                <c:pt idx="404">
                  <c:v>06.01.2022</c:v>
                </c:pt>
                <c:pt idx="405">
                  <c:v>10.01.2022</c:v>
                </c:pt>
                <c:pt idx="406">
                  <c:v>11.01.2022</c:v>
                </c:pt>
                <c:pt idx="407">
                  <c:v>12.01.2022</c:v>
                </c:pt>
                <c:pt idx="408">
                  <c:v>13.01.2022</c:v>
                </c:pt>
                <c:pt idx="409">
                  <c:v>18.01.2022</c:v>
                </c:pt>
                <c:pt idx="410">
                  <c:v>19.01.2022</c:v>
                </c:pt>
                <c:pt idx="411">
                  <c:v>20.01.2022</c:v>
                </c:pt>
                <c:pt idx="412">
                  <c:v>24.01.2022</c:v>
                </c:pt>
                <c:pt idx="413">
                  <c:v>25.01.2022</c:v>
                </c:pt>
                <c:pt idx="414">
                  <c:v>26.01.2022</c:v>
                </c:pt>
                <c:pt idx="415">
                  <c:v>27.01.2022</c:v>
                </c:pt>
                <c:pt idx="416">
                  <c:v>31.01.2022</c:v>
                </c:pt>
                <c:pt idx="417">
                  <c:v>01.02.2022</c:v>
                </c:pt>
                <c:pt idx="418">
                  <c:v>02.02.2022</c:v>
                </c:pt>
                <c:pt idx="419">
                  <c:v>03.02.2022</c:v>
                </c:pt>
                <c:pt idx="420">
                  <c:v>07.02.2022</c:v>
                </c:pt>
                <c:pt idx="421">
                  <c:v>08.02.2022</c:v>
                </c:pt>
                <c:pt idx="422">
                  <c:v>09.02.2022</c:v>
                </c:pt>
                <c:pt idx="423">
                  <c:v>10.02.2022</c:v>
                </c:pt>
                <c:pt idx="424">
                  <c:v>14.02.2022</c:v>
                </c:pt>
                <c:pt idx="425">
                  <c:v>15.02.2022</c:v>
                </c:pt>
                <c:pt idx="426">
                  <c:v>16.02.2022</c:v>
                </c:pt>
                <c:pt idx="427">
                  <c:v>17.02.2022</c:v>
                </c:pt>
                <c:pt idx="428">
                  <c:v>22.02.2022</c:v>
                </c:pt>
                <c:pt idx="429">
                  <c:v>23.02.2022</c:v>
                </c:pt>
                <c:pt idx="430">
                  <c:v>24.02.2022</c:v>
                </c:pt>
                <c:pt idx="431">
                  <c:v>28.02.2022</c:v>
                </c:pt>
                <c:pt idx="432">
                  <c:v>01.03.2022</c:v>
                </c:pt>
                <c:pt idx="433">
                  <c:v>02.03.2022</c:v>
                </c:pt>
                <c:pt idx="434">
                  <c:v>03.03.2022</c:v>
                </c:pt>
                <c:pt idx="435">
                  <c:v>07.03.2022</c:v>
                </c:pt>
                <c:pt idx="436">
                  <c:v>08.03.2022</c:v>
                </c:pt>
                <c:pt idx="437">
                  <c:v>09.03.2022</c:v>
                </c:pt>
                <c:pt idx="438">
                  <c:v>10.03.2022</c:v>
                </c:pt>
                <c:pt idx="439">
                  <c:v>14.03.2022</c:v>
                </c:pt>
                <c:pt idx="440">
                  <c:v>15.03.2022</c:v>
                </c:pt>
                <c:pt idx="441">
                  <c:v>16.03.2022</c:v>
                </c:pt>
                <c:pt idx="442">
                  <c:v>17.03.2022</c:v>
                </c:pt>
                <c:pt idx="443">
                  <c:v>21.03.2022</c:v>
                </c:pt>
                <c:pt idx="444">
                  <c:v>22.03.2022</c:v>
                </c:pt>
                <c:pt idx="445">
                  <c:v>23.03.2022</c:v>
                </c:pt>
                <c:pt idx="446">
                  <c:v>24.03.2022</c:v>
                </c:pt>
                <c:pt idx="447">
                  <c:v>28.03.2022</c:v>
                </c:pt>
                <c:pt idx="448">
                  <c:v>29.03.2022</c:v>
                </c:pt>
                <c:pt idx="449">
                  <c:v>30.03.2022</c:v>
                </c:pt>
                <c:pt idx="450">
                  <c:v>31.03.2022</c:v>
                </c:pt>
                <c:pt idx="451">
                  <c:v>04.04.2022</c:v>
                </c:pt>
                <c:pt idx="452">
                  <c:v>05.04.2022</c:v>
                </c:pt>
                <c:pt idx="453">
                  <c:v>06.04.2022</c:v>
                </c:pt>
                <c:pt idx="454">
                  <c:v>07.04.2022</c:v>
                </c:pt>
                <c:pt idx="455">
                  <c:v>11.04.2022</c:v>
                </c:pt>
                <c:pt idx="456">
                  <c:v>12.04.2022</c:v>
                </c:pt>
                <c:pt idx="457">
                  <c:v>13.04.2022</c:v>
                </c:pt>
                <c:pt idx="458">
                  <c:v>18.04.2022</c:v>
                </c:pt>
                <c:pt idx="459">
                  <c:v>19.04.2022</c:v>
                </c:pt>
                <c:pt idx="460">
                  <c:v>20.04.2022</c:v>
                </c:pt>
                <c:pt idx="461">
                  <c:v>21.04.2022</c:v>
                </c:pt>
                <c:pt idx="462">
                  <c:v>25.04.2022</c:v>
                </c:pt>
                <c:pt idx="463">
                  <c:v>26.04.2022</c:v>
                </c:pt>
                <c:pt idx="464">
                  <c:v>27.04.2022</c:v>
                </c:pt>
                <c:pt idx="465">
                  <c:v>28.04.2022</c:v>
                </c:pt>
                <c:pt idx="466">
                  <c:v>02.05.2022</c:v>
                </c:pt>
                <c:pt idx="467">
                  <c:v>03.05.2022</c:v>
                </c:pt>
                <c:pt idx="468">
                  <c:v>04.05.2022</c:v>
                </c:pt>
                <c:pt idx="469">
                  <c:v>05.05.2022</c:v>
                </c:pt>
                <c:pt idx="470">
                  <c:v>09.05.2022</c:v>
                </c:pt>
                <c:pt idx="471">
                  <c:v>10.05.2022</c:v>
                </c:pt>
                <c:pt idx="472">
                  <c:v>11.05.2022</c:v>
                </c:pt>
                <c:pt idx="473">
                  <c:v>12.05.2022</c:v>
                </c:pt>
                <c:pt idx="474">
                  <c:v>16.05.2022</c:v>
                </c:pt>
                <c:pt idx="475">
                  <c:v>17.05.2022</c:v>
                </c:pt>
                <c:pt idx="476">
                  <c:v>18.05.2022</c:v>
                </c:pt>
                <c:pt idx="477">
                  <c:v>19.05.2022</c:v>
                </c:pt>
                <c:pt idx="478">
                  <c:v>23.05.2022</c:v>
                </c:pt>
                <c:pt idx="479">
                  <c:v>24.05.2022</c:v>
                </c:pt>
                <c:pt idx="480">
                  <c:v>25.05.2022</c:v>
                </c:pt>
                <c:pt idx="481">
                  <c:v>26.05.2022</c:v>
                </c:pt>
                <c:pt idx="482">
                  <c:v>31.05.2022</c:v>
                </c:pt>
                <c:pt idx="483">
                  <c:v>01.06.2022</c:v>
                </c:pt>
                <c:pt idx="484">
                  <c:v>02.06.2022</c:v>
                </c:pt>
                <c:pt idx="485">
                  <c:v>06.06.2022</c:v>
                </c:pt>
                <c:pt idx="486">
                  <c:v>07.06.2022</c:v>
                </c:pt>
                <c:pt idx="487">
                  <c:v>08.06.2022</c:v>
                </c:pt>
                <c:pt idx="488">
                  <c:v>09.06.2022</c:v>
                </c:pt>
                <c:pt idx="489">
                  <c:v>13.06.2022</c:v>
                </c:pt>
                <c:pt idx="490">
                  <c:v>14.06.2022</c:v>
                </c:pt>
                <c:pt idx="491">
                  <c:v>15.06.2022</c:v>
                </c:pt>
                <c:pt idx="492">
                  <c:v>16.06.2022</c:v>
                </c:pt>
                <c:pt idx="493">
                  <c:v>21.06.2022</c:v>
                </c:pt>
                <c:pt idx="494">
                  <c:v>22.06.2022</c:v>
                </c:pt>
                <c:pt idx="495">
                  <c:v>23.06.2022</c:v>
                </c:pt>
                <c:pt idx="496">
                  <c:v>27.06.2022</c:v>
                </c:pt>
                <c:pt idx="497">
                  <c:v>28.06.2022</c:v>
                </c:pt>
                <c:pt idx="498">
                  <c:v>29.06.2022</c:v>
                </c:pt>
                <c:pt idx="499">
                  <c:v>30.06.2022</c:v>
                </c:pt>
                <c:pt idx="500">
                  <c:v>05.07.2022</c:v>
                </c:pt>
                <c:pt idx="501">
                  <c:v>06.07.2022</c:v>
                </c:pt>
                <c:pt idx="502">
                  <c:v>07.07.2022</c:v>
                </c:pt>
                <c:pt idx="503">
                  <c:v>11.07.2022</c:v>
                </c:pt>
                <c:pt idx="504">
                  <c:v>12.07.2022</c:v>
                </c:pt>
                <c:pt idx="505">
                  <c:v>13.07.2022</c:v>
                </c:pt>
                <c:pt idx="506">
                  <c:v>14.07.2022</c:v>
                </c:pt>
                <c:pt idx="507">
                  <c:v>18.07.2022</c:v>
                </c:pt>
                <c:pt idx="508">
                  <c:v>19.07.2022</c:v>
                </c:pt>
                <c:pt idx="509">
                  <c:v>20.07.2022</c:v>
                </c:pt>
                <c:pt idx="510">
                  <c:v>21.07.2022</c:v>
                </c:pt>
                <c:pt idx="511">
                  <c:v>25.07.2022</c:v>
                </c:pt>
                <c:pt idx="512">
                  <c:v>26.07.2022</c:v>
                </c:pt>
                <c:pt idx="513">
                  <c:v>27.07.2022</c:v>
                </c:pt>
                <c:pt idx="514">
                  <c:v>28.07.2022</c:v>
                </c:pt>
                <c:pt idx="515">
                  <c:v>01.08.2022</c:v>
                </c:pt>
                <c:pt idx="516">
                  <c:v>02.08.2022</c:v>
                </c:pt>
                <c:pt idx="517">
                  <c:v>03.08.2022</c:v>
                </c:pt>
                <c:pt idx="518">
                  <c:v>04.08.2022</c:v>
                </c:pt>
                <c:pt idx="519">
                  <c:v>08.08.2022</c:v>
                </c:pt>
                <c:pt idx="520">
                  <c:v>09.08.2022</c:v>
                </c:pt>
                <c:pt idx="521">
                  <c:v>10.08.2022</c:v>
                </c:pt>
                <c:pt idx="522">
                  <c:v>11.08.2022</c:v>
                </c:pt>
                <c:pt idx="523">
                  <c:v>15.08.2022</c:v>
                </c:pt>
                <c:pt idx="524">
                  <c:v>16.08.2022</c:v>
                </c:pt>
                <c:pt idx="525">
                  <c:v>17.08.2022</c:v>
                </c:pt>
                <c:pt idx="526">
                  <c:v>18.08.2022</c:v>
                </c:pt>
                <c:pt idx="527">
                  <c:v>22.08.2022</c:v>
                </c:pt>
                <c:pt idx="528">
                  <c:v>23.08.2022</c:v>
                </c:pt>
                <c:pt idx="529">
                  <c:v>24.08.2022</c:v>
                </c:pt>
                <c:pt idx="530">
                  <c:v>25.08.2022</c:v>
                </c:pt>
                <c:pt idx="531">
                  <c:v>29.08.2022</c:v>
                </c:pt>
                <c:pt idx="532">
                  <c:v>30.08.2022</c:v>
                </c:pt>
                <c:pt idx="533">
                  <c:v>31.08.2022</c:v>
                </c:pt>
                <c:pt idx="534">
                  <c:v>01.09.2022</c:v>
                </c:pt>
                <c:pt idx="535">
                  <c:v>06.09.2022</c:v>
                </c:pt>
                <c:pt idx="536">
                  <c:v>07.09.2022</c:v>
                </c:pt>
                <c:pt idx="537">
                  <c:v>08.09.2022</c:v>
                </c:pt>
                <c:pt idx="538">
                  <c:v>12.09.2022</c:v>
                </c:pt>
                <c:pt idx="539">
                  <c:v>13.09.2022</c:v>
                </c:pt>
                <c:pt idx="540">
                  <c:v>14.09.2022</c:v>
                </c:pt>
                <c:pt idx="541">
                  <c:v>15.09.2022</c:v>
                </c:pt>
                <c:pt idx="542">
                  <c:v>19.09.2022</c:v>
                </c:pt>
                <c:pt idx="543">
                  <c:v>20.09.2022</c:v>
                </c:pt>
                <c:pt idx="544">
                  <c:v>21.09.2022</c:v>
                </c:pt>
                <c:pt idx="545">
                  <c:v>22.09.2022</c:v>
                </c:pt>
                <c:pt idx="546">
                  <c:v>26.09.2022</c:v>
                </c:pt>
                <c:pt idx="547">
                  <c:v>27.09.2022</c:v>
                </c:pt>
                <c:pt idx="548">
                  <c:v>28.09.2022</c:v>
                </c:pt>
                <c:pt idx="549">
                  <c:v>29.09.2022</c:v>
                </c:pt>
                <c:pt idx="550">
                  <c:v>03.10.2022</c:v>
                </c:pt>
                <c:pt idx="551">
                  <c:v>04.10.2022</c:v>
                </c:pt>
                <c:pt idx="552">
                  <c:v>05.10.2022</c:v>
                </c:pt>
                <c:pt idx="553">
                  <c:v>06.10.2022</c:v>
                </c:pt>
                <c:pt idx="554">
                  <c:v>10.10.2022</c:v>
                </c:pt>
                <c:pt idx="555">
                  <c:v>11.10.2022</c:v>
                </c:pt>
                <c:pt idx="556">
                  <c:v>12.10.2022</c:v>
                </c:pt>
                <c:pt idx="557">
                  <c:v>13.10.2022</c:v>
                </c:pt>
                <c:pt idx="558">
                  <c:v>17.10.2022</c:v>
                </c:pt>
                <c:pt idx="559">
                  <c:v>18.10.2022</c:v>
                </c:pt>
                <c:pt idx="560">
                  <c:v>19.10.2022</c:v>
                </c:pt>
                <c:pt idx="561">
                  <c:v>20.10.2022</c:v>
                </c:pt>
                <c:pt idx="562">
                  <c:v>24.10.2022</c:v>
                </c:pt>
                <c:pt idx="563">
                  <c:v>25.10.2022</c:v>
                </c:pt>
                <c:pt idx="564">
                  <c:v>26.10.2022</c:v>
                </c:pt>
                <c:pt idx="565">
                  <c:v>27.10.2022</c:v>
                </c:pt>
                <c:pt idx="566">
                  <c:v>31.10.2022</c:v>
                </c:pt>
                <c:pt idx="567">
                  <c:v>01.11.2022</c:v>
                </c:pt>
                <c:pt idx="568">
                  <c:v>02.11.2022</c:v>
                </c:pt>
                <c:pt idx="569">
                  <c:v>03.11.2022</c:v>
                </c:pt>
                <c:pt idx="570">
                  <c:v>07.11.2022</c:v>
                </c:pt>
                <c:pt idx="571">
                  <c:v>08.11.2022</c:v>
                </c:pt>
                <c:pt idx="572">
                  <c:v>09.11.2022</c:v>
                </c:pt>
                <c:pt idx="573">
                  <c:v>10.11.2022</c:v>
                </c:pt>
                <c:pt idx="574">
                  <c:v>14.11.2022</c:v>
                </c:pt>
                <c:pt idx="575">
                  <c:v>15.11.2022</c:v>
                </c:pt>
                <c:pt idx="576">
                  <c:v>16.11.2022</c:v>
                </c:pt>
                <c:pt idx="577">
                  <c:v>17.11.2022</c:v>
                </c:pt>
                <c:pt idx="578">
                  <c:v>21.11.2022</c:v>
                </c:pt>
                <c:pt idx="579">
                  <c:v>22.11.2022</c:v>
                </c:pt>
                <c:pt idx="580">
                  <c:v>23.11.2022</c:v>
                </c:pt>
                <c:pt idx="581">
                  <c:v>28.11.2022</c:v>
                </c:pt>
                <c:pt idx="582">
                  <c:v>29.11.2022</c:v>
                </c:pt>
                <c:pt idx="583">
                  <c:v>30.11.2022</c:v>
                </c:pt>
                <c:pt idx="584">
                  <c:v>01.12.2022</c:v>
                </c:pt>
                <c:pt idx="585">
                  <c:v>05.12.2022</c:v>
                </c:pt>
                <c:pt idx="586">
                  <c:v>06.12.2022</c:v>
                </c:pt>
                <c:pt idx="587">
                  <c:v>07.12.2022</c:v>
                </c:pt>
                <c:pt idx="588">
                  <c:v>08.12.2022</c:v>
                </c:pt>
                <c:pt idx="589">
                  <c:v>12.12.2022</c:v>
                </c:pt>
                <c:pt idx="590">
                  <c:v>13.12.2022</c:v>
                </c:pt>
                <c:pt idx="591">
                  <c:v>14.12.2022</c:v>
                </c:pt>
                <c:pt idx="592">
                  <c:v>15.12.2022</c:v>
                </c:pt>
                <c:pt idx="593">
                  <c:v>19.12.2022</c:v>
                </c:pt>
                <c:pt idx="594">
                  <c:v>20.12.2022</c:v>
                </c:pt>
                <c:pt idx="595">
                  <c:v>21.12.2022</c:v>
                </c:pt>
                <c:pt idx="596">
                  <c:v>22.12.2022</c:v>
                </c:pt>
                <c:pt idx="597">
                  <c:v>27.12.2022</c:v>
                </c:pt>
                <c:pt idx="598">
                  <c:v>28.12.2022</c:v>
                </c:pt>
                <c:pt idx="599">
                  <c:v>29.12.2022</c:v>
                </c:pt>
                <c:pt idx="600">
                  <c:v>03.01.2023</c:v>
                </c:pt>
                <c:pt idx="601">
                  <c:v>04.01.2023</c:v>
                </c:pt>
                <c:pt idx="602">
                  <c:v>05.01.2023</c:v>
                </c:pt>
                <c:pt idx="603">
                  <c:v>09.01.2023</c:v>
                </c:pt>
                <c:pt idx="604">
                  <c:v>10.01.2023</c:v>
                </c:pt>
                <c:pt idx="605">
                  <c:v>11.01.2023</c:v>
                </c:pt>
                <c:pt idx="606">
                  <c:v>12.01.2023</c:v>
                </c:pt>
                <c:pt idx="607">
                  <c:v>17.01.2023</c:v>
                </c:pt>
                <c:pt idx="608">
                  <c:v>18.01.2023</c:v>
                </c:pt>
                <c:pt idx="609">
                  <c:v>19.01.2023</c:v>
                </c:pt>
                <c:pt idx="610">
                  <c:v>23.01.2023</c:v>
                </c:pt>
                <c:pt idx="611">
                  <c:v>24.01.2023</c:v>
                </c:pt>
                <c:pt idx="612">
                  <c:v>25.01.2023</c:v>
                </c:pt>
                <c:pt idx="613">
                  <c:v>26.01.2023</c:v>
                </c:pt>
                <c:pt idx="614">
                  <c:v>30.01.2023</c:v>
                </c:pt>
                <c:pt idx="615">
                  <c:v>31.01.2023</c:v>
                </c:pt>
                <c:pt idx="616">
                  <c:v>01.02.2023</c:v>
                </c:pt>
                <c:pt idx="617">
                  <c:v>02.02.2023</c:v>
                </c:pt>
                <c:pt idx="618">
                  <c:v>06.02.2023</c:v>
                </c:pt>
                <c:pt idx="619">
                  <c:v>07.02.2023</c:v>
                </c:pt>
                <c:pt idx="620">
                  <c:v>08.02.2023</c:v>
                </c:pt>
                <c:pt idx="621">
                  <c:v>09.02.2023</c:v>
                </c:pt>
                <c:pt idx="622">
                  <c:v>13.02.2023</c:v>
                </c:pt>
                <c:pt idx="623">
                  <c:v>14.02.2023</c:v>
                </c:pt>
                <c:pt idx="624">
                  <c:v>15.02.2023</c:v>
                </c:pt>
                <c:pt idx="625">
                  <c:v>16.02.2023</c:v>
                </c:pt>
                <c:pt idx="626">
                  <c:v>21.02.2023</c:v>
                </c:pt>
                <c:pt idx="627">
                  <c:v>22.02.2023</c:v>
                </c:pt>
                <c:pt idx="628">
                  <c:v>23.02.2023</c:v>
                </c:pt>
                <c:pt idx="629">
                  <c:v>27.02.2023</c:v>
                </c:pt>
                <c:pt idx="630">
                  <c:v>28.02.2023</c:v>
                </c:pt>
                <c:pt idx="631">
                  <c:v>01.03.2023</c:v>
                </c:pt>
                <c:pt idx="632">
                  <c:v>02.03.2023</c:v>
                </c:pt>
                <c:pt idx="633">
                  <c:v>06.03.2023</c:v>
                </c:pt>
                <c:pt idx="634">
                  <c:v>07.03.2023</c:v>
                </c:pt>
                <c:pt idx="635">
                  <c:v>08.03.2023</c:v>
                </c:pt>
                <c:pt idx="636">
                  <c:v>09.03.2023</c:v>
                </c:pt>
                <c:pt idx="637">
                  <c:v>13.03.2023</c:v>
                </c:pt>
                <c:pt idx="638">
                  <c:v>14.03.2023</c:v>
                </c:pt>
                <c:pt idx="639">
                  <c:v>15.03.2023</c:v>
                </c:pt>
                <c:pt idx="640">
                  <c:v>16.03.2023</c:v>
                </c:pt>
                <c:pt idx="641">
                  <c:v>20.03.2023</c:v>
                </c:pt>
                <c:pt idx="642">
                  <c:v>21.03.2023</c:v>
                </c:pt>
                <c:pt idx="643">
                  <c:v>22.03.2023</c:v>
                </c:pt>
                <c:pt idx="644">
                  <c:v>23.03.2023</c:v>
                </c:pt>
                <c:pt idx="645">
                  <c:v>27.03.2023</c:v>
                </c:pt>
                <c:pt idx="646">
                  <c:v>28.03.2023</c:v>
                </c:pt>
                <c:pt idx="647">
                  <c:v>29.03.2023</c:v>
                </c:pt>
                <c:pt idx="648">
                  <c:v>30.03.2023</c:v>
                </c:pt>
                <c:pt idx="649">
                  <c:v>03.04.2023</c:v>
                </c:pt>
                <c:pt idx="650">
                  <c:v>04.04.2023</c:v>
                </c:pt>
                <c:pt idx="651">
                  <c:v>05.04.2023</c:v>
                </c:pt>
                <c:pt idx="652">
                  <c:v>10.04.2023</c:v>
                </c:pt>
                <c:pt idx="653">
                  <c:v>11.04.2023</c:v>
                </c:pt>
                <c:pt idx="654">
                  <c:v>12.04.2023</c:v>
                </c:pt>
                <c:pt idx="655">
                  <c:v>13.04.2023</c:v>
                </c:pt>
                <c:pt idx="656">
                  <c:v>17.04.2023</c:v>
                </c:pt>
                <c:pt idx="657">
                  <c:v>18.04.2023</c:v>
                </c:pt>
                <c:pt idx="658">
                  <c:v>19.04.2023</c:v>
                </c:pt>
                <c:pt idx="659">
                  <c:v>20.04.2023</c:v>
                </c:pt>
                <c:pt idx="660">
                  <c:v>24.04.2023</c:v>
                </c:pt>
                <c:pt idx="661">
                  <c:v>25.04.2023</c:v>
                </c:pt>
                <c:pt idx="662">
                  <c:v>26.04.2023</c:v>
                </c:pt>
                <c:pt idx="663">
                  <c:v>27.04.2023</c:v>
                </c:pt>
                <c:pt idx="664">
                  <c:v>01.05.2023</c:v>
                </c:pt>
                <c:pt idx="665">
                  <c:v>02.05.2023</c:v>
                </c:pt>
                <c:pt idx="666">
                  <c:v>03.05.2023</c:v>
                </c:pt>
                <c:pt idx="667">
                  <c:v>04.05.2023</c:v>
                </c:pt>
                <c:pt idx="668">
                  <c:v>08.05.2023</c:v>
                </c:pt>
                <c:pt idx="669">
                  <c:v>09.05.2023</c:v>
                </c:pt>
                <c:pt idx="670">
                  <c:v>10.05.2023</c:v>
                </c:pt>
                <c:pt idx="671">
                  <c:v>11.05.2023</c:v>
                </c:pt>
                <c:pt idx="672">
                  <c:v>15.05.2023</c:v>
                </c:pt>
                <c:pt idx="673">
                  <c:v>16.05.2023</c:v>
                </c:pt>
                <c:pt idx="674">
                  <c:v>17.05.2023</c:v>
                </c:pt>
                <c:pt idx="675">
                  <c:v>18.05.2023</c:v>
                </c:pt>
                <c:pt idx="676">
                  <c:v>22.05.2023</c:v>
                </c:pt>
                <c:pt idx="677">
                  <c:v>23.05.2023</c:v>
                </c:pt>
                <c:pt idx="678">
                  <c:v>24.05.2023</c:v>
                </c:pt>
                <c:pt idx="679">
                  <c:v>25.05.2023</c:v>
                </c:pt>
                <c:pt idx="680">
                  <c:v>30.05.2023</c:v>
                </c:pt>
                <c:pt idx="681">
                  <c:v>31.05.2023</c:v>
                </c:pt>
                <c:pt idx="682">
                  <c:v>01.06.2023</c:v>
                </c:pt>
                <c:pt idx="683">
                  <c:v>05.06.2023</c:v>
                </c:pt>
                <c:pt idx="684">
                  <c:v>06.06.2023</c:v>
                </c:pt>
                <c:pt idx="685">
                  <c:v>07.06.2023</c:v>
                </c:pt>
                <c:pt idx="686">
                  <c:v>08.06.2023</c:v>
                </c:pt>
                <c:pt idx="687">
                  <c:v>12.06.2023</c:v>
                </c:pt>
                <c:pt idx="688">
                  <c:v>13.06.2023</c:v>
                </c:pt>
                <c:pt idx="689">
                  <c:v>14.06.2023</c:v>
                </c:pt>
                <c:pt idx="690">
                  <c:v>15.06.2023</c:v>
                </c:pt>
                <c:pt idx="691">
                  <c:v>20.06.2023</c:v>
                </c:pt>
                <c:pt idx="692">
                  <c:v>21.06.2023</c:v>
                </c:pt>
                <c:pt idx="693">
                  <c:v>22.06.2023</c:v>
                </c:pt>
                <c:pt idx="694">
                  <c:v>26.06.2023</c:v>
                </c:pt>
                <c:pt idx="695">
                  <c:v>27.06.2023</c:v>
                </c:pt>
                <c:pt idx="696">
                  <c:v>28.06.2023</c:v>
                </c:pt>
                <c:pt idx="697">
                  <c:v>29.06.2023</c:v>
                </c:pt>
                <c:pt idx="698">
                  <c:v>03.07.2023</c:v>
                </c:pt>
                <c:pt idx="699">
                  <c:v>05.07.2023</c:v>
                </c:pt>
                <c:pt idx="700">
                  <c:v>06.07.2023</c:v>
                </c:pt>
                <c:pt idx="701">
                  <c:v>10.07.2023</c:v>
                </c:pt>
                <c:pt idx="702">
                  <c:v>11.07.2023</c:v>
                </c:pt>
                <c:pt idx="703">
                  <c:v>12.07.2023</c:v>
                </c:pt>
                <c:pt idx="704">
                  <c:v>13.07.2023</c:v>
                </c:pt>
                <c:pt idx="705">
                  <c:v>17.07.2023</c:v>
                </c:pt>
                <c:pt idx="706">
                  <c:v>18.07.2023</c:v>
                </c:pt>
                <c:pt idx="707">
                  <c:v>19.07.2023</c:v>
                </c:pt>
                <c:pt idx="708">
                  <c:v>20.07.2023</c:v>
                </c:pt>
                <c:pt idx="709">
                  <c:v>24.07.2023</c:v>
                </c:pt>
                <c:pt idx="710">
                  <c:v>25.07.2023</c:v>
                </c:pt>
                <c:pt idx="711">
                  <c:v>26.07.2023</c:v>
                </c:pt>
                <c:pt idx="712">
                  <c:v>27.07.2023</c:v>
                </c:pt>
                <c:pt idx="713">
                  <c:v>31.07.2023</c:v>
                </c:pt>
                <c:pt idx="714">
                  <c:v>01.08.2023</c:v>
                </c:pt>
                <c:pt idx="715">
                  <c:v>02.08.2023</c:v>
                </c:pt>
                <c:pt idx="716">
                  <c:v>03.08.2023</c:v>
                </c:pt>
                <c:pt idx="717">
                  <c:v>07.08.2023</c:v>
                </c:pt>
                <c:pt idx="718">
                  <c:v>08.08.2023</c:v>
                </c:pt>
                <c:pt idx="719">
                  <c:v>09.08.2023</c:v>
                </c:pt>
                <c:pt idx="720">
                  <c:v>10.08.2023</c:v>
                </c:pt>
                <c:pt idx="721">
                  <c:v>14.08.2023</c:v>
                </c:pt>
                <c:pt idx="722">
                  <c:v>15.08.2023</c:v>
                </c:pt>
                <c:pt idx="723">
                  <c:v>16.08.2023</c:v>
                </c:pt>
                <c:pt idx="724">
                  <c:v>17.08.2023</c:v>
                </c:pt>
                <c:pt idx="725">
                  <c:v>21.08.2023</c:v>
                </c:pt>
                <c:pt idx="726">
                  <c:v>22.08.2023</c:v>
                </c:pt>
                <c:pt idx="727">
                  <c:v>23.08.2023</c:v>
                </c:pt>
                <c:pt idx="728">
                  <c:v>24.08.2023</c:v>
                </c:pt>
                <c:pt idx="729">
                  <c:v>28.08.2023</c:v>
                </c:pt>
                <c:pt idx="730">
                  <c:v>29.08.2023</c:v>
                </c:pt>
                <c:pt idx="731">
                  <c:v>30.08.2023</c:v>
                </c:pt>
                <c:pt idx="732">
                  <c:v>31.08.2023</c:v>
                </c:pt>
                <c:pt idx="733">
                  <c:v>05.09.2023</c:v>
                </c:pt>
                <c:pt idx="734">
                  <c:v>06.09.2023</c:v>
                </c:pt>
                <c:pt idx="735">
                  <c:v>07.09.2023</c:v>
                </c:pt>
                <c:pt idx="736">
                  <c:v>11.09.2023</c:v>
                </c:pt>
                <c:pt idx="737">
                  <c:v>12.09.2023</c:v>
                </c:pt>
                <c:pt idx="738">
                  <c:v>13.09.2023</c:v>
                </c:pt>
                <c:pt idx="739">
                  <c:v>14.09.2023</c:v>
                </c:pt>
                <c:pt idx="740">
                  <c:v>18.09.2023</c:v>
                </c:pt>
                <c:pt idx="741">
                  <c:v>19.09.2023</c:v>
                </c:pt>
                <c:pt idx="742">
                  <c:v>20.09.2023</c:v>
                </c:pt>
                <c:pt idx="743">
                  <c:v>21.09.2023</c:v>
                </c:pt>
                <c:pt idx="744">
                  <c:v>25.09.2023</c:v>
                </c:pt>
                <c:pt idx="745">
                  <c:v>26.09.2023</c:v>
                </c:pt>
                <c:pt idx="746">
                  <c:v>27.09.2023</c:v>
                </c:pt>
                <c:pt idx="747">
                  <c:v>28.09.2023</c:v>
                </c:pt>
                <c:pt idx="748">
                  <c:v>02.10.2023</c:v>
                </c:pt>
                <c:pt idx="749">
                  <c:v>03.10.2023</c:v>
                </c:pt>
                <c:pt idx="750">
                  <c:v>04.10.2023</c:v>
                </c:pt>
                <c:pt idx="751">
                  <c:v>05.10.2023</c:v>
                </c:pt>
                <c:pt idx="752">
                  <c:v>09.10.2023</c:v>
                </c:pt>
                <c:pt idx="753">
                  <c:v>10.10.2023</c:v>
                </c:pt>
                <c:pt idx="754">
                  <c:v>11.10.2023</c:v>
                </c:pt>
                <c:pt idx="755">
                  <c:v>12.10.2023</c:v>
                </c:pt>
                <c:pt idx="756">
                  <c:v>16.10.2023</c:v>
                </c:pt>
                <c:pt idx="757">
                  <c:v>17.10.2023</c:v>
                </c:pt>
                <c:pt idx="758">
                  <c:v>18.10.2023</c:v>
                </c:pt>
                <c:pt idx="759">
                  <c:v>19.10.2023</c:v>
                </c:pt>
                <c:pt idx="760">
                  <c:v>23.10.2023</c:v>
                </c:pt>
                <c:pt idx="761">
                  <c:v>24.10.2023</c:v>
                </c:pt>
                <c:pt idx="762">
                  <c:v>25.10.2023</c:v>
                </c:pt>
                <c:pt idx="763">
                  <c:v>26.10.2023</c:v>
                </c:pt>
                <c:pt idx="764">
                  <c:v>30.10.2023</c:v>
                </c:pt>
                <c:pt idx="765">
                  <c:v>31.10.2023</c:v>
                </c:pt>
                <c:pt idx="766">
                  <c:v>01.11.2023</c:v>
                </c:pt>
                <c:pt idx="767">
                  <c:v>02.11.2023</c:v>
                </c:pt>
                <c:pt idx="768">
                  <c:v>06.11.2023</c:v>
                </c:pt>
                <c:pt idx="769">
                  <c:v>07.11.2023</c:v>
                </c:pt>
                <c:pt idx="770">
                  <c:v>08.11.2023</c:v>
                </c:pt>
                <c:pt idx="771">
                  <c:v>09.11.2023</c:v>
                </c:pt>
                <c:pt idx="772">
                  <c:v>13.11.2023</c:v>
                </c:pt>
                <c:pt idx="773">
                  <c:v>14.11.2023</c:v>
                </c:pt>
                <c:pt idx="774">
                  <c:v>15.11.2023</c:v>
                </c:pt>
                <c:pt idx="775">
                  <c:v>16.11.2023</c:v>
                </c:pt>
                <c:pt idx="776">
                  <c:v>20.11.2023</c:v>
                </c:pt>
                <c:pt idx="777">
                  <c:v>21.11.2023</c:v>
                </c:pt>
                <c:pt idx="778">
                  <c:v>22.11.2023</c:v>
                </c:pt>
                <c:pt idx="779">
                  <c:v>27.11.2023</c:v>
                </c:pt>
                <c:pt idx="780">
                  <c:v>28.11.2023</c:v>
                </c:pt>
                <c:pt idx="781">
                  <c:v>29.11.2023</c:v>
                </c:pt>
                <c:pt idx="782">
                  <c:v>30.11.2023</c:v>
                </c:pt>
                <c:pt idx="783">
                  <c:v>04.12.2023</c:v>
                </c:pt>
                <c:pt idx="784">
                  <c:v>05.12.2023</c:v>
                </c:pt>
                <c:pt idx="785">
                  <c:v>06.12.2023</c:v>
                </c:pt>
                <c:pt idx="786">
                  <c:v>07.12.2023</c:v>
                </c:pt>
                <c:pt idx="787">
                  <c:v>11.12.2023</c:v>
                </c:pt>
                <c:pt idx="788">
                  <c:v>12.12.2023</c:v>
                </c:pt>
                <c:pt idx="789">
                  <c:v>13.12.2023</c:v>
                </c:pt>
                <c:pt idx="790">
                  <c:v>14.12.2023</c:v>
                </c:pt>
                <c:pt idx="791">
                  <c:v>18.12.2023</c:v>
                </c:pt>
                <c:pt idx="792">
                  <c:v>19.12.2023</c:v>
                </c:pt>
                <c:pt idx="793">
                  <c:v>20.12.2023</c:v>
                </c:pt>
                <c:pt idx="794">
                  <c:v>21.12.2023</c:v>
                </c:pt>
                <c:pt idx="795">
                  <c:v>26.12.2023</c:v>
                </c:pt>
                <c:pt idx="796">
                  <c:v>27.12.2023</c:v>
                </c:pt>
                <c:pt idx="797">
                  <c:v>28.12.2023</c:v>
                </c:pt>
                <c:pt idx="798">
                  <c:v>02.01.2024</c:v>
                </c:pt>
                <c:pt idx="799">
                  <c:v>03.01.2024</c:v>
                </c:pt>
                <c:pt idx="800">
                  <c:v>04.01.2024</c:v>
                </c:pt>
                <c:pt idx="801">
                  <c:v>08.01.2024</c:v>
                </c:pt>
                <c:pt idx="802">
                  <c:v>09.01.2024</c:v>
                </c:pt>
                <c:pt idx="803">
                  <c:v>10.01.2024</c:v>
                </c:pt>
                <c:pt idx="804">
                  <c:v>11.01.2024</c:v>
                </c:pt>
                <c:pt idx="805">
                  <c:v>16.01.2024</c:v>
                </c:pt>
                <c:pt idx="806">
                  <c:v>17.01.2024</c:v>
                </c:pt>
                <c:pt idx="807">
                  <c:v>18.01.2024</c:v>
                </c:pt>
                <c:pt idx="808">
                  <c:v>22.01.2024</c:v>
                </c:pt>
                <c:pt idx="809">
                  <c:v>23.01.2024</c:v>
                </c:pt>
                <c:pt idx="810">
                  <c:v>24.01.2024</c:v>
                </c:pt>
                <c:pt idx="811">
                  <c:v>25.01.2024</c:v>
                </c:pt>
                <c:pt idx="812">
                  <c:v>29.01.2024</c:v>
                </c:pt>
                <c:pt idx="813">
                  <c:v>30.01.2024</c:v>
                </c:pt>
                <c:pt idx="814">
                  <c:v>31.01.2024</c:v>
                </c:pt>
                <c:pt idx="815">
                  <c:v>01.02.2024</c:v>
                </c:pt>
                <c:pt idx="816">
                  <c:v>05.02.2024</c:v>
                </c:pt>
                <c:pt idx="817">
                  <c:v>06.02.2024</c:v>
                </c:pt>
                <c:pt idx="818">
                  <c:v>07.02.2024</c:v>
                </c:pt>
                <c:pt idx="819">
                  <c:v>08.02.2024</c:v>
                </c:pt>
                <c:pt idx="820">
                  <c:v>12.02.2024</c:v>
                </c:pt>
                <c:pt idx="821">
                  <c:v>13.02.2024</c:v>
                </c:pt>
                <c:pt idx="822">
                  <c:v>14.02.2024</c:v>
                </c:pt>
                <c:pt idx="823">
                  <c:v>15.02.2024</c:v>
                </c:pt>
                <c:pt idx="824">
                  <c:v>20.02.2024</c:v>
                </c:pt>
                <c:pt idx="825">
                  <c:v>21.02.2024</c:v>
                </c:pt>
                <c:pt idx="826">
                  <c:v>22.02.2024</c:v>
                </c:pt>
                <c:pt idx="827">
                  <c:v>26.02.2024</c:v>
                </c:pt>
                <c:pt idx="828">
                  <c:v>27.02.2024</c:v>
                </c:pt>
                <c:pt idx="829">
                  <c:v>28.02.2024</c:v>
                </c:pt>
                <c:pt idx="830">
                  <c:v>29.02.2024</c:v>
                </c:pt>
                <c:pt idx="831">
                  <c:v>04.03.2024</c:v>
                </c:pt>
                <c:pt idx="832">
                  <c:v>05.03.2024</c:v>
                </c:pt>
                <c:pt idx="833">
                  <c:v>06.03.2024</c:v>
                </c:pt>
                <c:pt idx="834">
                  <c:v>07.03.2024</c:v>
                </c:pt>
                <c:pt idx="835">
                  <c:v>11.03.2024</c:v>
                </c:pt>
                <c:pt idx="836">
                  <c:v>12.03.2024</c:v>
                </c:pt>
                <c:pt idx="837">
                  <c:v>13.03.2024</c:v>
                </c:pt>
                <c:pt idx="838">
                  <c:v>14.03.2024</c:v>
                </c:pt>
                <c:pt idx="839">
                  <c:v>18.03.2024</c:v>
                </c:pt>
                <c:pt idx="840">
                  <c:v>19.03.2024</c:v>
                </c:pt>
                <c:pt idx="841">
                  <c:v>20.03.2024</c:v>
                </c:pt>
                <c:pt idx="842">
                  <c:v>21.03.2024</c:v>
                </c:pt>
                <c:pt idx="843">
                  <c:v>25.03.2024</c:v>
                </c:pt>
                <c:pt idx="844">
                  <c:v>26.03.2024</c:v>
                </c:pt>
                <c:pt idx="845">
                  <c:v>27.03.2024</c:v>
                </c:pt>
                <c:pt idx="846">
                  <c:v>01.04.2024</c:v>
                </c:pt>
                <c:pt idx="847">
                  <c:v>02.04.2024</c:v>
                </c:pt>
                <c:pt idx="848">
                  <c:v>03.04.2024</c:v>
                </c:pt>
                <c:pt idx="849">
                  <c:v>04.04.2024</c:v>
                </c:pt>
                <c:pt idx="850">
                  <c:v>08.04.2024</c:v>
                </c:pt>
                <c:pt idx="851">
                  <c:v>09.04.2024</c:v>
                </c:pt>
                <c:pt idx="852">
                  <c:v>10.04.2024</c:v>
                </c:pt>
                <c:pt idx="853">
                  <c:v>11.04.2024</c:v>
                </c:pt>
                <c:pt idx="854">
                  <c:v>15.04.2024</c:v>
                </c:pt>
                <c:pt idx="855">
                  <c:v>16.04.2024</c:v>
                </c:pt>
                <c:pt idx="856">
                  <c:v>17.04.2024</c:v>
                </c:pt>
                <c:pt idx="857">
                  <c:v>18.04.2024</c:v>
                </c:pt>
                <c:pt idx="858">
                  <c:v>22.04.2024</c:v>
                </c:pt>
                <c:pt idx="859">
                  <c:v>23.04.2024</c:v>
                </c:pt>
                <c:pt idx="860">
                  <c:v>24.04.2024</c:v>
                </c:pt>
                <c:pt idx="861">
                  <c:v>25.04.2024</c:v>
                </c:pt>
                <c:pt idx="862">
                  <c:v>29.04.2024</c:v>
                </c:pt>
                <c:pt idx="863">
                  <c:v>30.04.2024</c:v>
                </c:pt>
                <c:pt idx="864">
                  <c:v>01.05.2024</c:v>
                </c:pt>
                <c:pt idx="865">
                  <c:v>02.05.2024</c:v>
                </c:pt>
                <c:pt idx="866">
                  <c:v>06.05.2024</c:v>
                </c:pt>
                <c:pt idx="867">
                  <c:v>07.05.2024</c:v>
                </c:pt>
                <c:pt idx="868">
                  <c:v>08.05.2024</c:v>
                </c:pt>
                <c:pt idx="869">
                  <c:v>09.05.2024</c:v>
                </c:pt>
                <c:pt idx="870">
                  <c:v>13.05.2024</c:v>
                </c:pt>
                <c:pt idx="871">
                  <c:v>14.05.2024</c:v>
                </c:pt>
                <c:pt idx="872">
                  <c:v>15.05.2024</c:v>
                </c:pt>
                <c:pt idx="873">
                  <c:v>16.05.2024</c:v>
                </c:pt>
                <c:pt idx="874">
                  <c:v>20.05.2024</c:v>
                </c:pt>
                <c:pt idx="875">
                  <c:v>21.05.2024</c:v>
                </c:pt>
                <c:pt idx="876">
                  <c:v>22.05.2024</c:v>
                </c:pt>
                <c:pt idx="877">
                  <c:v>23.05.2024</c:v>
                </c:pt>
                <c:pt idx="878">
                  <c:v>28.05.2024</c:v>
                </c:pt>
                <c:pt idx="879">
                  <c:v>29.05.2024</c:v>
                </c:pt>
                <c:pt idx="880">
                  <c:v>30.05.2024</c:v>
                </c:pt>
                <c:pt idx="881">
                  <c:v>03.06.2024</c:v>
                </c:pt>
                <c:pt idx="882">
                  <c:v>04.06.2024</c:v>
                </c:pt>
                <c:pt idx="883">
                  <c:v>05.06.2024</c:v>
                </c:pt>
                <c:pt idx="884">
                  <c:v>06.06.2024</c:v>
                </c:pt>
                <c:pt idx="885">
                  <c:v>10.06.2024</c:v>
                </c:pt>
                <c:pt idx="886">
                  <c:v>11.06.2024</c:v>
                </c:pt>
                <c:pt idx="887">
                  <c:v>12.06.2024</c:v>
                </c:pt>
                <c:pt idx="888">
                  <c:v>13.06.2024</c:v>
                </c:pt>
                <c:pt idx="889">
                  <c:v>17.06.2024</c:v>
                </c:pt>
                <c:pt idx="890">
                  <c:v>18.06.2024</c:v>
                </c:pt>
                <c:pt idx="891">
                  <c:v>20.06.2024</c:v>
                </c:pt>
                <c:pt idx="892">
                  <c:v>24.06.2024</c:v>
                </c:pt>
                <c:pt idx="893">
                  <c:v>25.06.2024</c:v>
                </c:pt>
                <c:pt idx="894">
                  <c:v>26.06.2024</c:v>
                </c:pt>
                <c:pt idx="895">
                  <c:v>27.06.2024</c:v>
                </c:pt>
                <c:pt idx="896">
                  <c:v>01.07.2024</c:v>
                </c:pt>
                <c:pt idx="897">
                  <c:v>02.07.2024</c:v>
                </c:pt>
                <c:pt idx="898">
                  <c:v>03.07.2024</c:v>
                </c:pt>
                <c:pt idx="899">
                  <c:v>08.07.2024</c:v>
                </c:pt>
                <c:pt idx="900">
                  <c:v>09.07.2024</c:v>
                </c:pt>
                <c:pt idx="901">
                  <c:v>10.07.2024</c:v>
                </c:pt>
                <c:pt idx="902">
                  <c:v>11.07.2024</c:v>
                </c:pt>
                <c:pt idx="903">
                  <c:v>15.07.2024</c:v>
                </c:pt>
                <c:pt idx="904">
                  <c:v>16.07.2024</c:v>
                </c:pt>
                <c:pt idx="905">
                  <c:v>17.07.2024</c:v>
                </c:pt>
                <c:pt idx="906">
                  <c:v>18.07.2024</c:v>
                </c:pt>
                <c:pt idx="907">
                  <c:v>22.07.2024</c:v>
                </c:pt>
                <c:pt idx="908">
                  <c:v>23.07.2024</c:v>
                </c:pt>
                <c:pt idx="909">
                  <c:v>24.07.2024</c:v>
                </c:pt>
                <c:pt idx="910">
                  <c:v>25.07.2024</c:v>
                </c:pt>
                <c:pt idx="911">
                  <c:v>29.07.2024</c:v>
                </c:pt>
                <c:pt idx="912">
                  <c:v>30.07.2024</c:v>
                </c:pt>
                <c:pt idx="913">
                  <c:v>31.07.2024</c:v>
                </c:pt>
                <c:pt idx="914">
                  <c:v>01.08.2024</c:v>
                </c:pt>
                <c:pt idx="915">
                  <c:v>05.08.2024</c:v>
                </c:pt>
                <c:pt idx="916">
                  <c:v>06.08.2024</c:v>
                </c:pt>
                <c:pt idx="917">
                  <c:v>07.08.2024</c:v>
                </c:pt>
                <c:pt idx="918">
                  <c:v>08.08.2024</c:v>
                </c:pt>
                <c:pt idx="919">
                  <c:v>12.08.2024</c:v>
                </c:pt>
                <c:pt idx="920">
                  <c:v>13.08.2024</c:v>
                </c:pt>
                <c:pt idx="921">
                  <c:v>14.08.2024</c:v>
                </c:pt>
                <c:pt idx="922">
                  <c:v>15.08.2024</c:v>
                </c:pt>
                <c:pt idx="923">
                  <c:v>19.08.2024</c:v>
                </c:pt>
                <c:pt idx="924">
                  <c:v>20.08.2024</c:v>
                </c:pt>
                <c:pt idx="925">
                  <c:v>21.08.2024</c:v>
                </c:pt>
                <c:pt idx="926">
                  <c:v>22.08.2024</c:v>
                </c:pt>
                <c:pt idx="927">
                  <c:v>26.08.2024</c:v>
                </c:pt>
                <c:pt idx="928">
                  <c:v>27.08.2024</c:v>
                </c:pt>
                <c:pt idx="929">
                  <c:v>28.08.2024</c:v>
                </c:pt>
                <c:pt idx="930">
                  <c:v>29.08.2024</c:v>
                </c:pt>
                <c:pt idx="931">
                  <c:v>03.09.2024</c:v>
                </c:pt>
                <c:pt idx="932">
                  <c:v>04.09.2024</c:v>
                </c:pt>
                <c:pt idx="933">
                  <c:v>05.09.2024</c:v>
                </c:pt>
                <c:pt idx="934">
                  <c:v>09.09.2024</c:v>
                </c:pt>
                <c:pt idx="935">
                  <c:v>10.09.2024</c:v>
                </c:pt>
                <c:pt idx="936">
                  <c:v>11.09.2024</c:v>
                </c:pt>
                <c:pt idx="937">
                  <c:v>12.09.2024</c:v>
                </c:pt>
                <c:pt idx="938">
                  <c:v>16.09.2024</c:v>
                </c:pt>
                <c:pt idx="939">
                  <c:v>17.09.2024</c:v>
                </c:pt>
                <c:pt idx="940">
                  <c:v>18.09.2024</c:v>
                </c:pt>
                <c:pt idx="941">
                  <c:v>19.09.2024</c:v>
                </c:pt>
                <c:pt idx="942">
                  <c:v>23.09.2024</c:v>
                </c:pt>
                <c:pt idx="943">
                  <c:v>24.09.2024</c:v>
                </c:pt>
                <c:pt idx="944">
                  <c:v>25.09.2024</c:v>
                </c:pt>
                <c:pt idx="945">
                  <c:v>26.09.2024</c:v>
                </c:pt>
                <c:pt idx="946">
                  <c:v>30.09.2024</c:v>
                </c:pt>
                <c:pt idx="947">
                  <c:v>01.10.2024</c:v>
                </c:pt>
                <c:pt idx="948">
                  <c:v>02.10.2024</c:v>
                </c:pt>
                <c:pt idx="949">
                  <c:v>03.10.2024</c:v>
                </c:pt>
                <c:pt idx="950">
                  <c:v>07.10.2024</c:v>
                </c:pt>
                <c:pt idx="951">
                  <c:v>08.10.2024</c:v>
                </c:pt>
                <c:pt idx="952">
                  <c:v>09.10.2024</c:v>
                </c:pt>
                <c:pt idx="953">
                  <c:v>10.10.2024</c:v>
                </c:pt>
                <c:pt idx="954">
                  <c:v>14.10.2024</c:v>
                </c:pt>
                <c:pt idx="955">
                  <c:v>15.10.2024</c:v>
                </c:pt>
                <c:pt idx="956">
                  <c:v>16.10.2024</c:v>
                </c:pt>
                <c:pt idx="957">
                  <c:v>17.10.2024</c:v>
                </c:pt>
                <c:pt idx="958">
                  <c:v>21.10.2024</c:v>
                </c:pt>
                <c:pt idx="959">
                  <c:v>22.10.2024</c:v>
                </c:pt>
                <c:pt idx="960">
                  <c:v>23.10.2024</c:v>
                </c:pt>
                <c:pt idx="961">
                  <c:v>24.10.2024</c:v>
                </c:pt>
                <c:pt idx="962">
                  <c:v>28.10.2024</c:v>
                </c:pt>
                <c:pt idx="963">
                  <c:v>29.10.2024</c:v>
                </c:pt>
                <c:pt idx="964">
                  <c:v>30.10.2024</c:v>
                </c:pt>
                <c:pt idx="965">
                  <c:v>31.10.2024</c:v>
                </c:pt>
                <c:pt idx="966">
                  <c:v>04.11.2024</c:v>
                </c:pt>
                <c:pt idx="967">
                  <c:v>05.11.2024</c:v>
                </c:pt>
                <c:pt idx="968">
                  <c:v>06.11.2024</c:v>
                </c:pt>
                <c:pt idx="969">
                  <c:v>07.11.2024</c:v>
                </c:pt>
                <c:pt idx="970">
                  <c:v>11.11.2024</c:v>
                </c:pt>
                <c:pt idx="971">
                  <c:v>12.11.2024</c:v>
                </c:pt>
                <c:pt idx="972">
                  <c:v>13.11.2024</c:v>
                </c:pt>
                <c:pt idx="973">
                  <c:v>14.11.2024</c:v>
                </c:pt>
                <c:pt idx="974">
                  <c:v>18.11.2024</c:v>
                </c:pt>
                <c:pt idx="975">
                  <c:v>19.11.2024</c:v>
                </c:pt>
                <c:pt idx="976">
                  <c:v>20.11.2024</c:v>
                </c:pt>
                <c:pt idx="977">
                  <c:v>21.11.2024</c:v>
                </c:pt>
                <c:pt idx="978">
                  <c:v>25.11.2024</c:v>
                </c:pt>
                <c:pt idx="979">
                  <c:v>26.11.2024</c:v>
                </c:pt>
                <c:pt idx="980">
                  <c:v>27.11.2024</c:v>
                </c:pt>
                <c:pt idx="981">
                  <c:v>02.12.2024</c:v>
                </c:pt>
                <c:pt idx="982">
                  <c:v>03.12.2024</c:v>
                </c:pt>
                <c:pt idx="983">
                  <c:v>04.12.2024</c:v>
                </c:pt>
                <c:pt idx="984">
                  <c:v>05.12.2024</c:v>
                </c:pt>
                <c:pt idx="985">
                  <c:v>09.12.2024</c:v>
                </c:pt>
                <c:pt idx="986">
                  <c:v>10.12.2024</c:v>
                </c:pt>
                <c:pt idx="987">
                  <c:v>11.12.2024</c:v>
                </c:pt>
                <c:pt idx="988">
                  <c:v>12.12.2024</c:v>
                </c:pt>
                <c:pt idx="989">
                  <c:v>16.12.2024</c:v>
                </c:pt>
                <c:pt idx="990">
                  <c:v>17.12.2024</c:v>
                </c:pt>
                <c:pt idx="991">
                  <c:v>18.12.2024</c:v>
                </c:pt>
                <c:pt idx="992">
                  <c:v>19.12.2024</c:v>
                </c:pt>
                <c:pt idx="993">
                  <c:v>23.12.2024</c:v>
                </c:pt>
                <c:pt idx="994">
                  <c:v>26.12.2024</c:v>
                </c:pt>
                <c:pt idx="995">
                  <c:v>30.12.2024</c:v>
                </c:pt>
                <c:pt idx="996">
                  <c:v>02.01.2025</c:v>
                </c:pt>
                <c:pt idx="997">
                  <c:v>06.01.2025</c:v>
                </c:pt>
                <c:pt idx="998">
                  <c:v>07.01.2025</c:v>
                </c:pt>
                <c:pt idx="999">
                  <c:v>08.01.2025</c:v>
                </c:pt>
                <c:pt idx="1000">
                  <c:v>09.01.2025</c:v>
                </c:pt>
                <c:pt idx="1001">
                  <c:v>13.01.2025</c:v>
                </c:pt>
                <c:pt idx="1002">
                  <c:v>14.01.2025</c:v>
                </c:pt>
                <c:pt idx="1003">
                  <c:v>15.01.2025</c:v>
                </c:pt>
                <c:pt idx="1004">
                  <c:v>16.01.2025</c:v>
                </c:pt>
                <c:pt idx="1005">
                  <c:v>21.01.2025</c:v>
                </c:pt>
                <c:pt idx="1006">
                  <c:v>22.01.2025</c:v>
                </c:pt>
                <c:pt idx="1007">
                  <c:v>23.01.2025</c:v>
                </c:pt>
                <c:pt idx="1008">
                  <c:v>27.01.2025</c:v>
                </c:pt>
                <c:pt idx="1009">
                  <c:v>28.01.2025</c:v>
                </c:pt>
                <c:pt idx="1010">
                  <c:v>29.01.2025</c:v>
                </c:pt>
                <c:pt idx="1011">
                  <c:v>30.01.2025</c:v>
                </c:pt>
                <c:pt idx="1012">
                  <c:v>03.02.2025</c:v>
                </c:pt>
                <c:pt idx="1013">
                  <c:v>04.02.2025</c:v>
                </c:pt>
                <c:pt idx="1014">
                  <c:v>05.02.2025</c:v>
                </c:pt>
                <c:pt idx="1015">
                  <c:v>06.02.2025</c:v>
                </c:pt>
                <c:pt idx="1016">
                  <c:v>10.02.2025</c:v>
                </c:pt>
                <c:pt idx="1017">
                  <c:v>11.02.2025</c:v>
                </c:pt>
                <c:pt idx="1018">
                  <c:v>12.02.2025</c:v>
                </c:pt>
                <c:pt idx="1019">
                  <c:v>13.02.2025</c:v>
                </c:pt>
                <c:pt idx="1020">
                  <c:v>18.02.2025</c:v>
                </c:pt>
                <c:pt idx="1021">
                  <c:v>19.02.2025</c:v>
                </c:pt>
                <c:pt idx="1022">
                  <c:v>20.02.2025</c:v>
                </c:pt>
                <c:pt idx="1023">
                  <c:v>24.02.2025</c:v>
                </c:pt>
                <c:pt idx="1024">
                  <c:v>25.02.2025</c:v>
                </c:pt>
                <c:pt idx="1025">
                  <c:v>26.02.2025</c:v>
                </c:pt>
                <c:pt idx="1026">
                  <c:v>27.02.2025</c:v>
                </c:pt>
                <c:pt idx="1027">
                  <c:v>03.03.2025</c:v>
                </c:pt>
                <c:pt idx="1028">
                  <c:v>04.03.2025</c:v>
                </c:pt>
                <c:pt idx="1029">
                  <c:v>05.03.2025</c:v>
                </c:pt>
                <c:pt idx="1030">
                  <c:v>06.03.2025</c:v>
                </c:pt>
                <c:pt idx="1031">
                  <c:v>10.03.2025</c:v>
                </c:pt>
                <c:pt idx="1032">
                  <c:v>11.03.2025</c:v>
                </c:pt>
                <c:pt idx="1033">
                  <c:v>12.03.2025</c:v>
                </c:pt>
                <c:pt idx="1034">
                  <c:v>13.03.2025</c:v>
                </c:pt>
                <c:pt idx="1035">
                  <c:v>17.03.2025</c:v>
                </c:pt>
                <c:pt idx="1036">
                  <c:v>18.03.2025</c:v>
                </c:pt>
                <c:pt idx="1037">
                  <c:v>19.03.2025</c:v>
                </c:pt>
                <c:pt idx="1038">
                  <c:v>20.03.2025</c:v>
                </c:pt>
                <c:pt idx="1039">
                  <c:v>24.03.2025</c:v>
                </c:pt>
                <c:pt idx="1040">
                  <c:v>25.03.2025</c:v>
                </c:pt>
                <c:pt idx="1041">
                  <c:v>26.03.2025</c:v>
                </c:pt>
                <c:pt idx="1042">
                  <c:v>27.03.2025</c:v>
                </c:pt>
                <c:pt idx="1043">
                  <c:v>31.03.2025</c:v>
                </c:pt>
                <c:pt idx="1044">
                  <c:v>01.04.2025</c:v>
                </c:pt>
                <c:pt idx="1045">
                  <c:v>02.04.2025</c:v>
                </c:pt>
                <c:pt idx="1046">
                  <c:v>03.04.2025</c:v>
                </c:pt>
                <c:pt idx="1047">
                  <c:v>07.04.2025</c:v>
                </c:pt>
                <c:pt idx="1048">
                  <c:v>08.04.2025</c:v>
                </c:pt>
                <c:pt idx="1049">
                  <c:v>09.04.2025</c:v>
                </c:pt>
                <c:pt idx="1050">
                  <c:v>10.04.2025</c:v>
                </c:pt>
                <c:pt idx="1051">
                  <c:v>14.04.2025</c:v>
                </c:pt>
                <c:pt idx="1052">
                  <c:v>15.04.2025</c:v>
                </c:pt>
                <c:pt idx="1053">
                  <c:v>16.04.2025</c:v>
                </c:pt>
                <c:pt idx="1054">
                  <c:v>21.04.2025</c:v>
                </c:pt>
                <c:pt idx="1055">
                  <c:v>22.04.2025</c:v>
                </c:pt>
                <c:pt idx="1056">
                  <c:v>23.04.2025</c:v>
                </c:pt>
                <c:pt idx="1057">
                  <c:v>24.04.2025</c:v>
                </c:pt>
                <c:pt idx="1058">
                  <c:v>28.04.2025</c:v>
                </c:pt>
                <c:pt idx="1059">
                  <c:v>29.04.2025</c:v>
                </c:pt>
                <c:pt idx="1060">
                  <c:v>30.04.2025</c:v>
                </c:pt>
                <c:pt idx="1061">
                  <c:v>01.05.2025</c:v>
                </c:pt>
                <c:pt idx="1062">
                  <c:v>05.05.2025</c:v>
                </c:pt>
                <c:pt idx="1063">
                  <c:v>06.05.2025</c:v>
                </c:pt>
                <c:pt idx="1064">
                  <c:v>07.05.2025</c:v>
                </c:pt>
                <c:pt idx="1065">
                  <c:v>08.05.2025</c:v>
                </c:pt>
                <c:pt idx="1066">
                  <c:v>12.05.2025</c:v>
                </c:pt>
                <c:pt idx="1067">
                  <c:v>13.05.2025</c:v>
                </c:pt>
                <c:pt idx="1068">
                  <c:v>14.05.2025</c:v>
                </c:pt>
                <c:pt idx="1069">
                  <c:v>15.05.2025</c:v>
                </c:pt>
                <c:pt idx="1070">
                  <c:v>19.05.2025</c:v>
                </c:pt>
                <c:pt idx="1071">
                  <c:v>20.05.2025</c:v>
                </c:pt>
                <c:pt idx="1072">
                  <c:v>21.05.2025</c:v>
                </c:pt>
                <c:pt idx="1073">
                  <c:v>22.05.2025</c:v>
                </c:pt>
                <c:pt idx="1074">
                  <c:v>25.05.2025</c:v>
                </c:pt>
                <c:pt idx="1075">
                  <c:v>27.05.2025</c:v>
                </c:pt>
                <c:pt idx="1076">
                  <c:v>28.05.2025</c:v>
                </c:pt>
                <c:pt idx="1077">
                  <c:v>29.05.2025</c:v>
                </c:pt>
                <c:pt idx="1078">
                  <c:v>02.06.2025</c:v>
                </c:pt>
                <c:pt idx="1079">
                  <c:v>03.06.2025</c:v>
                </c:pt>
                <c:pt idx="1080">
                  <c:v>04.06.2025</c:v>
                </c:pt>
                <c:pt idx="1081">
                  <c:v>05.06.2025</c:v>
                </c:pt>
                <c:pt idx="1082">
                  <c:v>09.06.2025</c:v>
                </c:pt>
                <c:pt idx="1083">
                  <c:v>10.06.2025</c:v>
                </c:pt>
                <c:pt idx="1084">
                  <c:v>11.06.2025</c:v>
                </c:pt>
                <c:pt idx="1085">
                  <c:v>12.06.2025</c:v>
                </c:pt>
                <c:pt idx="1086">
                  <c:v>16.06.2025</c:v>
                </c:pt>
                <c:pt idx="1087">
                  <c:v>17.06.2025</c:v>
                </c:pt>
                <c:pt idx="1088">
                  <c:v>18.06.2025</c:v>
                </c:pt>
                <c:pt idx="1089">
                  <c:v>23.06.2025</c:v>
                </c:pt>
                <c:pt idx="1090">
                  <c:v>24.06.2025</c:v>
                </c:pt>
                <c:pt idx="1091">
                  <c:v>25.06.2025</c:v>
                </c:pt>
                <c:pt idx="1092">
                  <c:v>26.06.2025</c:v>
                </c:pt>
                <c:pt idx="1093">
                  <c:v>30.06.2025</c:v>
                </c:pt>
                <c:pt idx="1094">
                  <c:v>01.07.2025</c:v>
                </c:pt>
                <c:pt idx="1095">
                  <c:v>02.07.2025</c:v>
                </c:pt>
                <c:pt idx="1096">
                  <c:v>03.07.2025</c:v>
                </c:pt>
                <c:pt idx="1097">
                  <c:v>07.07.2025</c:v>
                </c:pt>
                <c:pt idx="1098">
                  <c:v>08.07.2025</c:v>
                </c:pt>
                <c:pt idx="1099">
                  <c:v>09.07.2025</c:v>
                </c:pt>
                <c:pt idx="1100">
                  <c:v>10.07.2025</c:v>
                </c:pt>
                <c:pt idx="1101">
                  <c:v>14.07.2025</c:v>
                </c:pt>
                <c:pt idx="1102">
                  <c:v>15.07.2025</c:v>
                </c:pt>
                <c:pt idx="1103">
                  <c:v>16.07.2025</c:v>
                </c:pt>
                <c:pt idx="1104">
                  <c:v>17.07.2025</c:v>
                </c:pt>
                <c:pt idx="1105">
                  <c:v>21.07.2025</c:v>
                </c:pt>
                <c:pt idx="1106">
                  <c:v>22.07.2025</c:v>
                </c:pt>
                <c:pt idx="1107">
                  <c:v>23.07.2025</c:v>
                </c:pt>
                <c:pt idx="1108">
                  <c:v>24.07.2025</c:v>
                </c:pt>
                <c:pt idx="1109">
                  <c:v>28.07.2025</c:v>
                </c:pt>
                <c:pt idx="1110">
                  <c:v>29.07.2025</c:v>
                </c:pt>
                <c:pt idx="1111">
                  <c:v>30.07.2025</c:v>
                </c:pt>
                <c:pt idx="1112">
                  <c:v>31.07.2025</c:v>
                </c:pt>
                <c:pt idx="1113">
                  <c:v>04.08.2025</c:v>
                </c:pt>
                <c:pt idx="1114">
                  <c:v>05.08.2025</c:v>
                </c:pt>
                <c:pt idx="1115">
                  <c:v>06.08.2025</c:v>
                </c:pt>
                <c:pt idx="1116">
                  <c:v>07.08.2025</c:v>
                </c:pt>
                <c:pt idx="1117">
                  <c:v>11.08.2025</c:v>
                </c:pt>
                <c:pt idx="1118">
                  <c:v>12.08.2025</c:v>
                </c:pt>
                <c:pt idx="1119">
                  <c:v>13.08.2025</c:v>
                </c:pt>
                <c:pt idx="1120">
                  <c:v>14.08.2025</c:v>
                </c:pt>
                <c:pt idx="1121">
                  <c:v>18.08.2025</c:v>
                </c:pt>
                <c:pt idx="1122">
                  <c:v>19.08.2025</c:v>
                </c:pt>
                <c:pt idx="1123">
                  <c:v>20.08.2025</c:v>
                </c:pt>
                <c:pt idx="1124">
                  <c:v>21.08.2025</c:v>
                </c:pt>
                <c:pt idx="1125">
                  <c:v>25.08.2025</c:v>
                </c:pt>
                <c:pt idx="1126">
                  <c:v>26.08.2025</c:v>
                </c:pt>
                <c:pt idx="1127">
                  <c:v>27.08.2025</c:v>
                </c:pt>
                <c:pt idx="1128">
                  <c:v>28.08.2025</c:v>
                </c:pt>
                <c:pt idx="1129">
                  <c:v>31.08.2025</c:v>
                </c:pt>
                <c:pt idx="1130">
                  <c:v>02.09.2025</c:v>
                </c:pt>
                <c:pt idx="1131">
                  <c:v>03.09.2025</c:v>
                </c:pt>
                <c:pt idx="1132">
                  <c:v>04.09.2025</c:v>
                </c:pt>
                <c:pt idx="1133">
                  <c:v>08.09.2025</c:v>
                </c:pt>
                <c:pt idx="1134">
                  <c:v>09.09.2025</c:v>
                </c:pt>
                <c:pt idx="1135">
                  <c:v>10.09.2025</c:v>
                </c:pt>
                <c:pt idx="1136">
                  <c:v>11.09.2025</c:v>
                </c:pt>
                <c:pt idx="1137">
                  <c:v>15.09.2025</c:v>
                </c:pt>
                <c:pt idx="1138">
                  <c:v>16.09.2025</c:v>
                </c:pt>
                <c:pt idx="1139">
                  <c:v>17.09.2025</c:v>
                </c:pt>
                <c:pt idx="1140">
                  <c:v>18.09.2025</c:v>
                </c:pt>
                <c:pt idx="1141">
                  <c:v>22.09.2025</c:v>
                </c:pt>
                <c:pt idx="1142">
                  <c:v>23.09.2025</c:v>
                </c:pt>
                <c:pt idx="1143">
                  <c:v>24.09.2025</c:v>
                </c:pt>
                <c:pt idx="1144">
                  <c:v>25.09.2025</c:v>
                </c:pt>
                <c:pt idx="1145">
                  <c:v>29.09.2025</c:v>
                </c:pt>
                <c:pt idx="1146">
                  <c:v>30.09.2025</c:v>
                </c:pt>
                <c:pt idx="1147">
                  <c:v>01.10.2025</c:v>
                </c:pt>
                <c:pt idx="1148">
                  <c:v>02.10.2025</c:v>
                </c:pt>
                <c:pt idx="1149">
                  <c:v>06.10.2025</c:v>
                </c:pt>
                <c:pt idx="1150">
                  <c:v>07.10.2025</c:v>
                </c:pt>
                <c:pt idx="1151">
                  <c:v>08.10.2025</c:v>
                </c:pt>
                <c:pt idx="1152">
                  <c:v>09.10.2025</c:v>
                </c:pt>
                <c:pt idx="1153">
                  <c:v>13.10.2025</c:v>
                </c:pt>
                <c:pt idx="1154">
                  <c:v>14.10.2025</c:v>
                </c:pt>
                <c:pt idx="1155">
                  <c:v>15.10.2025</c:v>
                </c:pt>
                <c:pt idx="1156">
                  <c:v>16.10.2025</c:v>
                </c:pt>
                <c:pt idx="1157">
                  <c:v>20.10.2025</c:v>
                </c:pt>
                <c:pt idx="1158">
                  <c:v>21.10.2025</c:v>
                </c:pt>
                <c:pt idx="1159">
                  <c:v>22.10.2025</c:v>
                </c:pt>
                <c:pt idx="1160">
                  <c:v>23.10.2025</c:v>
                </c:pt>
                <c:pt idx="1161">
                  <c:v>27.10.2025</c:v>
                </c:pt>
                <c:pt idx="1162">
                  <c:v>28.10.2025</c:v>
                </c:pt>
                <c:pt idx="1163">
                  <c:v>29.10.2025</c:v>
                </c:pt>
                <c:pt idx="1164">
                  <c:v>30.10.2025</c:v>
                </c:pt>
                <c:pt idx="1165">
                  <c:v>03.11.2025</c:v>
                </c:pt>
                <c:pt idx="1166">
                  <c:v>04.11.2025</c:v>
                </c:pt>
                <c:pt idx="1167">
                  <c:v>05.11.2025</c:v>
                </c:pt>
                <c:pt idx="1168">
                  <c:v>06.11.2025</c:v>
                </c:pt>
                <c:pt idx="1169">
                  <c:v>10.11.2025</c:v>
                </c:pt>
                <c:pt idx="1170">
                  <c:v>11.11.2025</c:v>
                </c:pt>
                <c:pt idx="1171">
                  <c:v>12.11.2025</c:v>
                </c:pt>
                <c:pt idx="1172">
                  <c:v>13.11.2025</c:v>
                </c:pt>
                <c:pt idx="1173">
                  <c:v>17.11.2025</c:v>
                </c:pt>
                <c:pt idx="1174">
                  <c:v>18.11.2025</c:v>
                </c:pt>
                <c:pt idx="1175">
                  <c:v>19.11.2025</c:v>
                </c:pt>
                <c:pt idx="1176">
                  <c:v>20.11.2025</c:v>
                </c:pt>
                <c:pt idx="1177">
                  <c:v>24.11.2025</c:v>
                </c:pt>
                <c:pt idx="1178">
                  <c:v>25.11.2025</c:v>
                </c:pt>
                <c:pt idx="1179">
                  <c:v>26.11.2025</c:v>
                </c:pt>
                <c:pt idx="1180">
                  <c:v>01.12.2025</c:v>
                </c:pt>
                <c:pt idx="1181">
                  <c:v>02.12.2025</c:v>
                </c:pt>
                <c:pt idx="1182">
                  <c:v>03.12.2025</c:v>
                </c:pt>
                <c:pt idx="1183">
                  <c:v>04.12.2025</c:v>
                </c:pt>
                <c:pt idx="1184">
                  <c:v>08.12.2025</c:v>
                </c:pt>
                <c:pt idx="1185">
                  <c:v>09.12.2025</c:v>
                </c:pt>
                <c:pt idx="1186">
                  <c:v>10.12.2025</c:v>
                </c:pt>
                <c:pt idx="1187">
                  <c:v>11.12.2025</c:v>
                </c:pt>
                <c:pt idx="1188">
                  <c:v>15.12.2025</c:v>
                </c:pt>
                <c:pt idx="1189">
                  <c:v>16.12.2025</c:v>
                </c:pt>
                <c:pt idx="1190">
                  <c:v>17.12.2025</c:v>
                </c:pt>
                <c:pt idx="1191">
                  <c:v>18.12.2025</c:v>
                </c:pt>
                <c:pt idx="1192">
                  <c:v>22.12.2025</c:v>
                </c:pt>
                <c:pt idx="1193">
                  <c:v>23.12.2025</c:v>
                </c:pt>
                <c:pt idx="1194">
                  <c:v>25.12.2025</c:v>
                </c:pt>
                <c:pt idx="1195">
                  <c:v>29.12.2025</c:v>
                </c:pt>
                <c:pt idx="1196">
                  <c:v>30.12.2025</c:v>
                </c:pt>
              </c:strCache>
            </c:strRef>
          </c:cat>
          <c:val>
            <c:numRef>
              <c:f>Analysis!$G$2:$G$1328</c:f>
              <c:numCache>
                <c:formatCode>0.00%</c:formatCode>
                <c:ptCount val="1327"/>
                <c:pt idx="1">
                  <c:v>7.370054305663256E-3</c:v>
                </c:pt>
                <c:pt idx="2">
                  <c:v>1.9228637925302078E-2</c:v>
                </c:pt>
                <c:pt idx="3">
                  <c:v>6.7050869998892954E-3</c:v>
                </c:pt>
                <c:pt idx="4">
                  <c:v>-6.0955336362628525E-3</c:v>
                </c:pt>
                <c:pt idx="5">
                  <c:v>-2.7706971073922595E-3</c:v>
                </c:pt>
                <c:pt idx="6">
                  <c:v>-1.6845838412944614E-2</c:v>
                </c:pt>
                <c:pt idx="7">
                  <c:v>-3.2140086445749659E-3</c:v>
                </c:pt>
                <c:pt idx="8">
                  <c:v>-5.9292918098193129E-3</c:v>
                </c:pt>
                <c:pt idx="9">
                  <c:v>-1.3188518231186943E-2</c:v>
                </c:pt>
                <c:pt idx="10">
                  <c:v>-1.2080239388230078E-2</c:v>
                </c:pt>
                <c:pt idx="11">
                  <c:v>-1.2024825446082165E-2</c:v>
                </c:pt>
                <c:pt idx="12">
                  <c:v>5.5413942147853061E-4</c:v>
                </c:pt>
                <c:pt idx="13">
                  <c:v>-3.2583397982932562E-2</c:v>
                </c:pt>
                <c:pt idx="14">
                  <c:v>-3.0976393660645078E-2</c:v>
                </c:pt>
                <c:pt idx="15">
                  <c:v>-7.7579519006978534E-4</c:v>
                </c:pt>
                <c:pt idx="16">
                  <c:v>-1.850825667738001E-2</c:v>
                </c:pt>
                <c:pt idx="17">
                  <c:v>-2.4714618197938489E-2</c:v>
                </c:pt>
                <c:pt idx="18">
                  <c:v>-2.233181868558122E-2</c:v>
                </c:pt>
                <c:pt idx="19">
                  <c:v>-1.0473235065942594E-2</c:v>
                </c:pt>
                <c:pt idx="20">
                  <c:v>-1.2191067272525705E-2</c:v>
                </c:pt>
                <c:pt idx="21">
                  <c:v>-2.2608888396320387E-2</c:v>
                </c:pt>
                <c:pt idx="22">
                  <c:v>-2.8205696553252817E-2</c:v>
                </c:pt>
                <c:pt idx="23">
                  <c:v>-2.1389781669067895E-2</c:v>
                </c:pt>
                <c:pt idx="24">
                  <c:v>8.0904355535853269E-3</c:v>
                </c:pt>
                <c:pt idx="25">
                  <c:v>1.7344563892275431E-2</c:v>
                </c:pt>
                <c:pt idx="26">
                  <c:v>1.7787875429458137E-2</c:v>
                </c:pt>
                <c:pt idx="27">
                  <c:v>4.8598027263659478E-2</c:v>
                </c:pt>
                <c:pt idx="28">
                  <c:v>1.0140751413055515E-2</c:v>
                </c:pt>
                <c:pt idx="29">
                  <c:v>-9.5311980494292691E-3</c:v>
                </c:pt>
                <c:pt idx="30">
                  <c:v>-1.7233736007979606E-2</c:v>
                </c:pt>
                <c:pt idx="31">
                  <c:v>-7.2426022387232558E-2</c:v>
                </c:pt>
                <c:pt idx="32">
                  <c:v>-4.7545162362850522E-2</c:v>
                </c:pt>
                <c:pt idx="33">
                  <c:v>-4.4331153718275562E-2</c:v>
                </c:pt>
                <c:pt idx="34">
                  <c:v>-3.6185304222542319E-2</c:v>
                </c:pt>
                <c:pt idx="35">
                  <c:v>-5.4970630610661694E-2</c:v>
                </c:pt>
                <c:pt idx="36">
                  <c:v>-6.0456610883298297E-2</c:v>
                </c:pt>
                <c:pt idx="37">
                  <c:v>-7.0375706527762358E-2</c:v>
                </c:pt>
                <c:pt idx="38">
                  <c:v>-0.11309985592375044</c:v>
                </c:pt>
                <c:pt idx="39">
                  <c:v>-0.28981491743322613</c:v>
                </c:pt>
                <c:pt idx="40">
                  <c:v>-0.30760279286268427</c:v>
                </c:pt>
                <c:pt idx="41">
                  <c:v>-0.3476670730355757</c:v>
                </c:pt>
                <c:pt idx="42">
                  <c:v>-0.32760722597805603</c:v>
                </c:pt>
                <c:pt idx="43">
                  <c:v>-0.26515571317743547</c:v>
                </c:pt>
                <c:pt idx="44">
                  <c:v>-0.20996342679818242</c:v>
                </c:pt>
                <c:pt idx="45">
                  <c:v>-0.17582843843511028</c:v>
                </c:pt>
                <c:pt idx="46">
                  <c:v>-0.18674498503823558</c:v>
                </c:pt>
                <c:pt idx="47">
                  <c:v>-0.21556023495511464</c:v>
                </c:pt>
                <c:pt idx="48">
                  <c:v>-0.21423030034356644</c:v>
                </c:pt>
                <c:pt idx="49">
                  <c:v>-0.22376149839299569</c:v>
                </c:pt>
                <c:pt idx="50">
                  <c:v>-0.18663415715393986</c:v>
                </c:pt>
                <c:pt idx="51">
                  <c:v>-0.15809597694780006</c:v>
                </c:pt>
                <c:pt idx="52">
                  <c:v>-0.14086224093982044</c:v>
                </c:pt>
                <c:pt idx="53">
                  <c:v>-0.15610107503047768</c:v>
                </c:pt>
                <c:pt idx="54">
                  <c:v>-0.13770364623739331</c:v>
                </c:pt>
                <c:pt idx="55">
                  <c:v>-0.10484317854372158</c:v>
                </c:pt>
                <c:pt idx="56">
                  <c:v>-0.13947689238612432</c:v>
                </c:pt>
                <c:pt idx="57">
                  <c:v>-0.13299346115482649</c:v>
                </c:pt>
                <c:pt idx="58">
                  <c:v>-0.13343677269200929</c:v>
                </c:pt>
                <c:pt idx="59">
                  <c:v>-0.17433226199711843</c:v>
                </c:pt>
                <c:pt idx="60">
                  <c:v>-0.14889726255125788</c:v>
                </c:pt>
                <c:pt idx="61">
                  <c:v>-0.14767815582400529</c:v>
                </c:pt>
                <c:pt idx="62">
                  <c:v>-0.15222209908012857</c:v>
                </c:pt>
                <c:pt idx="63">
                  <c:v>-0.15438324282389448</c:v>
                </c:pt>
                <c:pt idx="64">
                  <c:v>-0.15133547600576305</c:v>
                </c:pt>
                <c:pt idx="65">
                  <c:v>-0.17028704422032576</c:v>
                </c:pt>
                <c:pt idx="66">
                  <c:v>-0.1800953119804943</c:v>
                </c:pt>
                <c:pt idx="67">
                  <c:v>-0.16269533414607115</c:v>
                </c:pt>
                <c:pt idx="68">
                  <c:v>-0.16795965865011631</c:v>
                </c:pt>
                <c:pt idx="69">
                  <c:v>-0.13609664191510581</c:v>
                </c:pt>
                <c:pt idx="70">
                  <c:v>-0.13110938712179984</c:v>
                </c:pt>
                <c:pt idx="71">
                  <c:v>-0.12950238279951234</c:v>
                </c:pt>
                <c:pt idx="72">
                  <c:v>-0.13160811260113045</c:v>
                </c:pt>
                <c:pt idx="73">
                  <c:v>-0.10473235065942595</c:v>
                </c:pt>
                <c:pt idx="74">
                  <c:v>-3.2029258561454027E-2</c:v>
                </c:pt>
                <c:pt idx="75">
                  <c:v>-8.0350216114374144E-3</c:v>
                </c:pt>
                <c:pt idx="76">
                  <c:v>-8.3120913221769747E-4</c:v>
                </c:pt>
                <c:pt idx="77">
                  <c:v>-3.7792308544829803E-2</c:v>
                </c:pt>
                <c:pt idx="78">
                  <c:v>-2.4991687908677854E-2</c:v>
                </c:pt>
                <c:pt idx="79">
                  <c:v>-1.6014629280726916E-2</c:v>
                </c:pt>
                <c:pt idx="80">
                  <c:v>-2.0503158594701891E-3</c:v>
                </c:pt>
                <c:pt idx="81">
                  <c:v>4.560567438767596E-2</c:v>
                </c:pt>
                <c:pt idx="82">
                  <c:v>1.4906350437770249E-2</c:v>
                </c:pt>
                <c:pt idx="83">
                  <c:v>-1.8286600908787377E-3</c:v>
                </c:pt>
                <c:pt idx="84">
                  <c:v>3.8789759503491238E-3</c:v>
                </c:pt>
                <c:pt idx="85">
                  <c:v>-2.8261110495399746E-3</c:v>
                </c:pt>
                <c:pt idx="86">
                  <c:v>-8.3120913221765812E-3</c:v>
                </c:pt>
                <c:pt idx="87">
                  <c:v>-8.9770586279507396E-3</c:v>
                </c:pt>
                <c:pt idx="88">
                  <c:v>-4.211459603236203E-3</c:v>
                </c:pt>
                <c:pt idx="89">
                  <c:v>-3.114263548708842E-2</c:v>
                </c:pt>
                <c:pt idx="90">
                  <c:v>-1.7233736007979606E-2</c:v>
                </c:pt>
                <c:pt idx="91">
                  <c:v>-1.0306993239499055E-2</c:v>
                </c:pt>
                <c:pt idx="92">
                  <c:v>-2.4659204255790775E-2</c:v>
                </c:pt>
                <c:pt idx="93">
                  <c:v>-2.9923528759835142E-3</c:v>
                </c:pt>
                <c:pt idx="94">
                  <c:v>6.0401196941151369E-3</c:v>
                </c:pt>
                <c:pt idx="95">
                  <c:v>-1.7289149950127321E-2</c:v>
                </c:pt>
                <c:pt idx="96">
                  <c:v>-4.3222874875318302E-3</c:v>
                </c:pt>
                <c:pt idx="97">
                  <c:v>9.9745095866123697E-4</c:v>
                </c:pt>
                <c:pt idx="98">
                  <c:v>3.2749639809376098E-2</c:v>
                </c:pt>
                <c:pt idx="99">
                  <c:v>9.5311980494292691E-3</c:v>
                </c:pt>
                <c:pt idx="100">
                  <c:v>1.5294248032805043E-2</c:v>
                </c:pt>
                <c:pt idx="101">
                  <c:v>2.9701872991244674E-2</c:v>
                </c:pt>
                <c:pt idx="102">
                  <c:v>3.6185304222542521E-2</c:v>
                </c:pt>
                <c:pt idx="103">
                  <c:v>6.1786545494846613E-2</c:v>
                </c:pt>
                <c:pt idx="104">
                  <c:v>5.075917100742549E-2</c:v>
                </c:pt>
                <c:pt idx="105">
                  <c:v>9.6531087221544992E-2</c:v>
                </c:pt>
                <c:pt idx="106">
                  <c:v>8.223429014740119E-2</c:v>
                </c:pt>
                <c:pt idx="107">
                  <c:v>9.5034910783553139E-2</c:v>
                </c:pt>
                <c:pt idx="108">
                  <c:v>8.4617089659758449E-2</c:v>
                </c:pt>
                <c:pt idx="109">
                  <c:v>0.11891831984927413</c:v>
                </c:pt>
                <c:pt idx="110">
                  <c:v>0.19455835088108164</c:v>
                </c:pt>
                <c:pt idx="111">
                  <c:v>0.2825002770697107</c:v>
                </c:pt>
                <c:pt idx="112">
                  <c:v>0.27385570209464705</c:v>
                </c:pt>
                <c:pt idx="113">
                  <c:v>0.35769699656433568</c:v>
                </c:pt>
                <c:pt idx="114">
                  <c:v>0.34655879419261892</c:v>
                </c:pt>
                <c:pt idx="115">
                  <c:v>0.34772248697772373</c:v>
                </c:pt>
                <c:pt idx="116">
                  <c:v>0.29945694336695111</c:v>
                </c:pt>
                <c:pt idx="117">
                  <c:v>0.35791865233292697</c:v>
                </c:pt>
                <c:pt idx="118">
                  <c:v>0.44580516457940828</c:v>
                </c:pt>
                <c:pt idx="119">
                  <c:v>0.49357198271085007</c:v>
                </c:pt>
                <c:pt idx="120">
                  <c:v>0.57763493294913004</c:v>
                </c:pt>
                <c:pt idx="121">
                  <c:v>0.62423805829546719</c:v>
                </c:pt>
                <c:pt idx="122">
                  <c:v>0.44630389005873888</c:v>
                </c:pt>
                <c:pt idx="123">
                  <c:v>0.44203701651335481</c:v>
                </c:pt>
                <c:pt idx="124">
                  <c:v>0.53840186190845629</c:v>
                </c:pt>
                <c:pt idx="125">
                  <c:v>0.53590823451180314</c:v>
                </c:pt>
                <c:pt idx="126">
                  <c:v>0.55796298348664519</c:v>
                </c:pt>
                <c:pt idx="127">
                  <c:v>0.51751080571871899</c:v>
                </c:pt>
                <c:pt idx="128">
                  <c:v>0.50681591488418487</c:v>
                </c:pt>
                <c:pt idx="129">
                  <c:v>0.47739111160367959</c:v>
                </c:pt>
                <c:pt idx="130">
                  <c:v>0.4589382688684473</c:v>
                </c:pt>
                <c:pt idx="131">
                  <c:v>0.52465920425579082</c:v>
                </c:pt>
                <c:pt idx="132">
                  <c:v>0.50116369278510475</c:v>
                </c:pt>
                <c:pt idx="133">
                  <c:v>0.58095976947800076</c:v>
                </c:pt>
                <c:pt idx="134">
                  <c:v>0.5834533968746537</c:v>
                </c:pt>
                <c:pt idx="135">
                  <c:v>0.51518342014850937</c:v>
                </c:pt>
                <c:pt idx="136">
                  <c:v>0.48664523994236952</c:v>
                </c:pt>
                <c:pt idx="137">
                  <c:v>0.49323949905796299</c:v>
                </c:pt>
                <c:pt idx="138">
                  <c:v>0.49844840961986042</c:v>
                </c:pt>
                <c:pt idx="139">
                  <c:v>0.50997450958661195</c:v>
                </c:pt>
                <c:pt idx="140">
                  <c:v>0.51335476005763048</c:v>
                </c:pt>
                <c:pt idx="141">
                  <c:v>0.519949019173224</c:v>
                </c:pt>
                <c:pt idx="142">
                  <c:v>0.52072481436329399</c:v>
                </c:pt>
                <c:pt idx="143">
                  <c:v>0.49983375817355646</c:v>
                </c:pt>
                <c:pt idx="144">
                  <c:v>0.3496619749528983</c:v>
                </c:pt>
                <c:pt idx="145">
                  <c:v>0.35697661531641361</c:v>
                </c:pt>
                <c:pt idx="146">
                  <c:v>0.27834423140862241</c:v>
                </c:pt>
                <c:pt idx="147">
                  <c:v>0.28349772802837192</c:v>
                </c:pt>
                <c:pt idx="148">
                  <c:v>0.30621744430898812</c:v>
                </c:pt>
                <c:pt idx="149">
                  <c:v>0.35459381580405636</c:v>
                </c:pt>
                <c:pt idx="150">
                  <c:v>0.30189515682145629</c:v>
                </c:pt>
                <c:pt idx="151">
                  <c:v>0.34400975285381813</c:v>
                </c:pt>
                <c:pt idx="152">
                  <c:v>0.36096641915105837</c:v>
                </c:pt>
                <c:pt idx="153">
                  <c:v>0.32555691011858584</c:v>
                </c:pt>
                <c:pt idx="154">
                  <c:v>0.3241715615648898</c:v>
                </c:pt>
                <c:pt idx="155">
                  <c:v>0.32306328272193297</c:v>
                </c:pt>
                <c:pt idx="156">
                  <c:v>0.40036573201817588</c:v>
                </c:pt>
                <c:pt idx="157">
                  <c:v>0.33708301008533759</c:v>
                </c:pt>
                <c:pt idx="158">
                  <c:v>0.35182311869666411</c:v>
                </c:pt>
                <c:pt idx="159">
                  <c:v>0.34234733458938277</c:v>
                </c:pt>
                <c:pt idx="160">
                  <c:v>0.36861354316746098</c:v>
                </c:pt>
                <c:pt idx="161">
                  <c:v>0.38424027485315315</c:v>
                </c:pt>
                <c:pt idx="162">
                  <c:v>0.39870331375374046</c:v>
                </c:pt>
                <c:pt idx="163">
                  <c:v>0.36922309653108726</c:v>
                </c:pt>
                <c:pt idx="164">
                  <c:v>0.35320846725036031</c:v>
                </c:pt>
                <c:pt idx="165">
                  <c:v>0.3615205585725369</c:v>
                </c:pt>
                <c:pt idx="166">
                  <c:v>0.29441427463149744</c:v>
                </c:pt>
                <c:pt idx="167">
                  <c:v>0.29712955779674177</c:v>
                </c:pt>
                <c:pt idx="168">
                  <c:v>0.33397982932505826</c:v>
                </c:pt>
                <c:pt idx="169">
                  <c:v>0.35065942591155935</c:v>
                </c:pt>
                <c:pt idx="170">
                  <c:v>0.32622187742435999</c:v>
                </c:pt>
                <c:pt idx="171">
                  <c:v>0.39820458827440985</c:v>
                </c:pt>
                <c:pt idx="172">
                  <c:v>0.31530533082123469</c:v>
                </c:pt>
                <c:pt idx="173">
                  <c:v>0.35775241050648343</c:v>
                </c:pt>
                <c:pt idx="174">
                  <c:v>0.34689127784550605</c:v>
                </c:pt>
                <c:pt idx="175">
                  <c:v>0.34932949130001123</c:v>
                </c:pt>
                <c:pt idx="176">
                  <c:v>0.37631608112601134</c:v>
                </c:pt>
                <c:pt idx="177">
                  <c:v>0.36794857586168683</c:v>
                </c:pt>
                <c:pt idx="178">
                  <c:v>0.35653330377923093</c:v>
                </c:pt>
                <c:pt idx="179">
                  <c:v>0.33464479663083241</c:v>
                </c:pt>
                <c:pt idx="180">
                  <c:v>0.31192508035021621</c:v>
                </c:pt>
                <c:pt idx="181">
                  <c:v>0.29280727030920972</c:v>
                </c:pt>
                <c:pt idx="182">
                  <c:v>0.29596586501163702</c:v>
                </c:pt>
                <c:pt idx="183">
                  <c:v>0.25141305552477</c:v>
                </c:pt>
                <c:pt idx="184">
                  <c:v>0.33436772692009303</c:v>
                </c:pt>
                <c:pt idx="185">
                  <c:v>0.33359193173002327</c:v>
                </c:pt>
                <c:pt idx="186">
                  <c:v>0.33658428460600698</c:v>
                </c:pt>
                <c:pt idx="187">
                  <c:v>0.37293583065499281</c:v>
                </c:pt>
                <c:pt idx="188">
                  <c:v>0.36933392441538287</c:v>
                </c:pt>
                <c:pt idx="189">
                  <c:v>0.3278842956887954</c:v>
                </c:pt>
                <c:pt idx="190">
                  <c:v>0.33397982932505826</c:v>
                </c:pt>
                <c:pt idx="191">
                  <c:v>0.33115371827551809</c:v>
                </c:pt>
                <c:pt idx="192">
                  <c:v>0.36395877202704208</c:v>
                </c:pt>
                <c:pt idx="193">
                  <c:v>0.3863460046547712</c:v>
                </c:pt>
                <c:pt idx="194">
                  <c:v>0.44907458716613097</c:v>
                </c:pt>
                <c:pt idx="195">
                  <c:v>0.4596032361742215</c:v>
                </c:pt>
                <c:pt idx="196">
                  <c:v>0.41305552477003221</c:v>
                </c:pt>
                <c:pt idx="197">
                  <c:v>0.43438989249695237</c:v>
                </c:pt>
                <c:pt idx="198">
                  <c:v>0.46902360633935514</c:v>
                </c:pt>
                <c:pt idx="199">
                  <c:v>0.45090324725700992</c:v>
                </c:pt>
                <c:pt idx="200">
                  <c:v>0.47251468469466923</c:v>
                </c:pt>
                <c:pt idx="201">
                  <c:v>0.51634711293361424</c:v>
                </c:pt>
                <c:pt idx="202">
                  <c:v>0.53164136096641923</c:v>
                </c:pt>
                <c:pt idx="203">
                  <c:v>0.49850382356200834</c:v>
                </c:pt>
                <c:pt idx="204">
                  <c:v>0.51063947689238609</c:v>
                </c:pt>
                <c:pt idx="205">
                  <c:v>0.40108611326609772</c:v>
                </c:pt>
                <c:pt idx="206">
                  <c:v>0.40945361853042223</c:v>
                </c:pt>
                <c:pt idx="207">
                  <c:v>0.41704532860467691</c:v>
                </c:pt>
                <c:pt idx="208">
                  <c:v>0.42979053529868116</c:v>
                </c:pt>
                <c:pt idx="209">
                  <c:v>0.40308101518342021</c:v>
                </c:pt>
                <c:pt idx="210">
                  <c:v>0.42779563338135868</c:v>
                </c:pt>
                <c:pt idx="211">
                  <c:v>0.43267206029036909</c:v>
                </c:pt>
                <c:pt idx="212">
                  <c:v>0.41216890169566678</c:v>
                </c:pt>
                <c:pt idx="213">
                  <c:v>0.41516125457165032</c:v>
                </c:pt>
                <c:pt idx="214">
                  <c:v>0.40690457719162143</c:v>
                </c:pt>
                <c:pt idx="215">
                  <c:v>0.43771472902582298</c:v>
                </c:pt>
                <c:pt idx="216">
                  <c:v>0.63144187077468694</c:v>
                </c:pt>
                <c:pt idx="217">
                  <c:v>0.46436883519893601</c:v>
                </c:pt>
                <c:pt idx="218">
                  <c:v>0.49141083896708426</c:v>
                </c:pt>
                <c:pt idx="219">
                  <c:v>0.45522553474454175</c:v>
                </c:pt>
                <c:pt idx="220">
                  <c:v>0.52881524991687912</c:v>
                </c:pt>
                <c:pt idx="221">
                  <c:v>0.51983819128892828</c:v>
                </c:pt>
                <c:pt idx="222">
                  <c:v>0.50216114374376597</c:v>
                </c:pt>
                <c:pt idx="223">
                  <c:v>0.50016624182644354</c:v>
                </c:pt>
                <c:pt idx="224">
                  <c:v>0.51507259226421376</c:v>
                </c:pt>
                <c:pt idx="225">
                  <c:v>0.51474010861132669</c:v>
                </c:pt>
                <c:pt idx="226">
                  <c:v>0.50160700432228744</c:v>
                </c:pt>
                <c:pt idx="227">
                  <c:v>0.55774132771805396</c:v>
                </c:pt>
                <c:pt idx="228">
                  <c:v>0.53590823451180314</c:v>
                </c:pt>
                <c:pt idx="229">
                  <c:v>0.54571650227197155</c:v>
                </c:pt>
                <c:pt idx="230">
                  <c:v>0.53413498836307216</c:v>
                </c:pt>
                <c:pt idx="231">
                  <c:v>0.47833314862019294</c:v>
                </c:pt>
                <c:pt idx="232">
                  <c:v>0.48947135099190969</c:v>
                </c:pt>
                <c:pt idx="233">
                  <c:v>0.46220769145517021</c:v>
                </c:pt>
                <c:pt idx="234">
                  <c:v>0.41089438102626619</c:v>
                </c:pt>
                <c:pt idx="235">
                  <c:v>0.40025490413388004</c:v>
                </c:pt>
                <c:pt idx="236">
                  <c:v>0.45090324725700992</c:v>
                </c:pt>
                <c:pt idx="237">
                  <c:v>0.44796630832317408</c:v>
                </c:pt>
                <c:pt idx="238">
                  <c:v>0.45145738667848845</c:v>
                </c:pt>
                <c:pt idx="239">
                  <c:v>0.45672171118253357</c:v>
                </c:pt>
                <c:pt idx="240">
                  <c:v>0.44092873767039792</c:v>
                </c:pt>
                <c:pt idx="241">
                  <c:v>0.44397650448852938</c:v>
                </c:pt>
                <c:pt idx="242">
                  <c:v>0.46021278953784772</c:v>
                </c:pt>
                <c:pt idx="243">
                  <c:v>0.42796187520780227</c:v>
                </c:pt>
                <c:pt idx="244">
                  <c:v>0.3979275185636707</c:v>
                </c:pt>
                <c:pt idx="245">
                  <c:v>0.39814917433226216</c:v>
                </c:pt>
                <c:pt idx="246">
                  <c:v>0.3879530089770587</c:v>
                </c:pt>
                <c:pt idx="247">
                  <c:v>0.37265876094425365</c:v>
                </c:pt>
                <c:pt idx="248">
                  <c:v>0.33863460046547716</c:v>
                </c:pt>
                <c:pt idx="249">
                  <c:v>0.36052310761387568</c:v>
                </c:pt>
                <c:pt idx="250">
                  <c:v>0.37432117920868885</c:v>
                </c:pt>
                <c:pt idx="251">
                  <c:v>0.39903579740662753</c:v>
                </c:pt>
                <c:pt idx="252">
                  <c:v>0.40014407624958442</c:v>
                </c:pt>
                <c:pt idx="253">
                  <c:v>0.41881857475340795</c:v>
                </c:pt>
                <c:pt idx="254">
                  <c:v>0.37880970852266443</c:v>
                </c:pt>
                <c:pt idx="255">
                  <c:v>0.40984151612545722</c:v>
                </c:pt>
                <c:pt idx="256">
                  <c:v>0.41521666851379818</c:v>
                </c:pt>
                <c:pt idx="257">
                  <c:v>0.43959880305884963</c:v>
                </c:pt>
                <c:pt idx="258">
                  <c:v>0.43256123240607341</c:v>
                </c:pt>
                <c:pt idx="259">
                  <c:v>0.43267206029036909</c:v>
                </c:pt>
                <c:pt idx="260">
                  <c:v>0.47323506594259113</c:v>
                </c:pt>
                <c:pt idx="261">
                  <c:v>0.45184528427352322</c:v>
                </c:pt>
                <c:pt idx="262">
                  <c:v>0.45339687465366302</c:v>
                </c:pt>
                <c:pt idx="263">
                  <c:v>0.46459049096752747</c:v>
                </c:pt>
                <c:pt idx="264">
                  <c:v>0.44641471794303456</c:v>
                </c:pt>
                <c:pt idx="265">
                  <c:v>0.4454726809265212</c:v>
                </c:pt>
                <c:pt idx="266">
                  <c:v>0.49395988030588506</c:v>
                </c:pt>
                <c:pt idx="267">
                  <c:v>0.47168347556245155</c:v>
                </c:pt>
                <c:pt idx="268">
                  <c:v>0.46968857364512906</c:v>
                </c:pt>
                <c:pt idx="269">
                  <c:v>0.52260888839632058</c:v>
                </c:pt>
                <c:pt idx="270">
                  <c:v>0.52344009752853826</c:v>
                </c:pt>
                <c:pt idx="271">
                  <c:v>0.53313753740441105</c:v>
                </c:pt>
                <c:pt idx="272">
                  <c:v>0.50969743987587279</c:v>
                </c:pt>
                <c:pt idx="273">
                  <c:v>0.49944586057852164</c:v>
                </c:pt>
                <c:pt idx="274">
                  <c:v>0.56677380028815261</c:v>
                </c:pt>
                <c:pt idx="275">
                  <c:v>0.5700432228748753</c:v>
                </c:pt>
                <c:pt idx="276">
                  <c:v>0.55297572869333922</c:v>
                </c:pt>
                <c:pt idx="277">
                  <c:v>0.55530311426354872</c:v>
                </c:pt>
                <c:pt idx="278">
                  <c:v>0.546326055635598</c:v>
                </c:pt>
                <c:pt idx="279">
                  <c:v>0.5546935608999225</c:v>
                </c:pt>
                <c:pt idx="280">
                  <c:v>0.54477446525545825</c:v>
                </c:pt>
                <c:pt idx="281">
                  <c:v>0.54909675274299008</c:v>
                </c:pt>
                <c:pt idx="282">
                  <c:v>0.55818463925523665</c:v>
                </c:pt>
                <c:pt idx="283">
                  <c:v>0.56378144741216885</c:v>
                </c:pt>
                <c:pt idx="284">
                  <c:v>0.52344009752853826</c:v>
                </c:pt>
                <c:pt idx="285">
                  <c:v>0.55341904023052213</c:v>
                </c:pt>
                <c:pt idx="286">
                  <c:v>0.5375706527762385</c:v>
                </c:pt>
                <c:pt idx="287">
                  <c:v>0.55253241715615653</c:v>
                </c:pt>
                <c:pt idx="288">
                  <c:v>0.55419483542059189</c:v>
                </c:pt>
                <c:pt idx="289">
                  <c:v>0.55458273301562666</c:v>
                </c:pt>
                <c:pt idx="290">
                  <c:v>0.53552033691676837</c:v>
                </c:pt>
                <c:pt idx="291">
                  <c:v>0.54205918209021386</c:v>
                </c:pt>
                <c:pt idx="292">
                  <c:v>0.43372492519117822</c:v>
                </c:pt>
                <c:pt idx="293">
                  <c:v>0.44314529535631164</c:v>
                </c:pt>
                <c:pt idx="294">
                  <c:v>0.43389116701762176</c:v>
                </c:pt>
                <c:pt idx="295">
                  <c:v>0.44807713620746992</c:v>
                </c:pt>
                <c:pt idx="296">
                  <c:v>0.4445860578521556</c:v>
                </c:pt>
                <c:pt idx="297">
                  <c:v>0.45400642801728924</c:v>
                </c:pt>
                <c:pt idx="298">
                  <c:v>0.4352765155713178</c:v>
                </c:pt>
                <c:pt idx="299">
                  <c:v>0.45151280062063615</c:v>
                </c:pt>
                <c:pt idx="300">
                  <c:v>0.44630389005873888</c:v>
                </c:pt>
                <c:pt idx="301">
                  <c:v>0.45040452177767931</c:v>
                </c:pt>
                <c:pt idx="302">
                  <c:v>0.44791089438102638</c:v>
                </c:pt>
                <c:pt idx="303">
                  <c:v>0.44004211459603232</c:v>
                </c:pt>
                <c:pt idx="304">
                  <c:v>0.45400642801728924</c:v>
                </c:pt>
                <c:pt idx="305">
                  <c:v>0.44852044774465266</c:v>
                </c:pt>
                <c:pt idx="306">
                  <c:v>0.45577967416602028</c:v>
                </c:pt>
                <c:pt idx="307">
                  <c:v>0.46259558905020498</c:v>
                </c:pt>
                <c:pt idx="308">
                  <c:v>0.3933281613653995</c:v>
                </c:pt>
                <c:pt idx="309">
                  <c:v>0.38507148398537083</c:v>
                </c:pt>
                <c:pt idx="310">
                  <c:v>0.39947910894381028</c:v>
                </c:pt>
                <c:pt idx="311">
                  <c:v>0.40646126565443874</c:v>
                </c:pt>
                <c:pt idx="312">
                  <c:v>0.40297018729912459</c:v>
                </c:pt>
                <c:pt idx="313">
                  <c:v>0.36589826000221665</c:v>
                </c:pt>
                <c:pt idx="314">
                  <c:v>0.37853263881192506</c:v>
                </c:pt>
                <c:pt idx="315">
                  <c:v>0.42962429347223763</c:v>
                </c:pt>
                <c:pt idx="316">
                  <c:v>0.41804277956333818</c:v>
                </c:pt>
                <c:pt idx="317">
                  <c:v>0.41831984927407734</c:v>
                </c:pt>
                <c:pt idx="318">
                  <c:v>0.41161476227418825</c:v>
                </c:pt>
                <c:pt idx="319">
                  <c:v>0.40213897816690691</c:v>
                </c:pt>
                <c:pt idx="320">
                  <c:v>0.28998115925966977</c:v>
                </c:pt>
                <c:pt idx="321">
                  <c:v>0.2967970741438547</c:v>
                </c:pt>
                <c:pt idx="322">
                  <c:v>0.30200598470575196</c:v>
                </c:pt>
                <c:pt idx="323">
                  <c:v>0.2812811703424582</c:v>
                </c:pt>
                <c:pt idx="324">
                  <c:v>0.31879640917654883</c:v>
                </c:pt>
                <c:pt idx="325">
                  <c:v>0.3114263548708856</c:v>
                </c:pt>
                <c:pt idx="326">
                  <c:v>0.29834866452399428</c:v>
                </c:pt>
                <c:pt idx="327">
                  <c:v>0.28776460157375605</c:v>
                </c:pt>
                <c:pt idx="328">
                  <c:v>0.3114263548708856</c:v>
                </c:pt>
                <c:pt idx="329">
                  <c:v>0.3248919428128117</c:v>
                </c:pt>
                <c:pt idx="330">
                  <c:v>0.3185747534079576</c:v>
                </c:pt>
                <c:pt idx="331">
                  <c:v>0.30594037459824897</c:v>
                </c:pt>
                <c:pt idx="332">
                  <c:v>0.3294913000110829</c:v>
                </c:pt>
                <c:pt idx="333">
                  <c:v>0.32943588606893498</c:v>
                </c:pt>
                <c:pt idx="334">
                  <c:v>0.34107281391998234</c:v>
                </c:pt>
                <c:pt idx="335">
                  <c:v>0.32439321733348109</c:v>
                </c:pt>
                <c:pt idx="336">
                  <c:v>0.349717388895046</c:v>
                </c:pt>
                <c:pt idx="337">
                  <c:v>0.33192951346558808</c:v>
                </c:pt>
                <c:pt idx="338">
                  <c:v>0.33857918652332925</c:v>
                </c:pt>
                <c:pt idx="339">
                  <c:v>0.31746647456500054</c:v>
                </c:pt>
                <c:pt idx="340">
                  <c:v>0.3223429014740109</c:v>
                </c:pt>
                <c:pt idx="341">
                  <c:v>0.317688130333592</c:v>
                </c:pt>
                <c:pt idx="342">
                  <c:v>0.26199711847500839</c:v>
                </c:pt>
                <c:pt idx="343">
                  <c:v>0.22935830654992792</c:v>
                </c:pt>
                <c:pt idx="344">
                  <c:v>0.25196719494624853</c:v>
                </c:pt>
                <c:pt idx="345">
                  <c:v>0.26842513576415833</c:v>
                </c:pt>
                <c:pt idx="346">
                  <c:v>0.25584617089659767</c:v>
                </c:pt>
                <c:pt idx="347">
                  <c:v>0.25706527762385012</c:v>
                </c:pt>
                <c:pt idx="348">
                  <c:v>0.24459714064058527</c:v>
                </c:pt>
                <c:pt idx="349">
                  <c:v>0.19056854704643689</c:v>
                </c:pt>
                <c:pt idx="350">
                  <c:v>0.22171118253352551</c:v>
                </c:pt>
                <c:pt idx="351">
                  <c:v>0.25479330599578848</c:v>
                </c:pt>
                <c:pt idx="352">
                  <c:v>0.25279840407846621</c:v>
                </c:pt>
                <c:pt idx="353">
                  <c:v>0.24858694447523003</c:v>
                </c:pt>
                <c:pt idx="354">
                  <c:v>0.25556910118585846</c:v>
                </c:pt>
                <c:pt idx="355">
                  <c:v>0.25595699878089329</c:v>
                </c:pt>
                <c:pt idx="356">
                  <c:v>0.24758949351656878</c:v>
                </c:pt>
                <c:pt idx="357">
                  <c:v>0.28394103956555483</c:v>
                </c:pt>
                <c:pt idx="358">
                  <c:v>0.30095311980494299</c:v>
                </c:pt>
                <c:pt idx="359">
                  <c:v>0.28914995012745209</c:v>
                </c:pt>
                <c:pt idx="360">
                  <c:v>0.32345118031696773</c:v>
                </c:pt>
                <c:pt idx="361">
                  <c:v>0.35459381580405636</c:v>
                </c:pt>
                <c:pt idx="362">
                  <c:v>0.33935498171339923</c:v>
                </c:pt>
                <c:pt idx="363">
                  <c:v>0.3627396652997894</c:v>
                </c:pt>
                <c:pt idx="364">
                  <c:v>0.33481103845727594</c:v>
                </c:pt>
                <c:pt idx="365">
                  <c:v>0.34051867449850381</c:v>
                </c:pt>
                <c:pt idx="366">
                  <c:v>0.33763714950681595</c:v>
                </c:pt>
                <c:pt idx="367">
                  <c:v>0.33497728028371948</c:v>
                </c:pt>
                <c:pt idx="368">
                  <c:v>0.30355757508589171</c:v>
                </c:pt>
                <c:pt idx="369">
                  <c:v>0.2884295688795302</c:v>
                </c:pt>
                <c:pt idx="370">
                  <c:v>0.32605563559791645</c:v>
                </c:pt>
                <c:pt idx="371">
                  <c:v>0.36102183309320629</c:v>
                </c:pt>
                <c:pt idx="372">
                  <c:v>0.34860911005208911</c:v>
                </c:pt>
                <c:pt idx="373">
                  <c:v>0.37376703978721054</c:v>
                </c:pt>
                <c:pt idx="374">
                  <c:v>0.40308101518342021</c:v>
                </c:pt>
                <c:pt idx="375">
                  <c:v>0.39221988252244261</c:v>
                </c:pt>
                <c:pt idx="376">
                  <c:v>0.3832982378366398</c:v>
                </c:pt>
                <c:pt idx="377">
                  <c:v>0.39560013299346114</c:v>
                </c:pt>
                <c:pt idx="378">
                  <c:v>0.38086002438213462</c:v>
                </c:pt>
                <c:pt idx="379">
                  <c:v>0.3475562451512802</c:v>
                </c:pt>
                <c:pt idx="380">
                  <c:v>0.29956777125124695</c:v>
                </c:pt>
                <c:pt idx="381">
                  <c:v>0.30300343566441318</c:v>
                </c:pt>
                <c:pt idx="382">
                  <c:v>0.26543278288817462</c:v>
                </c:pt>
                <c:pt idx="383">
                  <c:v>0.26338246702870444</c:v>
                </c:pt>
                <c:pt idx="384">
                  <c:v>0.23706084450847847</c:v>
                </c:pt>
                <c:pt idx="385">
                  <c:v>0.23595256566552139</c:v>
                </c:pt>
                <c:pt idx="386">
                  <c:v>0.23307104067383352</c:v>
                </c:pt>
                <c:pt idx="387">
                  <c:v>0.24747866563227314</c:v>
                </c:pt>
                <c:pt idx="388">
                  <c:v>0.24249141083896716</c:v>
                </c:pt>
                <c:pt idx="389">
                  <c:v>0.21916214119472471</c:v>
                </c:pt>
                <c:pt idx="390">
                  <c:v>0.23656211902914784</c:v>
                </c:pt>
                <c:pt idx="391">
                  <c:v>0.2140640585171229</c:v>
                </c:pt>
                <c:pt idx="392">
                  <c:v>0.19306217444308998</c:v>
                </c:pt>
                <c:pt idx="393">
                  <c:v>0.2452066940042115</c:v>
                </c:pt>
                <c:pt idx="394">
                  <c:v>0.23467804499612099</c:v>
                </c:pt>
                <c:pt idx="395">
                  <c:v>0.24753407957442106</c:v>
                </c:pt>
                <c:pt idx="396">
                  <c:v>0.26365953673944359</c:v>
                </c:pt>
                <c:pt idx="397">
                  <c:v>0.27346780449961222</c:v>
                </c:pt>
                <c:pt idx="398">
                  <c:v>0.28078244486312759</c:v>
                </c:pt>
                <c:pt idx="399">
                  <c:v>0.26620857807824461</c:v>
                </c:pt>
                <c:pt idx="400">
                  <c:v>0.2778455059292918</c:v>
                </c:pt>
                <c:pt idx="401">
                  <c:v>0.26399202039233066</c:v>
                </c:pt>
                <c:pt idx="402">
                  <c:v>0.27762385016070051</c:v>
                </c:pt>
                <c:pt idx="403">
                  <c:v>0.28394103956555483</c:v>
                </c:pt>
                <c:pt idx="404">
                  <c:v>0.2296353762606673</c:v>
                </c:pt>
                <c:pt idx="405">
                  <c:v>0.24470796852488089</c:v>
                </c:pt>
                <c:pt idx="406">
                  <c:v>0.2641028482766265</c:v>
                </c:pt>
                <c:pt idx="407">
                  <c:v>0.28599135542502502</c:v>
                </c:pt>
                <c:pt idx="408">
                  <c:v>0.28349772802837192</c:v>
                </c:pt>
                <c:pt idx="409">
                  <c:v>0.30178432893716067</c:v>
                </c:pt>
                <c:pt idx="410">
                  <c:v>0.34273523218441776</c:v>
                </c:pt>
                <c:pt idx="411">
                  <c:v>0.36961099412612225</c:v>
                </c:pt>
                <c:pt idx="412">
                  <c:v>0.31885182311869675</c:v>
                </c:pt>
                <c:pt idx="413">
                  <c:v>0.3241715615648898</c:v>
                </c:pt>
                <c:pt idx="414">
                  <c:v>0.31923972071373152</c:v>
                </c:pt>
                <c:pt idx="415">
                  <c:v>0.25656655214451951</c:v>
                </c:pt>
                <c:pt idx="416">
                  <c:v>0.24232516901252363</c:v>
                </c:pt>
                <c:pt idx="417">
                  <c:v>0.25335254349994457</c:v>
                </c:pt>
                <c:pt idx="418">
                  <c:v>0.25955890502050322</c:v>
                </c:pt>
                <c:pt idx="419">
                  <c:v>0.24110606228527093</c:v>
                </c:pt>
                <c:pt idx="420">
                  <c:v>0.27995123573090991</c:v>
                </c:pt>
                <c:pt idx="421">
                  <c:v>0.28676715061509483</c:v>
                </c:pt>
                <c:pt idx="422">
                  <c:v>0.29458051645794076</c:v>
                </c:pt>
                <c:pt idx="423">
                  <c:v>0.30472126787099646</c:v>
                </c:pt>
                <c:pt idx="424">
                  <c:v>0.32311869666408066</c:v>
                </c:pt>
                <c:pt idx="425">
                  <c:v>0.29496841405297575</c:v>
                </c:pt>
                <c:pt idx="426">
                  <c:v>0.30959769478000665</c:v>
                </c:pt>
                <c:pt idx="427">
                  <c:v>0.32455945915992462</c:v>
                </c:pt>
                <c:pt idx="428">
                  <c:v>0.34827662639920204</c:v>
                </c:pt>
                <c:pt idx="429">
                  <c:v>0.36174221434112835</c:v>
                </c:pt>
                <c:pt idx="430">
                  <c:v>0.36855812922531311</c:v>
                </c:pt>
                <c:pt idx="431">
                  <c:v>0.35021611437437661</c:v>
                </c:pt>
                <c:pt idx="432">
                  <c:v>0.41532749639809385</c:v>
                </c:pt>
                <c:pt idx="433">
                  <c:v>0.39587720270420051</c:v>
                </c:pt>
                <c:pt idx="434">
                  <c:v>0.39709630943145297</c:v>
                </c:pt>
                <c:pt idx="435">
                  <c:v>0.42524659204255788</c:v>
                </c:pt>
                <c:pt idx="436">
                  <c:v>0.49035797406627513</c:v>
                </c:pt>
                <c:pt idx="437">
                  <c:v>0.43056633048875098</c:v>
                </c:pt>
                <c:pt idx="438">
                  <c:v>0.45494846503380254</c:v>
                </c:pt>
                <c:pt idx="439">
                  <c:v>0.40186190845616754</c:v>
                </c:pt>
                <c:pt idx="440">
                  <c:v>0.39410395655546948</c:v>
                </c:pt>
                <c:pt idx="441">
                  <c:v>0.36927851047323518</c:v>
                </c:pt>
                <c:pt idx="442">
                  <c:v>0.41948354205918215</c:v>
                </c:pt>
                <c:pt idx="443">
                  <c:v>0.40269311758838522</c:v>
                </c:pt>
                <c:pt idx="444">
                  <c:v>0.38002881524991694</c:v>
                </c:pt>
                <c:pt idx="445">
                  <c:v>0.3958217887620526</c:v>
                </c:pt>
                <c:pt idx="446">
                  <c:v>0.43632938047212694</c:v>
                </c:pt>
                <c:pt idx="447">
                  <c:v>0.39620968635708759</c:v>
                </c:pt>
                <c:pt idx="448">
                  <c:v>0.37071927296907908</c:v>
                </c:pt>
                <c:pt idx="449">
                  <c:v>0.39343898924969534</c:v>
                </c:pt>
                <c:pt idx="450">
                  <c:v>0.39410395655546948</c:v>
                </c:pt>
                <c:pt idx="451">
                  <c:v>0.36517787875429458</c:v>
                </c:pt>
                <c:pt idx="452">
                  <c:v>0.36251800953119817</c:v>
                </c:pt>
                <c:pt idx="453">
                  <c:v>0.35814030810151842</c:v>
                </c:pt>
                <c:pt idx="454">
                  <c:v>0.37343455613432347</c:v>
                </c:pt>
                <c:pt idx="455">
                  <c:v>0.38656766042336249</c:v>
                </c:pt>
                <c:pt idx="456">
                  <c:v>0.42796187520780227</c:v>
                </c:pt>
                <c:pt idx="457">
                  <c:v>0.44408733237282499</c:v>
                </c:pt>
                <c:pt idx="458">
                  <c:v>0.4507924193727143</c:v>
                </c:pt>
                <c:pt idx="459">
                  <c:v>0.40895489305109162</c:v>
                </c:pt>
                <c:pt idx="460">
                  <c:v>0.40213897816690691</c:v>
                </c:pt>
                <c:pt idx="461">
                  <c:v>0.36634157153939934</c:v>
                </c:pt>
                <c:pt idx="462">
                  <c:v>0.31319960101961658</c:v>
                </c:pt>
                <c:pt idx="463">
                  <c:v>0.30621744430898812</c:v>
                </c:pt>
                <c:pt idx="464">
                  <c:v>0.30128560345783006</c:v>
                </c:pt>
                <c:pt idx="465">
                  <c:v>0.28455059292918106</c:v>
                </c:pt>
                <c:pt idx="466">
                  <c:v>0.25146846946691792</c:v>
                </c:pt>
                <c:pt idx="467">
                  <c:v>0.25595699878089329</c:v>
                </c:pt>
                <c:pt idx="468">
                  <c:v>0.2413831319960103</c:v>
                </c:pt>
                <c:pt idx="469">
                  <c:v>0.24365510362407194</c:v>
                </c:pt>
                <c:pt idx="470">
                  <c:v>0.20913221766596482</c:v>
                </c:pt>
                <c:pt idx="471">
                  <c:v>0.18718829657541838</c:v>
                </c:pt>
                <c:pt idx="472">
                  <c:v>0.19555580183974289</c:v>
                </c:pt>
                <c:pt idx="473">
                  <c:v>0.15111382023717171</c:v>
                </c:pt>
                <c:pt idx="474">
                  <c:v>0.19422586722819457</c:v>
                </c:pt>
                <c:pt idx="475">
                  <c:v>0.20525324171561568</c:v>
                </c:pt>
                <c:pt idx="476">
                  <c:v>0.19383796963315977</c:v>
                </c:pt>
                <c:pt idx="477">
                  <c:v>0.21400864457497518</c:v>
                </c:pt>
                <c:pt idx="478">
                  <c:v>0.20375706527762383</c:v>
                </c:pt>
                <c:pt idx="479">
                  <c:v>0.22259780560789091</c:v>
                </c:pt>
                <c:pt idx="480">
                  <c:v>0.21190291477335707</c:v>
                </c:pt>
                <c:pt idx="481">
                  <c:v>0.21716723927740222</c:v>
                </c:pt>
                <c:pt idx="482">
                  <c:v>0.20453286046769362</c:v>
                </c:pt>
                <c:pt idx="483">
                  <c:v>0.21700099745095869</c:v>
                </c:pt>
                <c:pt idx="484">
                  <c:v>0.23739332816136535</c:v>
                </c:pt>
                <c:pt idx="485">
                  <c:v>0.22725257674830984</c:v>
                </c:pt>
                <c:pt idx="486">
                  <c:v>0.23201817577302455</c:v>
                </c:pt>
                <c:pt idx="487">
                  <c:v>0.22730799069045773</c:v>
                </c:pt>
                <c:pt idx="488">
                  <c:v>0.21157043112047</c:v>
                </c:pt>
                <c:pt idx="489">
                  <c:v>0.18059403745982491</c:v>
                </c:pt>
                <c:pt idx="490">
                  <c:v>0.1636927851047324</c:v>
                </c:pt>
                <c:pt idx="491">
                  <c:v>0.18934944031918441</c:v>
                </c:pt>
                <c:pt idx="492">
                  <c:v>0.21511692341793204</c:v>
                </c:pt>
                <c:pt idx="493">
                  <c:v>0.20874432007092983</c:v>
                </c:pt>
                <c:pt idx="494">
                  <c:v>0.18946026820348003</c:v>
                </c:pt>
                <c:pt idx="495">
                  <c:v>0.16679596586501172</c:v>
                </c:pt>
                <c:pt idx="496">
                  <c:v>0.17355646680704873</c:v>
                </c:pt>
                <c:pt idx="497">
                  <c:v>0.15477114041892936</c:v>
                </c:pt>
                <c:pt idx="498">
                  <c:v>0.14917433226199714</c:v>
                </c:pt>
                <c:pt idx="499">
                  <c:v>0.12778455059292923</c:v>
                </c:pt>
                <c:pt idx="500">
                  <c:v>5.956998780893269E-2</c:v>
                </c:pt>
                <c:pt idx="501">
                  <c:v>6.1675717610550788E-2</c:v>
                </c:pt>
                <c:pt idx="502">
                  <c:v>6.3282721932838279E-2</c:v>
                </c:pt>
                <c:pt idx="503">
                  <c:v>6.017954117255913E-2</c:v>
                </c:pt>
                <c:pt idx="504">
                  <c:v>5.0537515238834041E-2</c:v>
                </c:pt>
                <c:pt idx="505">
                  <c:v>6.3615205585725351E-2</c:v>
                </c:pt>
                <c:pt idx="506">
                  <c:v>9.9190956444642608E-3</c:v>
                </c:pt>
                <c:pt idx="507">
                  <c:v>4.3998670065388483E-2</c:v>
                </c:pt>
                <c:pt idx="508">
                  <c:v>3.6961099412612303E-2</c:v>
                </c:pt>
                <c:pt idx="509">
                  <c:v>3.4467472015959212E-2</c:v>
                </c:pt>
                <c:pt idx="510">
                  <c:v>3.7293583065499382E-2</c:v>
                </c:pt>
                <c:pt idx="511">
                  <c:v>1.5626731685692122E-2</c:v>
                </c:pt>
                <c:pt idx="512">
                  <c:v>2.7097417710295953E-2</c:v>
                </c:pt>
                <c:pt idx="513">
                  <c:v>3.0699323949905911E-2</c:v>
                </c:pt>
                <c:pt idx="514">
                  <c:v>0.10373489970076472</c:v>
                </c:pt>
                <c:pt idx="515">
                  <c:v>0.13110938712179984</c:v>
                </c:pt>
                <c:pt idx="516">
                  <c:v>0.11875207802283058</c:v>
                </c:pt>
                <c:pt idx="517">
                  <c:v>0.1053419040230522</c:v>
                </c:pt>
                <c:pt idx="518">
                  <c:v>0.11786545494846498</c:v>
                </c:pt>
                <c:pt idx="519">
                  <c:v>0.14507370054305677</c:v>
                </c:pt>
                <c:pt idx="520">
                  <c:v>0.13770364623739331</c:v>
                </c:pt>
                <c:pt idx="521">
                  <c:v>0.15205585725368501</c:v>
                </c:pt>
                <c:pt idx="522">
                  <c:v>0.1301119361631386</c:v>
                </c:pt>
                <c:pt idx="523">
                  <c:v>0.12584506261775469</c:v>
                </c:pt>
                <c:pt idx="524">
                  <c:v>0.11537182755181208</c:v>
                </c:pt>
                <c:pt idx="525">
                  <c:v>9.5866119915770834E-2</c:v>
                </c:pt>
                <c:pt idx="526">
                  <c:v>8.1015183420148504E-2</c:v>
                </c:pt>
                <c:pt idx="527">
                  <c:v>4.8320957552920311E-2</c:v>
                </c:pt>
                <c:pt idx="528">
                  <c:v>5.6411393106505635E-2</c:v>
                </c:pt>
                <c:pt idx="529">
                  <c:v>4.9650892164468628E-2</c:v>
                </c:pt>
                <c:pt idx="530">
                  <c:v>6.1010750304776637E-2</c:v>
                </c:pt>
                <c:pt idx="531">
                  <c:v>3.0810151834201539E-2</c:v>
                </c:pt>
                <c:pt idx="532">
                  <c:v>1.0971960545273213E-2</c:v>
                </c:pt>
                <c:pt idx="533">
                  <c:v>-1.0916546603125301E-2</c:v>
                </c:pt>
                <c:pt idx="534">
                  <c:v>-2.2941372049207466E-2</c:v>
                </c:pt>
                <c:pt idx="535">
                  <c:v>-9.8636817023163483E-3</c:v>
                </c:pt>
                <c:pt idx="536">
                  <c:v>9.642025933724898E-3</c:v>
                </c:pt>
                <c:pt idx="537">
                  <c:v>1.9727363404632697E-2</c:v>
                </c:pt>
                <c:pt idx="538">
                  <c:v>9.808267760168457E-2</c:v>
                </c:pt>
                <c:pt idx="539">
                  <c:v>7.7745760833425812E-2</c:v>
                </c:pt>
                <c:pt idx="540">
                  <c:v>8.1957220436661829E-2</c:v>
                </c:pt>
                <c:pt idx="541">
                  <c:v>6.544386567660429E-2</c:v>
                </c:pt>
                <c:pt idx="542">
                  <c:v>7.0541948354205908E-2</c:v>
                </c:pt>
                <c:pt idx="543">
                  <c:v>6.0955336362628919E-2</c:v>
                </c:pt>
                <c:pt idx="544">
                  <c:v>7.7634932949129987E-2</c:v>
                </c:pt>
                <c:pt idx="545">
                  <c:v>8.5392884849828238E-2</c:v>
                </c:pt>
                <c:pt idx="546">
                  <c:v>2.2553474454172672E-2</c:v>
                </c:pt>
                <c:pt idx="547">
                  <c:v>1.4185969189848179E-2</c:v>
                </c:pt>
                <c:pt idx="548">
                  <c:v>4.4054084007536395E-2</c:v>
                </c:pt>
                <c:pt idx="549">
                  <c:v>3.690568547046439E-2</c:v>
                </c:pt>
                <c:pt idx="550">
                  <c:v>0.14091765488196828</c:v>
                </c:pt>
                <c:pt idx="551">
                  <c:v>0.16917876537736901</c:v>
                </c:pt>
                <c:pt idx="552">
                  <c:v>0.13842402748531538</c:v>
                </c:pt>
                <c:pt idx="553">
                  <c:v>0.14485204477446531</c:v>
                </c:pt>
                <c:pt idx="554">
                  <c:v>8.6944475229967816E-2</c:v>
                </c:pt>
                <c:pt idx="555">
                  <c:v>7.9851490635043723E-2</c:v>
                </c:pt>
                <c:pt idx="556">
                  <c:v>4.9429236395877173E-2</c:v>
                </c:pt>
                <c:pt idx="557">
                  <c:v>4.8320957552920311E-2</c:v>
                </c:pt>
                <c:pt idx="558">
                  <c:v>3.7293583065499382E-2</c:v>
                </c:pt>
                <c:pt idx="559">
                  <c:v>3.0699323949905911E-2</c:v>
                </c:pt>
                <c:pt idx="560">
                  <c:v>1.7344563892275431E-2</c:v>
                </c:pt>
                <c:pt idx="561">
                  <c:v>3.5631164801063986E-2</c:v>
                </c:pt>
                <c:pt idx="562">
                  <c:v>6.3338135874986184E-2</c:v>
                </c:pt>
                <c:pt idx="563">
                  <c:v>7.2204366618641297E-2</c:v>
                </c:pt>
                <c:pt idx="564">
                  <c:v>7.9796076692896012E-2</c:v>
                </c:pt>
                <c:pt idx="565">
                  <c:v>8.0239388230078715E-2</c:v>
                </c:pt>
                <c:pt idx="566">
                  <c:v>6.3061066164247018E-2</c:v>
                </c:pt>
                <c:pt idx="567">
                  <c:v>9.3206250692674394E-2</c:v>
                </c:pt>
                <c:pt idx="568">
                  <c:v>8.9105618973733827E-2</c:v>
                </c:pt>
                <c:pt idx="569">
                  <c:v>7.9740662750748093E-2</c:v>
                </c:pt>
                <c:pt idx="570">
                  <c:v>0.16263992020392343</c:v>
                </c:pt>
                <c:pt idx="571">
                  <c:v>0.19511249030256017</c:v>
                </c:pt>
                <c:pt idx="572">
                  <c:v>0.18480549706306112</c:v>
                </c:pt>
                <c:pt idx="573">
                  <c:v>0.20647234844286819</c:v>
                </c:pt>
                <c:pt idx="574">
                  <c:v>0.22897040895489315</c:v>
                </c:pt>
                <c:pt idx="575">
                  <c:v>0.19655325279840413</c:v>
                </c:pt>
                <c:pt idx="576">
                  <c:v>0.19716280616203036</c:v>
                </c:pt>
                <c:pt idx="577">
                  <c:v>0.16668513798071591</c:v>
                </c:pt>
                <c:pt idx="578">
                  <c:v>0.16103291588163596</c:v>
                </c:pt>
                <c:pt idx="579">
                  <c:v>0.17089659758395212</c:v>
                </c:pt>
                <c:pt idx="580">
                  <c:v>0.18785326388119256</c:v>
                </c:pt>
                <c:pt idx="581">
                  <c:v>0.16380361298902801</c:v>
                </c:pt>
                <c:pt idx="582">
                  <c:v>0.18541505042668738</c:v>
                </c:pt>
                <c:pt idx="583">
                  <c:v>0.20397872104621528</c:v>
                </c:pt>
                <c:pt idx="584">
                  <c:v>0.26266208578078254</c:v>
                </c:pt>
                <c:pt idx="585">
                  <c:v>0.23706084450847847</c:v>
                </c:pt>
                <c:pt idx="586">
                  <c:v>0.23329269644242498</c:v>
                </c:pt>
                <c:pt idx="587">
                  <c:v>0.26548819683032254</c:v>
                </c:pt>
                <c:pt idx="588">
                  <c:v>0.28322065831763277</c:v>
                </c:pt>
                <c:pt idx="589">
                  <c:v>0.29192064723484434</c:v>
                </c:pt>
                <c:pt idx="590">
                  <c:v>0.3248919428128117</c:v>
                </c:pt>
                <c:pt idx="591">
                  <c:v>0.33264989471350992</c:v>
                </c:pt>
                <c:pt idx="592">
                  <c:v>0.28721046215227752</c:v>
                </c:pt>
                <c:pt idx="593">
                  <c:v>0.28100410063171904</c:v>
                </c:pt>
                <c:pt idx="594">
                  <c:v>0.34007536296132113</c:v>
                </c:pt>
                <c:pt idx="595">
                  <c:v>0.33663969854815468</c:v>
                </c:pt>
                <c:pt idx="596">
                  <c:v>0.30560789094536189</c:v>
                </c:pt>
                <c:pt idx="597">
                  <c:v>0.33780339133325948</c:v>
                </c:pt>
                <c:pt idx="598">
                  <c:v>0.31641360966419158</c:v>
                </c:pt>
                <c:pt idx="599">
                  <c:v>0.34378809708522667</c:v>
                </c:pt>
                <c:pt idx="600">
                  <c:v>0.34301230189515691</c:v>
                </c:pt>
                <c:pt idx="601">
                  <c:v>0.3279397096309431</c:v>
                </c:pt>
                <c:pt idx="602">
                  <c:v>0.29801618087110721</c:v>
                </c:pt>
                <c:pt idx="603">
                  <c:v>0.32278621301119359</c:v>
                </c:pt>
                <c:pt idx="604">
                  <c:v>0.31137094092873768</c:v>
                </c:pt>
                <c:pt idx="605">
                  <c:v>0.30117477557353445</c:v>
                </c:pt>
                <c:pt idx="606">
                  <c:v>0.33015626731685704</c:v>
                </c:pt>
                <c:pt idx="607">
                  <c:v>0.33370275961431911</c:v>
                </c:pt>
                <c:pt idx="608">
                  <c:v>0.31037348997007641</c:v>
                </c:pt>
                <c:pt idx="609">
                  <c:v>0.32273079906904589</c:v>
                </c:pt>
                <c:pt idx="610">
                  <c:v>0.3052199933503269</c:v>
                </c:pt>
                <c:pt idx="611">
                  <c:v>0.31602571206915658</c:v>
                </c:pt>
                <c:pt idx="612">
                  <c:v>0.32666518896154273</c:v>
                </c:pt>
                <c:pt idx="613">
                  <c:v>0.33104289039122248</c:v>
                </c:pt>
                <c:pt idx="614">
                  <c:v>0.32001551590380151</c:v>
                </c:pt>
                <c:pt idx="615">
                  <c:v>0.32605563559791645</c:v>
                </c:pt>
                <c:pt idx="616">
                  <c:v>0.31347667073035579</c:v>
                </c:pt>
                <c:pt idx="617">
                  <c:v>0.31414163803612993</c:v>
                </c:pt>
                <c:pt idx="618">
                  <c:v>0.23778122575640034</c:v>
                </c:pt>
                <c:pt idx="619">
                  <c:v>0.23445638922752973</c:v>
                </c:pt>
                <c:pt idx="620">
                  <c:v>0.24792197716945585</c:v>
                </c:pt>
                <c:pt idx="621">
                  <c:v>0.23246148731020727</c:v>
                </c:pt>
                <c:pt idx="622">
                  <c:v>0.21589271860800183</c:v>
                </c:pt>
                <c:pt idx="623">
                  <c:v>0.21694558350881077</c:v>
                </c:pt>
                <c:pt idx="624">
                  <c:v>0.20021057298016179</c:v>
                </c:pt>
                <c:pt idx="625">
                  <c:v>0.20857807824448629</c:v>
                </c:pt>
                <c:pt idx="626">
                  <c:v>0.2174443089881414</c:v>
                </c:pt>
                <c:pt idx="627">
                  <c:v>0.20514241383132006</c:v>
                </c:pt>
                <c:pt idx="628">
                  <c:v>0.18452842735232194</c:v>
                </c:pt>
                <c:pt idx="629">
                  <c:v>0.15222209908012857</c:v>
                </c:pt>
                <c:pt idx="630">
                  <c:v>0.16762717499722943</c:v>
                </c:pt>
                <c:pt idx="631">
                  <c:v>0.16895710960877755</c:v>
                </c:pt>
                <c:pt idx="632">
                  <c:v>0.15820680483209579</c:v>
                </c:pt>
                <c:pt idx="633">
                  <c:v>0.17117366729469147</c:v>
                </c:pt>
                <c:pt idx="634">
                  <c:v>0.11930621744430912</c:v>
                </c:pt>
                <c:pt idx="635">
                  <c:v>0.11664634822121249</c:v>
                </c:pt>
                <c:pt idx="636">
                  <c:v>0.11742214341128226</c:v>
                </c:pt>
                <c:pt idx="637">
                  <c:v>0.21483985370719266</c:v>
                </c:pt>
                <c:pt idx="638">
                  <c:v>0.22132328493849052</c:v>
                </c:pt>
                <c:pt idx="639">
                  <c:v>0.21256788207913124</c:v>
                </c:pt>
                <c:pt idx="640">
                  <c:v>0.20203923307104071</c:v>
                </c:pt>
                <c:pt idx="641">
                  <c:v>0.25490413388008432</c:v>
                </c:pt>
                <c:pt idx="642">
                  <c:v>0.2426576526654107</c:v>
                </c:pt>
                <c:pt idx="643">
                  <c:v>0.26266208578078254</c:v>
                </c:pt>
                <c:pt idx="644">
                  <c:v>0.28870663859026935</c:v>
                </c:pt>
                <c:pt idx="645">
                  <c:v>0.28255569101185862</c:v>
                </c:pt>
                <c:pt idx="646">
                  <c:v>0.29779452510251592</c:v>
                </c:pt>
                <c:pt idx="647">
                  <c:v>0.30034356644131677</c:v>
                </c:pt>
                <c:pt idx="648">
                  <c:v>0.3341460711515018</c:v>
                </c:pt>
                <c:pt idx="649">
                  <c:v>0.33647345672171114</c:v>
                </c:pt>
                <c:pt idx="650">
                  <c:v>0.39648675606782674</c:v>
                </c:pt>
                <c:pt idx="651">
                  <c:v>0.3932727474232518</c:v>
                </c:pt>
                <c:pt idx="652">
                  <c:v>0.38645683253906687</c:v>
                </c:pt>
                <c:pt idx="653">
                  <c:v>0.40175108057187192</c:v>
                </c:pt>
                <c:pt idx="654">
                  <c:v>0.4165466031253463</c:v>
                </c:pt>
                <c:pt idx="655">
                  <c:v>0.44270198381912895</c:v>
                </c:pt>
                <c:pt idx="656">
                  <c:v>0.39626510029923528</c:v>
                </c:pt>
                <c:pt idx="657">
                  <c:v>0.40574088440651662</c:v>
                </c:pt>
                <c:pt idx="658">
                  <c:v>0.41144852044774471</c:v>
                </c:pt>
                <c:pt idx="659">
                  <c:v>0.41183641804277971</c:v>
                </c:pt>
                <c:pt idx="660">
                  <c:v>0.4081236839188741</c:v>
                </c:pt>
                <c:pt idx="661">
                  <c:v>0.38412944696885748</c:v>
                </c:pt>
                <c:pt idx="662">
                  <c:v>0.38379696331597041</c:v>
                </c:pt>
                <c:pt idx="663">
                  <c:v>0.39693006760500943</c:v>
                </c:pt>
                <c:pt idx="664">
                  <c:v>0.39809376039011424</c:v>
                </c:pt>
                <c:pt idx="665">
                  <c:v>0.41964978388562568</c:v>
                </c:pt>
                <c:pt idx="666">
                  <c:v>0.42308544829879208</c:v>
                </c:pt>
                <c:pt idx="667">
                  <c:v>0.4533414607115151</c:v>
                </c:pt>
                <c:pt idx="668">
                  <c:v>0.4315637814474122</c:v>
                </c:pt>
                <c:pt idx="669">
                  <c:v>0.43511027374487427</c:v>
                </c:pt>
                <c:pt idx="670">
                  <c:v>0.42181092762939165</c:v>
                </c:pt>
                <c:pt idx="671">
                  <c:v>0.3534301230189516</c:v>
                </c:pt>
                <c:pt idx="672">
                  <c:v>0.34606006871328832</c:v>
                </c:pt>
                <c:pt idx="673">
                  <c:v>0.32400531973844626</c:v>
                </c:pt>
                <c:pt idx="674">
                  <c:v>0.32422697550703755</c:v>
                </c:pt>
                <c:pt idx="675">
                  <c:v>0.30959769478000665</c:v>
                </c:pt>
                <c:pt idx="676">
                  <c:v>0.32223207358971523</c:v>
                </c:pt>
                <c:pt idx="677">
                  <c:v>0.30909896930067604</c:v>
                </c:pt>
                <c:pt idx="678">
                  <c:v>0.28782001551590375</c:v>
                </c:pt>
                <c:pt idx="679">
                  <c:v>0.26953341460711522</c:v>
                </c:pt>
                <c:pt idx="680">
                  <c:v>0.29408179097861037</c:v>
                </c:pt>
                <c:pt idx="681">
                  <c:v>0.31308877313532096</c:v>
                </c:pt>
                <c:pt idx="682">
                  <c:v>0.33525434999445863</c:v>
                </c:pt>
                <c:pt idx="683">
                  <c:v>0.31569322841626951</c:v>
                </c:pt>
                <c:pt idx="684">
                  <c:v>0.317688130333592</c:v>
                </c:pt>
                <c:pt idx="685">
                  <c:v>0.30987476449074602</c:v>
                </c:pt>
                <c:pt idx="686">
                  <c:v>0.35514795522553472</c:v>
                </c:pt>
                <c:pt idx="687">
                  <c:v>0.33907791200265985</c:v>
                </c:pt>
                <c:pt idx="688">
                  <c:v>0.32600022165576853</c:v>
                </c:pt>
                <c:pt idx="689">
                  <c:v>0.34168236728360857</c:v>
                </c:pt>
                <c:pt idx="690">
                  <c:v>0.33237282500277077</c:v>
                </c:pt>
                <c:pt idx="691">
                  <c:v>0.29302892607780118</c:v>
                </c:pt>
                <c:pt idx="692">
                  <c:v>0.26958882854926314</c:v>
                </c:pt>
                <c:pt idx="693">
                  <c:v>0.25052643245040457</c:v>
                </c:pt>
                <c:pt idx="694">
                  <c:v>0.27025379585503706</c:v>
                </c:pt>
                <c:pt idx="695">
                  <c:v>0.27723595256566552</c:v>
                </c:pt>
                <c:pt idx="696">
                  <c:v>0.27346780449961222</c:v>
                </c:pt>
                <c:pt idx="697">
                  <c:v>0.26332705308655652</c:v>
                </c:pt>
                <c:pt idx="698">
                  <c:v>0.28072703092097967</c:v>
                </c:pt>
                <c:pt idx="699">
                  <c:v>0.2967970741438547</c:v>
                </c:pt>
                <c:pt idx="700">
                  <c:v>0.26842513576415833</c:v>
                </c:pt>
                <c:pt idx="701">
                  <c:v>0.29363847944142746</c:v>
                </c:pt>
                <c:pt idx="702">
                  <c:v>0.29009198714396539</c:v>
                </c:pt>
                <c:pt idx="703">
                  <c:v>0.34711293361409729</c:v>
                </c:pt>
                <c:pt idx="704">
                  <c:v>0.38252244264657004</c:v>
                </c:pt>
                <c:pt idx="705">
                  <c:v>0.3863460046547712</c:v>
                </c:pt>
                <c:pt idx="706">
                  <c:v>0.39953452288595814</c:v>
                </c:pt>
                <c:pt idx="707">
                  <c:v>0.40679374930732581</c:v>
                </c:pt>
                <c:pt idx="708">
                  <c:v>0.38324282389449188</c:v>
                </c:pt>
                <c:pt idx="709">
                  <c:v>0.36213011193616318</c:v>
                </c:pt>
                <c:pt idx="710">
                  <c:v>0.37559569987808944</c:v>
                </c:pt>
                <c:pt idx="711">
                  <c:v>0.38368613543167457</c:v>
                </c:pt>
                <c:pt idx="712">
                  <c:v>0.35027152831652453</c:v>
                </c:pt>
                <c:pt idx="713">
                  <c:v>0.39044663637371163</c:v>
                </c:pt>
                <c:pt idx="714">
                  <c:v>0.35459381580405636</c:v>
                </c:pt>
                <c:pt idx="715">
                  <c:v>0.32943588606893498</c:v>
                </c:pt>
                <c:pt idx="716">
                  <c:v>0.31973844619306219</c:v>
                </c:pt>
                <c:pt idx="717">
                  <c:v>0.29402637703646245</c:v>
                </c:pt>
                <c:pt idx="718">
                  <c:v>0.27019838191288936</c:v>
                </c:pt>
                <c:pt idx="719">
                  <c:v>0.265709852598914</c:v>
                </c:pt>
                <c:pt idx="720">
                  <c:v>0.27058627950792413</c:v>
                </c:pt>
                <c:pt idx="721">
                  <c:v>0.2641582622187742</c:v>
                </c:pt>
                <c:pt idx="722">
                  <c:v>0.26116590934279071</c:v>
                </c:pt>
                <c:pt idx="723">
                  <c:v>0.25440540840075371</c:v>
                </c:pt>
                <c:pt idx="724">
                  <c:v>0.26460157375595711</c:v>
                </c:pt>
                <c:pt idx="725">
                  <c:v>0.29906904577191634</c:v>
                </c:pt>
                <c:pt idx="726">
                  <c:v>0.3051645794081792</c:v>
                </c:pt>
                <c:pt idx="727">
                  <c:v>0.35736451291144861</c:v>
                </c:pt>
                <c:pt idx="728">
                  <c:v>0.34894159370497624</c:v>
                </c:pt>
                <c:pt idx="729">
                  <c:v>0.35038235620082014</c:v>
                </c:pt>
                <c:pt idx="730">
                  <c:v>0.3798625734234734</c:v>
                </c:pt>
                <c:pt idx="731">
                  <c:v>0.38412944696885748</c:v>
                </c:pt>
                <c:pt idx="732">
                  <c:v>0.36828105951457391</c:v>
                </c:pt>
                <c:pt idx="733">
                  <c:v>0.31674609331707865</c:v>
                </c:pt>
                <c:pt idx="734">
                  <c:v>0.29652000443311533</c:v>
                </c:pt>
                <c:pt idx="735">
                  <c:v>0.28194613764823234</c:v>
                </c:pt>
                <c:pt idx="736">
                  <c:v>0.29014740108611331</c:v>
                </c:pt>
                <c:pt idx="737">
                  <c:v>0.29120026598692228</c:v>
                </c:pt>
                <c:pt idx="738">
                  <c:v>0.27895378477224864</c:v>
                </c:pt>
                <c:pt idx="739">
                  <c:v>0.26909010306993247</c:v>
                </c:pt>
                <c:pt idx="740">
                  <c:v>0.29663083231741116</c:v>
                </c:pt>
                <c:pt idx="741">
                  <c:v>0.29397096309431453</c:v>
                </c:pt>
                <c:pt idx="742">
                  <c:v>0.314862019284052</c:v>
                </c:pt>
                <c:pt idx="743">
                  <c:v>0.30677158373046665</c:v>
                </c:pt>
                <c:pt idx="744">
                  <c:v>0.28987033137537416</c:v>
                </c:pt>
                <c:pt idx="745">
                  <c:v>0.27928626842513571</c:v>
                </c:pt>
                <c:pt idx="746">
                  <c:v>0.25285381802061413</c:v>
                </c:pt>
                <c:pt idx="747">
                  <c:v>0.2601684583841295</c:v>
                </c:pt>
                <c:pt idx="748">
                  <c:v>0.18702205474897485</c:v>
                </c:pt>
                <c:pt idx="749">
                  <c:v>0.18458384129446967</c:v>
                </c:pt>
                <c:pt idx="750">
                  <c:v>0.17178322065831772</c:v>
                </c:pt>
                <c:pt idx="751">
                  <c:v>0.16474565000554134</c:v>
                </c:pt>
                <c:pt idx="752">
                  <c:v>0.21489526764934058</c:v>
                </c:pt>
                <c:pt idx="753">
                  <c:v>0.21650227197162808</c:v>
                </c:pt>
                <c:pt idx="754">
                  <c:v>0.22647678155824005</c:v>
                </c:pt>
                <c:pt idx="755">
                  <c:v>0.21683475562451515</c:v>
                </c:pt>
                <c:pt idx="756">
                  <c:v>0.26149839299567779</c:v>
                </c:pt>
                <c:pt idx="757">
                  <c:v>0.27585060401196948</c:v>
                </c:pt>
                <c:pt idx="758">
                  <c:v>0.28000664967305777</c:v>
                </c:pt>
                <c:pt idx="759">
                  <c:v>0.27623850160700431</c:v>
                </c:pt>
                <c:pt idx="760">
                  <c:v>0.28615759725146855</c:v>
                </c:pt>
                <c:pt idx="761">
                  <c:v>0.28094868668957113</c:v>
                </c:pt>
                <c:pt idx="762">
                  <c:v>0.27490856699545618</c:v>
                </c:pt>
                <c:pt idx="763">
                  <c:v>0.2694225867228196</c:v>
                </c:pt>
                <c:pt idx="764">
                  <c:v>0.30328050537515233</c:v>
                </c:pt>
                <c:pt idx="765">
                  <c:v>0.27867671506150948</c:v>
                </c:pt>
                <c:pt idx="766">
                  <c:v>0.26964424249141083</c:v>
                </c:pt>
                <c:pt idx="767">
                  <c:v>0.27291366507813369</c:v>
                </c:pt>
                <c:pt idx="768">
                  <c:v>0.29419261886290599</c:v>
                </c:pt>
                <c:pt idx="769">
                  <c:v>0.25839521223539846</c:v>
                </c:pt>
                <c:pt idx="770">
                  <c:v>0.26598692230965315</c:v>
                </c:pt>
                <c:pt idx="771">
                  <c:v>0.27579519006982162</c:v>
                </c:pt>
                <c:pt idx="772">
                  <c:v>0.2455391776570986</c:v>
                </c:pt>
                <c:pt idx="773">
                  <c:v>0.28831874099523436</c:v>
                </c:pt>
                <c:pt idx="774">
                  <c:v>0.31103845727585061</c:v>
                </c:pt>
                <c:pt idx="775">
                  <c:v>0.33287155048210137</c:v>
                </c:pt>
                <c:pt idx="776">
                  <c:v>0.31508367505264323</c:v>
                </c:pt>
                <c:pt idx="777">
                  <c:v>0.32932505818463936</c:v>
                </c:pt>
                <c:pt idx="778">
                  <c:v>0.31929513465587944</c:v>
                </c:pt>
                <c:pt idx="779">
                  <c:v>0.37443200709298469</c:v>
                </c:pt>
                <c:pt idx="780">
                  <c:v>0.38900587387786767</c:v>
                </c:pt>
                <c:pt idx="781">
                  <c:v>0.40430012191067272</c:v>
                </c:pt>
                <c:pt idx="782">
                  <c:v>0.41532749639809385</c:v>
                </c:pt>
                <c:pt idx="783">
                  <c:v>0.37348997007647139</c:v>
                </c:pt>
                <c:pt idx="784">
                  <c:v>0.35376260667183868</c:v>
                </c:pt>
                <c:pt idx="785">
                  <c:v>0.33614097306882407</c:v>
                </c:pt>
                <c:pt idx="786">
                  <c:v>0.32672060290369065</c:v>
                </c:pt>
                <c:pt idx="787">
                  <c:v>0.27191621411947248</c:v>
                </c:pt>
                <c:pt idx="788">
                  <c:v>0.26931175883852376</c:v>
                </c:pt>
                <c:pt idx="789">
                  <c:v>0.26426909010307004</c:v>
                </c:pt>
                <c:pt idx="790">
                  <c:v>0.3450626177546271</c:v>
                </c:pt>
                <c:pt idx="791">
                  <c:v>0.32960212789537852</c:v>
                </c:pt>
                <c:pt idx="792">
                  <c:v>0.3413498836307215</c:v>
                </c:pt>
                <c:pt idx="793">
                  <c:v>0.35852820569655319</c:v>
                </c:pt>
                <c:pt idx="794">
                  <c:v>0.35586833647345678</c:v>
                </c:pt>
                <c:pt idx="795">
                  <c:v>0.34572758506040124</c:v>
                </c:pt>
                <c:pt idx="796">
                  <c:v>0.35908234511803172</c:v>
                </c:pt>
                <c:pt idx="797">
                  <c:v>0.35054859802726368</c:v>
                </c:pt>
                <c:pt idx="798">
                  <c:v>0.32733015626731687</c:v>
                </c:pt>
                <c:pt idx="799">
                  <c:v>0.28322065831763277</c:v>
                </c:pt>
                <c:pt idx="800">
                  <c:v>0.28488307658206818</c:v>
                </c:pt>
                <c:pt idx="801">
                  <c:v>0.29169899146625289</c:v>
                </c:pt>
                <c:pt idx="802">
                  <c:v>0.27956333813587508</c:v>
                </c:pt>
                <c:pt idx="803">
                  <c:v>0.27817798958217888</c:v>
                </c:pt>
                <c:pt idx="804">
                  <c:v>0.25817355646680701</c:v>
                </c:pt>
                <c:pt idx="805">
                  <c:v>0.2796741660201707</c:v>
                </c:pt>
                <c:pt idx="806">
                  <c:v>0.25617865454948474</c:v>
                </c:pt>
                <c:pt idx="807">
                  <c:v>0.26382577856588713</c:v>
                </c:pt>
                <c:pt idx="808">
                  <c:v>0.2355092541283387</c:v>
                </c:pt>
                <c:pt idx="809">
                  <c:v>0.24470796852488089</c:v>
                </c:pt>
                <c:pt idx="810">
                  <c:v>0.26836972182201041</c:v>
                </c:pt>
                <c:pt idx="811">
                  <c:v>0.27047545162362852</c:v>
                </c:pt>
                <c:pt idx="812">
                  <c:v>0.2884295688795302</c:v>
                </c:pt>
                <c:pt idx="813">
                  <c:v>0.29352765155713184</c:v>
                </c:pt>
                <c:pt idx="814">
                  <c:v>0.29014740108611331</c:v>
                </c:pt>
                <c:pt idx="815">
                  <c:v>0.2937493073257233</c:v>
                </c:pt>
                <c:pt idx="816">
                  <c:v>0.24869777235952564</c:v>
                </c:pt>
                <c:pt idx="817">
                  <c:v>0.25169012523550938</c:v>
                </c:pt>
                <c:pt idx="818">
                  <c:v>0.2452066940042115</c:v>
                </c:pt>
                <c:pt idx="819">
                  <c:v>0.26061176992131219</c:v>
                </c:pt>
                <c:pt idx="820">
                  <c:v>0.26776016845838418</c:v>
                </c:pt>
                <c:pt idx="821">
                  <c:v>0.23384683586390331</c:v>
                </c:pt>
                <c:pt idx="822">
                  <c:v>0.24653662861575981</c:v>
                </c:pt>
                <c:pt idx="823">
                  <c:v>0.27790091987143972</c:v>
                </c:pt>
                <c:pt idx="824">
                  <c:v>0.28837415493738228</c:v>
                </c:pt>
                <c:pt idx="825">
                  <c:v>0.27391111603679497</c:v>
                </c:pt>
                <c:pt idx="826">
                  <c:v>0.26892386124348894</c:v>
                </c:pt>
                <c:pt idx="827">
                  <c:v>0.25446082234290163</c:v>
                </c:pt>
                <c:pt idx="828">
                  <c:v>0.25518120359082347</c:v>
                </c:pt>
                <c:pt idx="829">
                  <c:v>0.25434999445860579</c:v>
                </c:pt>
                <c:pt idx="830">
                  <c:v>0.26814806605341918</c:v>
                </c:pt>
                <c:pt idx="831">
                  <c:v>0.32943588606893498</c:v>
                </c:pt>
                <c:pt idx="832">
                  <c:v>0.32904798847390015</c:v>
                </c:pt>
                <c:pt idx="833">
                  <c:v>0.35725368502715282</c:v>
                </c:pt>
                <c:pt idx="834">
                  <c:v>0.36196387010971964</c:v>
                </c:pt>
                <c:pt idx="835">
                  <c:v>0.36955558018397433</c:v>
                </c:pt>
                <c:pt idx="836">
                  <c:v>0.35176770475451619</c:v>
                </c:pt>
                <c:pt idx="837">
                  <c:v>0.39399312867117364</c:v>
                </c:pt>
                <c:pt idx="838">
                  <c:v>0.3886733902249806</c:v>
                </c:pt>
                <c:pt idx="839">
                  <c:v>0.40003324836528881</c:v>
                </c:pt>
                <c:pt idx="840">
                  <c:v>0.39282943588606906</c:v>
                </c:pt>
                <c:pt idx="841">
                  <c:v>0.39111160367948578</c:v>
                </c:pt>
                <c:pt idx="842">
                  <c:v>0.38573645129114498</c:v>
                </c:pt>
                <c:pt idx="843">
                  <c:v>0.37930843400199488</c:v>
                </c:pt>
                <c:pt idx="844">
                  <c:v>0.36445749750637269</c:v>
                </c:pt>
                <c:pt idx="845">
                  <c:v>0.3786434666962209</c:v>
                </c:pt>
                <c:pt idx="846">
                  <c:v>0.39659758395212236</c:v>
                </c:pt>
                <c:pt idx="847">
                  <c:v>0.44392109054638146</c:v>
                </c:pt>
                <c:pt idx="848">
                  <c:v>0.50698215671062841</c:v>
                </c:pt>
                <c:pt idx="849">
                  <c:v>0.51751080571871899</c:v>
                </c:pt>
                <c:pt idx="850">
                  <c:v>0.549152166685138</c:v>
                </c:pt>
                <c:pt idx="851">
                  <c:v>0.55901584838745433</c:v>
                </c:pt>
                <c:pt idx="852">
                  <c:v>0.56289482433780347</c:v>
                </c:pt>
                <c:pt idx="853">
                  <c:v>0.57381137094092882</c:v>
                </c:pt>
                <c:pt idx="854">
                  <c:v>0.59957885403967637</c:v>
                </c:pt>
                <c:pt idx="855">
                  <c:v>0.58073811370940931</c:v>
                </c:pt>
                <c:pt idx="856">
                  <c:v>0.58223429014740113</c:v>
                </c:pt>
                <c:pt idx="857">
                  <c:v>0.58107059736229638</c:v>
                </c:pt>
                <c:pt idx="858">
                  <c:v>0.51817577302449291</c:v>
                </c:pt>
                <c:pt idx="859">
                  <c:v>0.52449296242934729</c:v>
                </c:pt>
                <c:pt idx="860">
                  <c:v>0.5236617532971295</c:v>
                </c:pt>
                <c:pt idx="861">
                  <c:v>0.52399423695001657</c:v>
                </c:pt>
                <c:pt idx="862">
                  <c:v>0.53274963980937606</c:v>
                </c:pt>
                <c:pt idx="863">
                  <c:v>0.47700321400864459</c:v>
                </c:pt>
                <c:pt idx="864">
                  <c:v>0.48221212457054208</c:v>
                </c:pt>
                <c:pt idx="865">
                  <c:v>0.48670065388451744</c:v>
                </c:pt>
                <c:pt idx="866">
                  <c:v>0.53020059847057532</c:v>
                </c:pt>
                <c:pt idx="867">
                  <c:v>0.52632162252022618</c:v>
                </c:pt>
                <c:pt idx="868">
                  <c:v>0.52948021722265326</c:v>
                </c:pt>
                <c:pt idx="869">
                  <c:v>0.57181646902360628</c:v>
                </c:pt>
                <c:pt idx="870">
                  <c:v>0.57613875651113833</c:v>
                </c:pt>
                <c:pt idx="871">
                  <c:v>0.59049096752743002</c:v>
                </c:pt>
                <c:pt idx="872">
                  <c:v>0.64740108611326608</c:v>
                </c:pt>
                <c:pt idx="873">
                  <c:v>0.65554693560899935</c:v>
                </c:pt>
                <c:pt idx="874">
                  <c:v>0.79685248808600262</c:v>
                </c:pt>
                <c:pt idx="875">
                  <c:v>0.77756843621855276</c:v>
                </c:pt>
                <c:pt idx="876">
                  <c:v>0.74531752188850708</c:v>
                </c:pt>
                <c:pt idx="877">
                  <c:v>0.68763160811260104</c:v>
                </c:pt>
                <c:pt idx="878">
                  <c:v>0.78083785880527545</c:v>
                </c:pt>
                <c:pt idx="879">
                  <c:v>0.79391554915216667</c:v>
                </c:pt>
                <c:pt idx="880">
                  <c:v>0.7555136872437106</c:v>
                </c:pt>
                <c:pt idx="881">
                  <c:v>0.71461819793860137</c:v>
                </c:pt>
                <c:pt idx="882">
                  <c:v>0.64978388562562339</c:v>
                </c:pt>
                <c:pt idx="883">
                  <c:v>0.67510805718718836</c:v>
                </c:pt>
                <c:pt idx="884">
                  <c:v>0.74731242380582963</c:v>
                </c:pt>
                <c:pt idx="885">
                  <c:v>0.66408068269976739</c:v>
                </c:pt>
                <c:pt idx="886">
                  <c:v>0.62839410395655548</c:v>
                </c:pt>
                <c:pt idx="887">
                  <c:v>0.68580294802172237</c:v>
                </c:pt>
                <c:pt idx="888">
                  <c:v>0.61897373379142206</c:v>
                </c:pt>
                <c:pt idx="889">
                  <c:v>0.6372049207580629</c:v>
                </c:pt>
                <c:pt idx="890">
                  <c:v>0.64673611880749193</c:v>
                </c:pt>
                <c:pt idx="891">
                  <c:v>0.71677934168236745</c:v>
                </c:pt>
                <c:pt idx="892">
                  <c:v>0.64496287265876096</c:v>
                </c:pt>
                <c:pt idx="893">
                  <c:v>0.60855591266762721</c:v>
                </c:pt>
                <c:pt idx="894">
                  <c:v>0.61204699102294147</c:v>
                </c:pt>
                <c:pt idx="895">
                  <c:v>0.62119029147733573</c:v>
                </c:pt>
                <c:pt idx="896">
                  <c:v>0.6409730688241162</c:v>
                </c:pt>
                <c:pt idx="897">
                  <c:v>0.64346669622076924</c:v>
                </c:pt>
                <c:pt idx="898">
                  <c:v>0.70907680372381687</c:v>
                </c:pt>
                <c:pt idx="899">
                  <c:v>0.71301119361631393</c:v>
                </c:pt>
                <c:pt idx="900">
                  <c:v>0.72093538734345575</c:v>
                </c:pt>
                <c:pt idx="901">
                  <c:v>0.71860800177324613</c:v>
                </c:pt>
                <c:pt idx="902">
                  <c:v>0.75501496176437999</c:v>
                </c:pt>
                <c:pt idx="903">
                  <c:v>0.7142857142857143</c:v>
                </c:pt>
                <c:pt idx="904">
                  <c:v>0.74321179208688903</c:v>
                </c:pt>
                <c:pt idx="905">
                  <c:v>0.68330932062506922</c:v>
                </c:pt>
                <c:pt idx="906">
                  <c:v>0.6748309874764491</c:v>
                </c:pt>
                <c:pt idx="907">
                  <c:v>0.62479219771694572</c:v>
                </c:pt>
                <c:pt idx="908">
                  <c:v>0.62534633713842402</c:v>
                </c:pt>
                <c:pt idx="909">
                  <c:v>0.62451512800620634</c:v>
                </c:pt>
                <c:pt idx="910">
                  <c:v>0.55020503158594714</c:v>
                </c:pt>
                <c:pt idx="911">
                  <c:v>0.54416491189183203</c:v>
                </c:pt>
                <c:pt idx="912">
                  <c:v>0.5895489305109165</c:v>
                </c:pt>
                <c:pt idx="913">
                  <c:v>0.61104954006428025</c:v>
                </c:pt>
                <c:pt idx="914">
                  <c:v>0.58522664302338467</c:v>
                </c:pt>
                <c:pt idx="915">
                  <c:v>0.51490635043777022</c:v>
                </c:pt>
                <c:pt idx="916">
                  <c:v>0.51507259226421376</c:v>
                </c:pt>
                <c:pt idx="917">
                  <c:v>0.5</c:v>
                </c:pt>
                <c:pt idx="918">
                  <c:v>0.53679485758616874</c:v>
                </c:pt>
                <c:pt idx="919">
                  <c:v>0.55901584838745433</c:v>
                </c:pt>
                <c:pt idx="920">
                  <c:v>0.54693560899922433</c:v>
                </c:pt>
                <c:pt idx="921">
                  <c:v>0.52216557685913789</c:v>
                </c:pt>
                <c:pt idx="922">
                  <c:v>0.58195722043666187</c:v>
                </c:pt>
                <c:pt idx="923">
                  <c:v>0.63138645683253924</c:v>
                </c:pt>
                <c:pt idx="924">
                  <c:v>0.64352211016291694</c:v>
                </c:pt>
                <c:pt idx="925">
                  <c:v>0.64446414717943035</c:v>
                </c:pt>
                <c:pt idx="926">
                  <c:v>0.61725590158483878</c:v>
                </c:pt>
                <c:pt idx="927">
                  <c:v>0.67100742546824799</c:v>
                </c:pt>
                <c:pt idx="928">
                  <c:v>0.66934500720381251</c:v>
                </c:pt>
                <c:pt idx="929">
                  <c:v>0.62584506261775463</c:v>
                </c:pt>
                <c:pt idx="930">
                  <c:v>0.65283165244375496</c:v>
                </c:pt>
                <c:pt idx="931">
                  <c:v>0.5631164801063947</c:v>
                </c:pt>
                <c:pt idx="932">
                  <c:v>0.57491964978388566</c:v>
                </c:pt>
                <c:pt idx="933">
                  <c:v>0.60478776460157391</c:v>
                </c:pt>
                <c:pt idx="934">
                  <c:v>0.58046104399867016</c:v>
                </c:pt>
                <c:pt idx="935">
                  <c:v>0.57841072813920003</c:v>
                </c:pt>
                <c:pt idx="936">
                  <c:v>0.5955336362628838</c:v>
                </c:pt>
                <c:pt idx="937">
                  <c:v>0.66058960434445302</c:v>
                </c:pt>
                <c:pt idx="938">
                  <c:v>0.71727806716169784</c:v>
                </c:pt>
                <c:pt idx="939">
                  <c:v>0.70863349218663418</c:v>
                </c:pt>
                <c:pt idx="940">
                  <c:v>0.6924526210794637</c:v>
                </c:pt>
                <c:pt idx="941">
                  <c:v>0.73340352432672062</c:v>
                </c:pt>
                <c:pt idx="942">
                  <c:v>0.71450737005430576</c:v>
                </c:pt>
                <c:pt idx="943">
                  <c:v>0.78876205253241727</c:v>
                </c:pt>
                <c:pt idx="944">
                  <c:v>0.76604233625180107</c:v>
                </c:pt>
                <c:pt idx="945">
                  <c:v>0.78405186744985045</c:v>
                </c:pt>
                <c:pt idx="946">
                  <c:v>0.74321179208688903</c:v>
                </c:pt>
                <c:pt idx="947">
                  <c:v>0.75894935165687694</c:v>
                </c:pt>
                <c:pt idx="948">
                  <c:v>0.76881303335919338</c:v>
                </c:pt>
                <c:pt idx="949">
                  <c:v>0.79895821788762056</c:v>
                </c:pt>
                <c:pt idx="950">
                  <c:v>0.77346780449961205</c:v>
                </c:pt>
                <c:pt idx="951">
                  <c:v>0.6956666297240387</c:v>
                </c:pt>
                <c:pt idx="952">
                  <c:v>0.69954560567438784</c:v>
                </c:pt>
                <c:pt idx="953">
                  <c:v>0.73113155269865893</c:v>
                </c:pt>
                <c:pt idx="954">
                  <c:v>0.73534301230189514</c:v>
                </c:pt>
                <c:pt idx="955">
                  <c:v>0.75972514684694681</c:v>
                </c:pt>
                <c:pt idx="956">
                  <c:v>0.7718053862351768</c:v>
                </c:pt>
                <c:pt idx="957">
                  <c:v>0.76072259780560803</c:v>
                </c:pt>
                <c:pt idx="958">
                  <c:v>0.88839632051424167</c:v>
                </c:pt>
                <c:pt idx="959">
                  <c:v>0.94175994680261543</c:v>
                </c:pt>
                <c:pt idx="960">
                  <c:v>0.87515238834090658</c:v>
                </c:pt>
                <c:pt idx="961">
                  <c:v>0.87271417488640157</c:v>
                </c:pt>
                <c:pt idx="962">
                  <c:v>0.88412944696885731</c:v>
                </c:pt>
                <c:pt idx="963">
                  <c:v>0.90851158151390909</c:v>
                </c:pt>
                <c:pt idx="964">
                  <c:v>0.89704089548930532</c:v>
                </c:pt>
                <c:pt idx="965">
                  <c:v>0.82605563559791662</c:v>
                </c:pt>
                <c:pt idx="966">
                  <c:v>0.81563781447412176</c:v>
                </c:pt>
                <c:pt idx="967">
                  <c:v>0.82500277069710737</c:v>
                </c:pt>
                <c:pt idx="968">
                  <c:v>0.74470796852488086</c:v>
                </c:pt>
                <c:pt idx="969">
                  <c:v>0.77396652997894266</c:v>
                </c:pt>
                <c:pt idx="970">
                  <c:v>0.7049761720048765</c:v>
                </c:pt>
                <c:pt idx="971">
                  <c:v>0.71312202150060955</c:v>
                </c:pt>
                <c:pt idx="972">
                  <c:v>0.70769145517012089</c:v>
                </c:pt>
                <c:pt idx="973">
                  <c:v>0.70253795855037138</c:v>
                </c:pt>
                <c:pt idx="974">
                  <c:v>0.73883409065720951</c:v>
                </c:pt>
                <c:pt idx="975">
                  <c:v>0.74093982045882756</c:v>
                </c:pt>
                <c:pt idx="976">
                  <c:v>0.72664302338468356</c:v>
                </c:pt>
                <c:pt idx="977">
                  <c:v>0.72331818685581295</c:v>
                </c:pt>
                <c:pt idx="978">
                  <c:v>0.68436218552587846</c:v>
                </c:pt>
                <c:pt idx="979">
                  <c:v>0.6938379696331598</c:v>
                </c:pt>
                <c:pt idx="980">
                  <c:v>0.68763160811260104</c:v>
                </c:pt>
                <c:pt idx="981">
                  <c:v>0.70353540950903259</c:v>
                </c:pt>
                <c:pt idx="982">
                  <c:v>0.73794746758284391</c:v>
                </c:pt>
                <c:pt idx="983">
                  <c:v>0.76138756511138217</c:v>
                </c:pt>
                <c:pt idx="984">
                  <c:v>0.74033026709520111</c:v>
                </c:pt>
                <c:pt idx="985">
                  <c:v>0.79990025490413408</c:v>
                </c:pt>
                <c:pt idx="986">
                  <c:v>0.80715948132550164</c:v>
                </c:pt>
                <c:pt idx="987">
                  <c:v>0.81885182311869675</c:v>
                </c:pt>
                <c:pt idx="988">
                  <c:v>0.74454172669843732</c:v>
                </c:pt>
                <c:pt idx="989">
                  <c:v>0.71378698880638369</c:v>
                </c:pt>
                <c:pt idx="990">
                  <c:v>0.70652776238501613</c:v>
                </c:pt>
                <c:pt idx="991">
                  <c:v>0.696220769145517</c:v>
                </c:pt>
                <c:pt idx="992">
                  <c:v>0.62263105397317975</c:v>
                </c:pt>
                <c:pt idx="993">
                  <c:v>0.66574310096420253</c:v>
                </c:pt>
                <c:pt idx="994">
                  <c:v>0.67538512689792762</c:v>
                </c:pt>
                <c:pt idx="995">
                  <c:v>0.62983486645239939</c:v>
                </c:pt>
                <c:pt idx="996">
                  <c:v>0.65687687022054742</c:v>
                </c:pt>
                <c:pt idx="997">
                  <c:v>0.69472459270752518</c:v>
                </c:pt>
                <c:pt idx="998">
                  <c:v>0.70043222874875322</c:v>
                </c:pt>
                <c:pt idx="999">
                  <c:v>0.70065388451734467</c:v>
                </c:pt>
                <c:pt idx="1000">
                  <c:v>0.71866341571539405</c:v>
                </c:pt>
                <c:pt idx="1001">
                  <c:v>0.67954117255901592</c:v>
                </c:pt>
                <c:pt idx="1002">
                  <c:v>0.68186855812922531</c:v>
                </c:pt>
                <c:pt idx="1003">
                  <c:v>0.74725700986368171</c:v>
                </c:pt>
                <c:pt idx="1004">
                  <c:v>0.75800731464036364</c:v>
                </c:pt>
                <c:pt idx="1005">
                  <c:v>0.74531752188850708</c:v>
                </c:pt>
                <c:pt idx="1006">
                  <c:v>0.74110606228527109</c:v>
                </c:pt>
                <c:pt idx="1007">
                  <c:v>0.70187299124459723</c:v>
                </c:pt>
                <c:pt idx="1008">
                  <c:v>0.67810041006317201</c:v>
                </c:pt>
                <c:pt idx="1009">
                  <c:v>0.70425579075695444</c:v>
                </c:pt>
                <c:pt idx="1010">
                  <c:v>0.73246148731020733</c:v>
                </c:pt>
                <c:pt idx="1011">
                  <c:v>0.80056522220990822</c:v>
                </c:pt>
                <c:pt idx="1012">
                  <c:v>0.80239388230078712</c:v>
                </c:pt>
                <c:pt idx="1013">
                  <c:v>0.82987919760611772</c:v>
                </c:pt>
                <c:pt idx="1014">
                  <c:v>0.82733015626731687</c:v>
                </c:pt>
                <c:pt idx="1015">
                  <c:v>0.80793527651557129</c:v>
                </c:pt>
                <c:pt idx="1016">
                  <c:v>0.80045439432561238</c:v>
                </c:pt>
                <c:pt idx="1017">
                  <c:v>0.79108943810262689</c:v>
                </c:pt>
                <c:pt idx="1018">
                  <c:v>0.81674609331707848</c:v>
                </c:pt>
                <c:pt idx="1019">
                  <c:v>0.81347667073035579</c:v>
                </c:pt>
                <c:pt idx="1020">
                  <c:v>0.84932949130001101</c:v>
                </c:pt>
                <c:pt idx="1021">
                  <c:v>0.83104289039122248</c:v>
                </c:pt>
                <c:pt idx="1022">
                  <c:v>0.85559126676271735</c:v>
                </c:pt>
                <c:pt idx="1023">
                  <c:v>0.81552698658982592</c:v>
                </c:pt>
                <c:pt idx="1024">
                  <c:v>0.77191621411947242</c:v>
                </c:pt>
                <c:pt idx="1025">
                  <c:v>0.79646459049096741</c:v>
                </c:pt>
                <c:pt idx="1026">
                  <c:v>0.77934168236728363</c:v>
                </c:pt>
                <c:pt idx="1027">
                  <c:v>0.79042447079685263</c:v>
                </c:pt>
                <c:pt idx="1028">
                  <c:v>0.79435886068934947</c:v>
                </c:pt>
                <c:pt idx="1029">
                  <c:v>0.83608555912667637</c:v>
                </c:pt>
                <c:pt idx="1030">
                  <c:v>0.8473900033248366</c:v>
                </c:pt>
                <c:pt idx="1031">
                  <c:v>0.80261553806937835</c:v>
                </c:pt>
                <c:pt idx="1032">
                  <c:v>0.83680594037459821</c:v>
                </c:pt>
                <c:pt idx="1033">
                  <c:v>0.86983264989471365</c:v>
                </c:pt>
                <c:pt idx="1034">
                  <c:v>0.90103069932394986</c:v>
                </c:pt>
                <c:pt idx="1035">
                  <c:v>0.9011415272082457</c:v>
                </c:pt>
                <c:pt idx="1036">
                  <c:v>0.92940263770364617</c:v>
                </c:pt>
                <c:pt idx="1037">
                  <c:v>0.89543389116701755</c:v>
                </c:pt>
                <c:pt idx="1038">
                  <c:v>0.88357530754737901</c:v>
                </c:pt>
                <c:pt idx="1039">
                  <c:v>0.85359636484539536</c:v>
                </c:pt>
                <c:pt idx="1040">
                  <c:v>0.88534855369611021</c:v>
                </c:pt>
                <c:pt idx="1041">
                  <c:v>0.88706638590269327</c:v>
                </c:pt>
                <c:pt idx="1042">
                  <c:v>0.93422365067050883</c:v>
                </c:pt>
                <c:pt idx="1043">
                  <c:v>0.9179319516790424</c:v>
                </c:pt>
                <c:pt idx="1044">
                  <c:v>0.90119694115039339</c:v>
                </c:pt>
                <c:pt idx="1045">
                  <c:v>0.92009309542280837</c:v>
                </c:pt>
                <c:pt idx="1046">
                  <c:v>0.77158373046658535</c:v>
                </c:pt>
                <c:pt idx="1047">
                  <c:v>0.64047434334478559</c:v>
                </c:pt>
                <c:pt idx="1048">
                  <c:v>0.64501828660090887</c:v>
                </c:pt>
                <c:pt idx="1049">
                  <c:v>0.68541505042668738</c:v>
                </c:pt>
                <c:pt idx="1050">
                  <c:v>0.70447744652554589</c:v>
                </c:pt>
                <c:pt idx="1051">
                  <c:v>0.78250027706971093</c:v>
                </c:pt>
                <c:pt idx="1052">
                  <c:v>0.78970408954893045</c:v>
                </c:pt>
                <c:pt idx="1053">
                  <c:v>0.82755181203590811</c:v>
                </c:pt>
                <c:pt idx="1054">
                  <c:v>0.80211681259004775</c:v>
                </c:pt>
                <c:pt idx="1055">
                  <c:v>0.82339576637482004</c:v>
                </c:pt>
                <c:pt idx="1056">
                  <c:v>0.85897151723373588</c:v>
                </c:pt>
                <c:pt idx="1057">
                  <c:v>0.85653330377923087</c:v>
                </c:pt>
                <c:pt idx="1058">
                  <c:v>0.83780339133325943</c:v>
                </c:pt>
                <c:pt idx="1059">
                  <c:v>0.86063393549817135</c:v>
                </c:pt>
                <c:pt idx="1060">
                  <c:v>0.81912889282943613</c:v>
                </c:pt>
                <c:pt idx="1061">
                  <c:v>0.79923528759835982</c:v>
                </c:pt>
                <c:pt idx="1062">
                  <c:v>0.79951235730909886</c:v>
                </c:pt>
                <c:pt idx="1063">
                  <c:v>0.84977280283719392</c:v>
                </c:pt>
                <c:pt idx="1064">
                  <c:v>0.81707857696996555</c:v>
                </c:pt>
                <c:pt idx="1065">
                  <c:v>0.80743655103624068</c:v>
                </c:pt>
                <c:pt idx="1066">
                  <c:v>0.80782444863127578</c:v>
                </c:pt>
                <c:pt idx="1067">
                  <c:v>0.83420148509364966</c:v>
                </c:pt>
                <c:pt idx="1068">
                  <c:v>0.79784993904466384</c:v>
                </c:pt>
                <c:pt idx="1069">
                  <c:v>0.81092762939155494</c:v>
                </c:pt>
                <c:pt idx="1070">
                  <c:v>0.80134101739997776</c:v>
                </c:pt>
                <c:pt idx="1071">
                  <c:v>0.83830211681259004</c:v>
                </c:pt>
                <c:pt idx="1072">
                  <c:v>0.86445749750637269</c:v>
                </c:pt>
                <c:pt idx="1073">
                  <c:v>0.84079574420924319</c:v>
                </c:pt>
                <c:pt idx="1074">
                  <c:v>0.86163138645683257</c:v>
                </c:pt>
                <c:pt idx="1075">
                  <c:v>0.84589382688684478</c:v>
                </c:pt>
                <c:pt idx="1076">
                  <c:v>0.83752632162252005</c:v>
                </c:pt>
                <c:pt idx="1077">
                  <c:v>0.85210018840740342</c:v>
                </c:pt>
                <c:pt idx="1078">
                  <c:v>0.92253130887731372</c:v>
                </c:pt>
                <c:pt idx="1079">
                  <c:v>0.91915105840629518</c:v>
                </c:pt>
                <c:pt idx="1080">
                  <c:v>0.91998226753851298</c:v>
                </c:pt>
                <c:pt idx="1081">
                  <c:v>0.98409619860356867</c:v>
                </c:pt>
                <c:pt idx="1082">
                  <c:v>1.0390114152720824</c:v>
                </c:pt>
                <c:pt idx="1083">
                  <c:v>1.0304776681813146</c:v>
                </c:pt>
                <c:pt idx="1084">
                  <c:v>1.0093649562229858</c:v>
                </c:pt>
                <c:pt idx="1085">
                  <c:v>1.0112490302560126</c:v>
                </c:pt>
                <c:pt idx="1086">
                  <c:v>1.0197273634046327</c:v>
                </c:pt>
                <c:pt idx="1087">
                  <c:v>1.0586833647345675</c:v>
                </c:pt>
                <c:pt idx="1088">
                  <c:v>1.0454948465033802</c:v>
                </c:pt>
                <c:pt idx="1089">
                  <c:v>1.0033802504710185</c:v>
                </c:pt>
                <c:pt idx="1090">
                  <c:v>0.97833314862019294</c:v>
                </c:pt>
                <c:pt idx="1091">
                  <c:v>0.99961210240496523</c:v>
                </c:pt>
                <c:pt idx="1092">
                  <c:v>1.0368502715283165</c:v>
                </c:pt>
                <c:pt idx="1093">
                  <c:v>1.0044331153718276</c:v>
                </c:pt>
                <c:pt idx="1094">
                  <c:v>1.0169012523550924</c:v>
                </c:pt>
                <c:pt idx="1095">
                  <c:v>1.0351878532638812</c:v>
                </c:pt>
                <c:pt idx="1096">
                  <c:v>1.0549706306106619</c:v>
                </c:pt>
                <c:pt idx="1097">
                  <c:v>1.0449961210240499</c:v>
                </c:pt>
                <c:pt idx="1098">
                  <c:v>1.0364069599911339</c:v>
                </c:pt>
                <c:pt idx="1099">
                  <c:v>1.0298127008755404</c:v>
                </c:pt>
                <c:pt idx="1100">
                  <c:v>1.0672171118253353</c:v>
                </c:pt>
                <c:pt idx="1101">
                  <c:v>1.1468469466917877</c:v>
                </c:pt>
                <c:pt idx="1102">
                  <c:v>1.1118253352543501</c:v>
                </c:pt>
                <c:pt idx="1103">
                  <c:v>1.1123240607336806</c:v>
                </c:pt>
                <c:pt idx="1104">
                  <c:v>1.1225202260888838</c:v>
                </c:pt>
                <c:pt idx="1105">
                  <c:v>1.1796520004433118</c:v>
                </c:pt>
                <c:pt idx="1106">
                  <c:v>1.1918984816579852</c:v>
                </c:pt>
                <c:pt idx="1107">
                  <c:v>1.1890169566662974</c:v>
                </c:pt>
                <c:pt idx="1108">
                  <c:v>1.1735564668070486</c:v>
                </c:pt>
                <c:pt idx="1109">
                  <c:v>1.1081126011304445</c:v>
                </c:pt>
                <c:pt idx="1110">
                  <c:v>1.1113266097750194</c:v>
                </c:pt>
                <c:pt idx="1111">
                  <c:v>1.0912667627174997</c:v>
                </c:pt>
                <c:pt idx="1112">
                  <c:v>1.0343566441316638</c:v>
                </c:pt>
                <c:pt idx="1113">
                  <c:v>1.068491632494736</c:v>
                </c:pt>
                <c:pt idx="1114">
                  <c:v>1.0959215338579187</c:v>
                </c:pt>
                <c:pt idx="1115">
                  <c:v>1.1002992352875984</c:v>
                </c:pt>
                <c:pt idx="1116">
                  <c:v>1.1220215006095533</c:v>
                </c:pt>
                <c:pt idx="1117">
                  <c:v>1.0939266319405963</c:v>
                </c:pt>
                <c:pt idx="1118">
                  <c:v>1.105840629502383</c:v>
                </c:pt>
                <c:pt idx="1119">
                  <c:v>1.1390889947910894</c:v>
                </c:pt>
                <c:pt idx="1120">
                  <c:v>1.1095533636262886</c:v>
                </c:pt>
                <c:pt idx="1121">
                  <c:v>1.1073368059403748</c:v>
                </c:pt>
                <c:pt idx="1122">
                  <c:v>1.0687132882633272</c:v>
                </c:pt>
                <c:pt idx="1123">
                  <c:v>1.0931508367505267</c:v>
                </c:pt>
                <c:pt idx="1124">
                  <c:v>1.110107503047767</c:v>
                </c:pt>
                <c:pt idx="1125">
                  <c:v>1.1639698548154718</c:v>
                </c:pt>
                <c:pt idx="1126">
                  <c:v>1.1586501163692784</c:v>
                </c:pt>
                <c:pt idx="1127">
                  <c:v>1.1642469245262108</c:v>
                </c:pt>
                <c:pt idx="1128">
                  <c:v>1.2000997450958664</c:v>
                </c:pt>
                <c:pt idx="1129">
                  <c:v>1.253241715615649</c:v>
                </c:pt>
                <c:pt idx="1130">
                  <c:v>1.3047766818131441</c:v>
                </c:pt>
                <c:pt idx="1131">
                  <c:v>1.3307104067383355</c:v>
                </c:pt>
                <c:pt idx="1132">
                  <c:v>1.2950792419372716</c:v>
                </c:pt>
                <c:pt idx="1133">
                  <c:v>1.321955003878976</c:v>
                </c:pt>
                <c:pt idx="1134">
                  <c:v>1.2908677823340353</c:v>
                </c:pt>
                <c:pt idx="1135">
                  <c:v>1.305219993350327</c:v>
                </c:pt>
                <c:pt idx="1136">
                  <c:v>1.3356422475894936</c:v>
                </c:pt>
                <c:pt idx="1137">
                  <c:v>1.3806937825556913</c:v>
                </c:pt>
                <c:pt idx="1138">
                  <c:v>1.3782001551590382</c:v>
                </c:pt>
                <c:pt idx="1139">
                  <c:v>1.3358084894159372</c:v>
                </c:pt>
                <c:pt idx="1140">
                  <c:v>1.3339244153829106</c:v>
                </c:pt>
                <c:pt idx="1141">
                  <c:v>1.4406516679596586</c:v>
                </c:pt>
                <c:pt idx="1142">
                  <c:v>1.4624293472237615</c:v>
                </c:pt>
                <c:pt idx="1143">
                  <c:v>1.4393217333481105</c:v>
                </c:pt>
                <c:pt idx="1144">
                  <c:v>1.4899146625290924</c:v>
                </c:pt>
                <c:pt idx="1145">
                  <c:v>1.6053419040230521</c:v>
                </c:pt>
                <c:pt idx="1146">
                  <c:v>1.5845062617754628</c:v>
                </c:pt>
                <c:pt idx="1147">
                  <c:v>1.6420813476670733</c:v>
                </c:pt>
                <c:pt idx="1148">
                  <c:v>1.569489083453397</c:v>
                </c:pt>
                <c:pt idx="1149">
                  <c:v>1.6329934611548267</c:v>
                </c:pt>
                <c:pt idx="1150">
                  <c:v>1.7149506815914886</c:v>
                </c:pt>
                <c:pt idx="1151">
                  <c:v>1.6131552698658982</c:v>
                </c:pt>
                <c:pt idx="1152">
                  <c:v>1.6181425246592043</c:v>
                </c:pt>
                <c:pt idx="1153">
                  <c:v>1.8051645794081792</c:v>
                </c:pt>
                <c:pt idx="1154">
                  <c:v>1.8470575196719496</c:v>
                </c:pt>
                <c:pt idx="1155">
                  <c:v>1.9533414607115152</c:v>
                </c:pt>
                <c:pt idx="1156">
                  <c:v>1.7764601573755958</c:v>
                </c:pt>
                <c:pt idx="1157">
                  <c:v>1.6434666962207694</c:v>
                </c:pt>
                <c:pt idx="1158">
                  <c:v>1.6421921755513686</c:v>
                </c:pt>
                <c:pt idx="1159">
                  <c:v>1.6988806383686137</c:v>
                </c:pt>
                <c:pt idx="1160">
                  <c:v>1.6923417931951679</c:v>
                </c:pt>
                <c:pt idx="1161">
                  <c:v>1.6224093982045882</c:v>
                </c:pt>
                <c:pt idx="1162">
                  <c:v>1.6550482101296686</c:v>
                </c:pt>
                <c:pt idx="1163">
                  <c:v>1.6940042114596032</c:v>
                </c:pt>
                <c:pt idx="1164">
                  <c:v>1.6687354538401862</c:v>
                </c:pt>
                <c:pt idx="1165">
                  <c:v>1.6205807381137094</c:v>
                </c:pt>
                <c:pt idx="1166">
                  <c:v>1.6610883298237837</c:v>
                </c:pt>
                <c:pt idx="1167">
                  <c:v>1.6570985259891391</c:v>
                </c:pt>
                <c:pt idx="1168">
                  <c:v>1.667793416823673</c:v>
                </c:pt>
                <c:pt idx="1169">
                  <c:v>1.8119250803502163</c:v>
                </c:pt>
                <c:pt idx="1170">
                  <c:v>1.9622631053973181</c:v>
                </c:pt>
                <c:pt idx="1171">
                  <c:v>1.9463593040008869</c:v>
                </c:pt>
                <c:pt idx="1172">
                  <c:v>1.8087110717056412</c:v>
                </c:pt>
                <c:pt idx="1173">
                  <c:v>1.799567771251247</c:v>
                </c:pt>
                <c:pt idx="1174">
                  <c:v>1.818020613986479</c:v>
                </c:pt>
                <c:pt idx="1175">
                  <c:v>1.7873767039787212</c:v>
                </c:pt>
                <c:pt idx="1176">
                  <c:v>1.7658760944253573</c:v>
                </c:pt>
                <c:pt idx="1177">
                  <c:v>1.8241715615648899</c:v>
                </c:pt>
                <c:pt idx="1178">
                  <c:v>1.9705751967194947</c:v>
                </c:pt>
                <c:pt idx="1179">
                  <c:v>2.1676271749972291</c:v>
                </c:pt>
                <c:pt idx="1180">
                  <c:v>2.25296464590491</c:v>
                </c:pt>
                <c:pt idx="1181">
                  <c:v>2.2483652887066388</c:v>
                </c:pt>
                <c:pt idx="1182">
                  <c:v>2.1858029480217223</c:v>
                </c:pt>
                <c:pt idx="1183">
                  <c:v>2.2723595256566553</c:v>
                </c:pt>
                <c:pt idx="1184">
                  <c:v>2.3713842402748533</c:v>
                </c:pt>
                <c:pt idx="1185">
                  <c:v>2.3818574753407962</c:v>
                </c:pt>
                <c:pt idx="1186">
                  <c:v>2.5792973512135653</c:v>
                </c:pt>
                <c:pt idx="1187">
                  <c:v>2.4360523107613874</c:v>
                </c:pt>
                <c:pt idx="1188">
                  <c:v>2.5089770586279507</c:v>
                </c:pt>
                <c:pt idx="1189">
                  <c:v>2.7072481436329379</c:v>
                </c:pt>
                <c:pt idx="1190">
                  <c:v>2.6140418929402638</c:v>
                </c:pt>
                <c:pt idx="1191">
                  <c:v>2.7398315416158709</c:v>
                </c:pt>
                <c:pt idx="1192">
                  <c:v>2.9419816025712069</c:v>
                </c:pt>
                <c:pt idx="1193">
                  <c:v>2.9723484428682259</c:v>
                </c:pt>
                <c:pt idx="1194">
                  <c:v>3.2777346780449963</c:v>
                </c:pt>
                <c:pt idx="1195">
                  <c:v>3.3177989582178875</c:v>
                </c:pt>
                <c:pt idx="1196">
                  <c:v>2.9123905574642577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6E-4DD5-9CC7-BF3B704B7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2004457919"/>
        <c:axId val="842055071"/>
      </c:barChart>
      <c:catAx>
        <c:axId val="200445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2055071"/>
        <c:crosses val="autoZero"/>
        <c:auto val="1"/>
        <c:lblAlgn val="ctr"/>
        <c:lblOffset val="100"/>
        <c:noMultiLvlLbl val="0"/>
      </c:catAx>
      <c:valAx>
        <c:axId val="8420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445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Figure 5. Gold/Silver Ratio (2020-2025)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Analysis!$H$1</c:f>
              <c:strCache>
                <c:ptCount val="1"/>
                <c:pt idx="0">
                  <c:v>Gold/Silver Ratio</c:v>
                </c:pt>
              </c:strCache>
            </c:strRef>
          </c:tx>
          <c:spPr>
            <a:ln w="15875" cap="rnd">
              <a:solidFill>
                <a:srgbClr val="E8E8E8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Analysis!$A$2:$A$1328</c:f>
              <c:strCache>
                <c:ptCount val="1197"/>
                <c:pt idx="0">
                  <c:v>02.01.2020</c:v>
                </c:pt>
                <c:pt idx="1">
                  <c:v>06.01.2020</c:v>
                </c:pt>
                <c:pt idx="2">
                  <c:v>07.01.2020</c:v>
                </c:pt>
                <c:pt idx="3">
                  <c:v>08.01.2020</c:v>
                </c:pt>
                <c:pt idx="4">
                  <c:v>09.01.2020</c:v>
                </c:pt>
                <c:pt idx="5">
                  <c:v>13.01.2020</c:v>
                </c:pt>
                <c:pt idx="6">
                  <c:v>14.01.2020</c:v>
                </c:pt>
                <c:pt idx="7">
                  <c:v>15.01.2020</c:v>
                </c:pt>
                <c:pt idx="8">
                  <c:v>16.01.2020</c:v>
                </c:pt>
                <c:pt idx="9">
                  <c:v>21.01.2020</c:v>
                </c:pt>
                <c:pt idx="10">
                  <c:v>22.01.2020</c:v>
                </c:pt>
                <c:pt idx="11">
                  <c:v>23.01.2020</c:v>
                </c:pt>
                <c:pt idx="12">
                  <c:v>27.01.2020</c:v>
                </c:pt>
                <c:pt idx="13">
                  <c:v>28.01.2020</c:v>
                </c:pt>
                <c:pt idx="14">
                  <c:v>29.01.2020</c:v>
                </c:pt>
                <c:pt idx="15">
                  <c:v>30.01.2020</c:v>
                </c:pt>
                <c:pt idx="16">
                  <c:v>03.02.2020</c:v>
                </c:pt>
                <c:pt idx="17">
                  <c:v>04.02.2020</c:v>
                </c:pt>
                <c:pt idx="18">
                  <c:v>05.02.2020</c:v>
                </c:pt>
                <c:pt idx="19">
                  <c:v>06.02.2020</c:v>
                </c:pt>
                <c:pt idx="20">
                  <c:v>10.02.2020</c:v>
                </c:pt>
                <c:pt idx="21">
                  <c:v>11.02.2020</c:v>
                </c:pt>
                <c:pt idx="22">
                  <c:v>12.02.2020</c:v>
                </c:pt>
                <c:pt idx="23">
                  <c:v>13.02.2020</c:v>
                </c:pt>
                <c:pt idx="24">
                  <c:v>18.02.2020</c:v>
                </c:pt>
                <c:pt idx="25">
                  <c:v>19.02.2020</c:v>
                </c:pt>
                <c:pt idx="26">
                  <c:v>20.02.2020</c:v>
                </c:pt>
                <c:pt idx="27">
                  <c:v>24.02.2020</c:v>
                </c:pt>
                <c:pt idx="28">
                  <c:v>25.02.2020</c:v>
                </c:pt>
                <c:pt idx="29">
                  <c:v>26.02.2020</c:v>
                </c:pt>
                <c:pt idx="30">
                  <c:v>27.02.2020</c:v>
                </c:pt>
                <c:pt idx="31">
                  <c:v>02.03.2020</c:v>
                </c:pt>
                <c:pt idx="32">
                  <c:v>03.03.2020</c:v>
                </c:pt>
                <c:pt idx="33">
                  <c:v>04.03.2020</c:v>
                </c:pt>
                <c:pt idx="34">
                  <c:v>05.03.2020</c:v>
                </c:pt>
                <c:pt idx="35">
                  <c:v>09.03.2020</c:v>
                </c:pt>
                <c:pt idx="36">
                  <c:v>10.03.2020</c:v>
                </c:pt>
                <c:pt idx="37">
                  <c:v>11.03.2020</c:v>
                </c:pt>
                <c:pt idx="38">
                  <c:v>12.03.2020</c:v>
                </c:pt>
                <c:pt idx="39">
                  <c:v>16.03.2020</c:v>
                </c:pt>
                <c:pt idx="40">
                  <c:v>17.03.2020</c:v>
                </c:pt>
                <c:pt idx="41">
                  <c:v>18.03.2020</c:v>
                </c:pt>
                <c:pt idx="42">
                  <c:v>19.03.2020</c:v>
                </c:pt>
                <c:pt idx="43">
                  <c:v>23.03.2020</c:v>
                </c:pt>
                <c:pt idx="44">
                  <c:v>24.03.2020</c:v>
                </c:pt>
                <c:pt idx="45">
                  <c:v>25.03.2020</c:v>
                </c:pt>
                <c:pt idx="46">
                  <c:v>26.03.2020</c:v>
                </c:pt>
                <c:pt idx="47">
                  <c:v>30.03.2020</c:v>
                </c:pt>
                <c:pt idx="48">
                  <c:v>31.03.2020</c:v>
                </c:pt>
                <c:pt idx="49">
                  <c:v>01.04.2020</c:v>
                </c:pt>
                <c:pt idx="50">
                  <c:v>02.04.2020</c:v>
                </c:pt>
                <c:pt idx="51">
                  <c:v>06.04.2020</c:v>
                </c:pt>
                <c:pt idx="52">
                  <c:v>07.04.2020</c:v>
                </c:pt>
                <c:pt idx="53">
                  <c:v>08.04.2020</c:v>
                </c:pt>
                <c:pt idx="54">
                  <c:v>13.04.2020</c:v>
                </c:pt>
                <c:pt idx="55">
                  <c:v>14.04.2020</c:v>
                </c:pt>
                <c:pt idx="56">
                  <c:v>15.04.2020</c:v>
                </c:pt>
                <c:pt idx="57">
                  <c:v>16.04.2020</c:v>
                </c:pt>
                <c:pt idx="58">
                  <c:v>20.04.2020</c:v>
                </c:pt>
                <c:pt idx="59">
                  <c:v>21.04.2020</c:v>
                </c:pt>
                <c:pt idx="60">
                  <c:v>22.04.2020</c:v>
                </c:pt>
                <c:pt idx="61">
                  <c:v>23.04.2020</c:v>
                </c:pt>
                <c:pt idx="62">
                  <c:v>27.04.2020</c:v>
                </c:pt>
                <c:pt idx="63">
                  <c:v>28.04.2020</c:v>
                </c:pt>
                <c:pt idx="64">
                  <c:v>29.04.2020</c:v>
                </c:pt>
                <c:pt idx="65">
                  <c:v>30.04.2020</c:v>
                </c:pt>
                <c:pt idx="66">
                  <c:v>04.05.2020</c:v>
                </c:pt>
                <c:pt idx="67">
                  <c:v>05.05.2020</c:v>
                </c:pt>
                <c:pt idx="68">
                  <c:v>06.05.2020</c:v>
                </c:pt>
                <c:pt idx="69">
                  <c:v>07.05.2020</c:v>
                </c:pt>
                <c:pt idx="70">
                  <c:v>11.05.2020</c:v>
                </c:pt>
                <c:pt idx="71">
                  <c:v>12.05.2020</c:v>
                </c:pt>
                <c:pt idx="72">
                  <c:v>13.05.2020</c:v>
                </c:pt>
                <c:pt idx="73">
                  <c:v>14.05.2020</c:v>
                </c:pt>
                <c:pt idx="74">
                  <c:v>18.05.2020</c:v>
                </c:pt>
                <c:pt idx="75">
                  <c:v>19.05.2020</c:v>
                </c:pt>
                <c:pt idx="76">
                  <c:v>20.05.2020</c:v>
                </c:pt>
                <c:pt idx="77">
                  <c:v>21.05.2020</c:v>
                </c:pt>
                <c:pt idx="78">
                  <c:v>26.05.2020</c:v>
                </c:pt>
                <c:pt idx="79">
                  <c:v>27.05.2020</c:v>
                </c:pt>
                <c:pt idx="80">
                  <c:v>28.05.2020</c:v>
                </c:pt>
                <c:pt idx="81">
                  <c:v>01.06.2020</c:v>
                </c:pt>
                <c:pt idx="82">
                  <c:v>02.06.2020</c:v>
                </c:pt>
                <c:pt idx="83">
                  <c:v>03.06.2020</c:v>
                </c:pt>
                <c:pt idx="84">
                  <c:v>04.06.2020</c:v>
                </c:pt>
                <c:pt idx="85">
                  <c:v>08.06.2020</c:v>
                </c:pt>
                <c:pt idx="86">
                  <c:v>09.06.2020</c:v>
                </c:pt>
                <c:pt idx="87">
                  <c:v>10.06.2020</c:v>
                </c:pt>
                <c:pt idx="88">
                  <c:v>11.06.2020</c:v>
                </c:pt>
                <c:pt idx="89">
                  <c:v>15.06.2020</c:v>
                </c:pt>
                <c:pt idx="90">
                  <c:v>16.06.2020</c:v>
                </c:pt>
                <c:pt idx="91">
                  <c:v>17.06.2020</c:v>
                </c:pt>
                <c:pt idx="92">
                  <c:v>18.06.2020</c:v>
                </c:pt>
                <c:pt idx="93">
                  <c:v>22.06.2020</c:v>
                </c:pt>
                <c:pt idx="94">
                  <c:v>23.06.2020</c:v>
                </c:pt>
                <c:pt idx="95">
                  <c:v>24.06.2020</c:v>
                </c:pt>
                <c:pt idx="96">
                  <c:v>25.06.2020</c:v>
                </c:pt>
                <c:pt idx="97">
                  <c:v>29.06.2020</c:v>
                </c:pt>
                <c:pt idx="98">
                  <c:v>30.06.2020</c:v>
                </c:pt>
                <c:pt idx="99">
                  <c:v>01.07.2020</c:v>
                </c:pt>
                <c:pt idx="100">
                  <c:v>02.07.2020</c:v>
                </c:pt>
                <c:pt idx="101">
                  <c:v>06.07.2020</c:v>
                </c:pt>
                <c:pt idx="102">
                  <c:v>07.07.2020</c:v>
                </c:pt>
                <c:pt idx="103">
                  <c:v>08.07.2020</c:v>
                </c:pt>
                <c:pt idx="104">
                  <c:v>09.07.2020</c:v>
                </c:pt>
                <c:pt idx="105">
                  <c:v>13.07.2020</c:v>
                </c:pt>
                <c:pt idx="106">
                  <c:v>14.07.2020</c:v>
                </c:pt>
                <c:pt idx="107">
                  <c:v>15.07.2020</c:v>
                </c:pt>
                <c:pt idx="108">
                  <c:v>16.07.2020</c:v>
                </c:pt>
                <c:pt idx="109">
                  <c:v>20.07.2020</c:v>
                </c:pt>
                <c:pt idx="110">
                  <c:v>21.07.2020</c:v>
                </c:pt>
                <c:pt idx="111">
                  <c:v>22.07.2020</c:v>
                </c:pt>
                <c:pt idx="112">
                  <c:v>23.07.2020</c:v>
                </c:pt>
                <c:pt idx="113">
                  <c:v>27.07.2020</c:v>
                </c:pt>
                <c:pt idx="114">
                  <c:v>28.07.2020</c:v>
                </c:pt>
                <c:pt idx="115">
                  <c:v>29.07.2020</c:v>
                </c:pt>
                <c:pt idx="116">
                  <c:v>30.07.2020</c:v>
                </c:pt>
                <c:pt idx="117">
                  <c:v>03.08.2020</c:v>
                </c:pt>
                <c:pt idx="118">
                  <c:v>04.08.2020</c:v>
                </c:pt>
                <c:pt idx="119">
                  <c:v>05.08.2020</c:v>
                </c:pt>
                <c:pt idx="120">
                  <c:v>06.08.2020</c:v>
                </c:pt>
                <c:pt idx="121">
                  <c:v>10.08.2020</c:v>
                </c:pt>
                <c:pt idx="122">
                  <c:v>11.08.2020</c:v>
                </c:pt>
                <c:pt idx="123">
                  <c:v>12.08.2020</c:v>
                </c:pt>
                <c:pt idx="124">
                  <c:v>13.08.2020</c:v>
                </c:pt>
                <c:pt idx="125">
                  <c:v>17.08.2020</c:v>
                </c:pt>
                <c:pt idx="126">
                  <c:v>18.08.2020</c:v>
                </c:pt>
                <c:pt idx="127">
                  <c:v>19.08.2020</c:v>
                </c:pt>
                <c:pt idx="128">
                  <c:v>20.08.2020</c:v>
                </c:pt>
                <c:pt idx="129">
                  <c:v>24.08.2020</c:v>
                </c:pt>
                <c:pt idx="130">
                  <c:v>25.08.2020</c:v>
                </c:pt>
                <c:pt idx="131">
                  <c:v>26.08.2020</c:v>
                </c:pt>
                <c:pt idx="132">
                  <c:v>27.08.2020</c:v>
                </c:pt>
                <c:pt idx="133">
                  <c:v>31.08.2020</c:v>
                </c:pt>
                <c:pt idx="134">
                  <c:v>01.09.2020</c:v>
                </c:pt>
                <c:pt idx="135">
                  <c:v>02.09.2020</c:v>
                </c:pt>
                <c:pt idx="136">
                  <c:v>03.09.2020</c:v>
                </c:pt>
                <c:pt idx="137">
                  <c:v>08.09.2020</c:v>
                </c:pt>
                <c:pt idx="138">
                  <c:v>09.09.2020</c:v>
                </c:pt>
                <c:pt idx="139">
                  <c:v>10.09.2020</c:v>
                </c:pt>
                <c:pt idx="140">
                  <c:v>14.09.2020</c:v>
                </c:pt>
                <c:pt idx="141">
                  <c:v>15.09.2020</c:v>
                </c:pt>
                <c:pt idx="142">
                  <c:v>16.09.2020</c:v>
                </c:pt>
                <c:pt idx="143">
                  <c:v>17.09.2020</c:v>
                </c:pt>
                <c:pt idx="144">
                  <c:v>21.09.2020</c:v>
                </c:pt>
                <c:pt idx="145">
                  <c:v>22.09.2020</c:v>
                </c:pt>
                <c:pt idx="146">
                  <c:v>23.09.2020</c:v>
                </c:pt>
                <c:pt idx="147">
                  <c:v>24.09.2020</c:v>
                </c:pt>
                <c:pt idx="148">
                  <c:v>28.09.2020</c:v>
                </c:pt>
                <c:pt idx="149">
                  <c:v>29.09.2020</c:v>
                </c:pt>
                <c:pt idx="150">
                  <c:v>30.09.2020</c:v>
                </c:pt>
                <c:pt idx="151">
                  <c:v>01.10.2020</c:v>
                </c:pt>
                <c:pt idx="152">
                  <c:v>05.10.2020</c:v>
                </c:pt>
                <c:pt idx="153">
                  <c:v>06.10.2020</c:v>
                </c:pt>
                <c:pt idx="154">
                  <c:v>07.10.2020</c:v>
                </c:pt>
                <c:pt idx="155">
                  <c:v>08.10.2020</c:v>
                </c:pt>
                <c:pt idx="156">
                  <c:v>12.10.2020</c:v>
                </c:pt>
                <c:pt idx="157">
                  <c:v>13.10.2020</c:v>
                </c:pt>
                <c:pt idx="158">
                  <c:v>14.10.2020</c:v>
                </c:pt>
                <c:pt idx="159">
                  <c:v>15.10.2020</c:v>
                </c:pt>
                <c:pt idx="160">
                  <c:v>19.10.2020</c:v>
                </c:pt>
                <c:pt idx="161">
                  <c:v>20.10.2020</c:v>
                </c:pt>
                <c:pt idx="162">
                  <c:v>21.10.2020</c:v>
                </c:pt>
                <c:pt idx="163">
                  <c:v>22.10.2020</c:v>
                </c:pt>
                <c:pt idx="164">
                  <c:v>26.10.2020</c:v>
                </c:pt>
                <c:pt idx="165">
                  <c:v>27.10.2020</c:v>
                </c:pt>
                <c:pt idx="166">
                  <c:v>28.10.2020</c:v>
                </c:pt>
                <c:pt idx="167">
                  <c:v>29.10.2020</c:v>
                </c:pt>
                <c:pt idx="168">
                  <c:v>02.11.2020</c:v>
                </c:pt>
                <c:pt idx="169">
                  <c:v>03.11.2020</c:v>
                </c:pt>
                <c:pt idx="170">
                  <c:v>04.11.2020</c:v>
                </c:pt>
                <c:pt idx="171">
                  <c:v>05.11.2020</c:v>
                </c:pt>
                <c:pt idx="172">
                  <c:v>09.11.2020</c:v>
                </c:pt>
                <c:pt idx="173">
                  <c:v>10.11.2020</c:v>
                </c:pt>
                <c:pt idx="174">
                  <c:v>11.11.2020</c:v>
                </c:pt>
                <c:pt idx="175">
                  <c:v>12.11.2020</c:v>
                </c:pt>
                <c:pt idx="176">
                  <c:v>16.11.2020</c:v>
                </c:pt>
                <c:pt idx="177">
                  <c:v>17.11.2020</c:v>
                </c:pt>
                <c:pt idx="178">
                  <c:v>18.11.2020</c:v>
                </c:pt>
                <c:pt idx="179">
                  <c:v>19.11.2020</c:v>
                </c:pt>
                <c:pt idx="180">
                  <c:v>23.11.2020</c:v>
                </c:pt>
                <c:pt idx="181">
                  <c:v>24.11.2020</c:v>
                </c:pt>
                <c:pt idx="182">
                  <c:v>25.11.2020</c:v>
                </c:pt>
                <c:pt idx="183">
                  <c:v>30.11.2020</c:v>
                </c:pt>
                <c:pt idx="184">
                  <c:v>01.12.2020</c:v>
                </c:pt>
                <c:pt idx="185">
                  <c:v>02.12.2020</c:v>
                </c:pt>
                <c:pt idx="186">
                  <c:v>03.12.2020</c:v>
                </c:pt>
                <c:pt idx="187">
                  <c:v>07.12.2020</c:v>
                </c:pt>
                <c:pt idx="188">
                  <c:v>08.12.2020</c:v>
                </c:pt>
                <c:pt idx="189">
                  <c:v>09.12.2020</c:v>
                </c:pt>
                <c:pt idx="190">
                  <c:v>10.12.2020</c:v>
                </c:pt>
                <c:pt idx="191">
                  <c:v>14.12.2020</c:v>
                </c:pt>
                <c:pt idx="192">
                  <c:v>15.12.2020</c:v>
                </c:pt>
                <c:pt idx="193">
                  <c:v>16.12.2020</c:v>
                </c:pt>
                <c:pt idx="194">
                  <c:v>17.12.2020</c:v>
                </c:pt>
                <c:pt idx="195">
                  <c:v>21.12.2020</c:v>
                </c:pt>
                <c:pt idx="196">
                  <c:v>22.12.2020</c:v>
                </c:pt>
                <c:pt idx="197">
                  <c:v>23.12.2020</c:v>
                </c:pt>
                <c:pt idx="198">
                  <c:v>28.12.2020</c:v>
                </c:pt>
                <c:pt idx="199">
                  <c:v>29.12.2020</c:v>
                </c:pt>
                <c:pt idx="200">
                  <c:v>30.12.2020</c:v>
                </c:pt>
                <c:pt idx="201">
                  <c:v>04.01.2021</c:v>
                </c:pt>
                <c:pt idx="202">
                  <c:v>05.01.2021</c:v>
                </c:pt>
                <c:pt idx="203">
                  <c:v>06.01.2021</c:v>
                </c:pt>
                <c:pt idx="204">
                  <c:v>07.01.2021</c:v>
                </c:pt>
                <c:pt idx="205">
                  <c:v>11.01.2021</c:v>
                </c:pt>
                <c:pt idx="206">
                  <c:v>12.01.2021</c:v>
                </c:pt>
                <c:pt idx="207">
                  <c:v>13.01.2021</c:v>
                </c:pt>
                <c:pt idx="208">
                  <c:v>14.01.2021</c:v>
                </c:pt>
                <c:pt idx="209">
                  <c:v>19.01.2021</c:v>
                </c:pt>
                <c:pt idx="210">
                  <c:v>20.01.2021</c:v>
                </c:pt>
                <c:pt idx="211">
                  <c:v>21.01.2021</c:v>
                </c:pt>
                <c:pt idx="212">
                  <c:v>25.01.2021</c:v>
                </c:pt>
                <c:pt idx="213">
                  <c:v>26.01.2021</c:v>
                </c:pt>
                <c:pt idx="214">
                  <c:v>27.01.2021</c:v>
                </c:pt>
                <c:pt idx="215">
                  <c:v>28.01.2021</c:v>
                </c:pt>
                <c:pt idx="216">
                  <c:v>01.02.2021</c:v>
                </c:pt>
                <c:pt idx="217">
                  <c:v>02.02.2021</c:v>
                </c:pt>
                <c:pt idx="218">
                  <c:v>03.02.2021</c:v>
                </c:pt>
                <c:pt idx="219">
                  <c:v>04.02.2021</c:v>
                </c:pt>
                <c:pt idx="220">
                  <c:v>08.02.2021</c:v>
                </c:pt>
                <c:pt idx="221">
                  <c:v>09.02.2021</c:v>
                </c:pt>
                <c:pt idx="222">
                  <c:v>10.02.2021</c:v>
                </c:pt>
                <c:pt idx="223">
                  <c:v>11.02.2021</c:v>
                </c:pt>
                <c:pt idx="224">
                  <c:v>16.02.2021</c:v>
                </c:pt>
                <c:pt idx="225">
                  <c:v>17.02.2021</c:v>
                </c:pt>
                <c:pt idx="226">
                  <c:v>18.02.2021</c:v>
                </c:pt>
                <c:pt idx="227">
                  <c:v>22.02.2021</c:v>
                </c:pt>
                <c:pt idx="228">
                  <c:v>23.02.2021</c:v>
                </c:pt>
                <c:pt idx="229">
                  <c:v>24.02.2021</c:v>
                </c:pt>
                <c:pt idx="230">
                  <c:v>25.02.2021</c:v>
                </c:pt>
                <c:pt idx="231">
                  <c:v>01.03.2021</c:v>
                </c:pt>
                <c:pt idx="232">
                  <c:v>02.03.2021</c:v>
                </c:pt>
                <c:pt idx="233">
                  <c:v>03.03.2021</c:v>
                </c:pt>
                <c:pt idx="234">
                  <c:v>04.03.2021</c:v>
                </c:pt>
                <c:pt idx="235">
                  <c:v>08.03.2021</c:v>
                </c:pt>
                <c:pt idx="236">
                  <c:v>09.03.2021</c:v>
                </c:pt>
                <c:pt idx="237">
                  <c:v>10.03.2021</c:v>
                </c:pt>
                <c:pt idx="238">
                  <c:v>11.03.2021</c:v>
                </c:pt>
                <c:pt idx="239">
                  <c:v>15.03.2021</c:v>
                </c:pt>
                <c:pt idx="240">
                  <c:v>16.03.2021</c:v>
                </c:pt>
                <c:pt idx="241">
                  <c:v>17.03.2021</c:v>
                </c:pt>
                <c:pt idx="242">
                  <c:v>18.03.2021</c:v>
                </c:pt>
                <c:pt idx="243">
                  <c:v>22.03.2021</c:v>
                </c:pt>
                <c:pt idx="244">
                  <c:v>23.03.2021</c:v>
                </c:pt>
                <c:pt idx="245">
                  <c:v>24.03.2021</c:v>
                </c:pt>
                <c:pt idx="246">
                  <c:v>25.03.2021</c:v>
                </c:pt>
                <c:pt idx="247">
                  <c:v>29.03.2021</c:v>
                </c:pt>
                <c:pt idx="248">
                  <c:v>30.03.2021</c:v>
                </c:pt>
                <c:pt idx="249">
                  <c:v>31.03.2021</c:v>
                </c:pt>
                <c:pt idx="250">
                  <c:v>05.04.2021</c:v>
                </c:pt>
                <c:pt idx="251">
                  <c:v>06.04.2021</c:v>
                </c:pt>
                <c:pt idx="252">
                  <c:v>07.04.2021</c:v>
                </c:pt>
                <c:pt idx="253">
                  <c:v>08.04.2021</c:v>
                </c:pt>
                <c:pt idx="254">
                  <c:v>12.04.2021</c:v>
                </c:pt>
                <c:pt idx="255">
                  <c:v>13.04.2021</c:v>
                </c:pt>
                <c:pt idx="256">
                  <c:v>14.04.2021</c:v>
                </c:pt>
                <c:pt idx="257">
                  <c:v>15.04.2021</c:v>
                </c:pt>
                <c:pt idx="258">
                  <c:v>19.04.2021</c:v>
                </c:pt>
                <c:pt idx="259">
                  <c:v>20.04.2021</c:v>
                </c:pt>
                <c:pt idx="260">
                  <c:v>21.04.2021</c:v>
                </c:pt>
                <c:pt idx="261">
                  <c:v>22.04.2021</c:v>
                </c:pt>
                <c:pt idx="262">
                  <c:v>26.04.2021</c:v>
                </c:pt>
                <c:pt idx="263">
                  <c:v>27.04.2021</c:v>
                </c:pt>
                <c:pt idx="264">
                  <c:v>28.04.2021</c:v>
                </c:pt>
                <c:pt idx="265">
                  <c:v>29.04.2021</c:v>
                </c:pt>
                <c:pt idx="266">
                  <c:v>03.05.2021</c:v>
                </c:pt>
                <c:pt idx="267">
                  <c:v>04.05.2021</c:v>
                </c:pt>
                <c:pt idx="268">
                  <c:v>05.05.2021</c:v>
                </c:pt>
                <c:pt idx="269">
                  <c:v>06.05.2021</c:v>
                </c:pt>
                <c:pt idx="270">
                  <c:v>10.05.2021</c:v>
                </c:pt>
                <c:pt idx="271">
                  <c:v>11.05.2021</c:v>
                </c:pt>
                <c:pt idx="272">
                  <c:v>12.05.2021</c:v>
                </c:pt>
                <c:pt idx="273">
                  <c:v>13.05.2021</c:v>
                </c:pt>
                <c:pt idx="274">
                  <c:v>17.05.2021</c:v>
                </c:pt>
                <c:pt idx="275">
                  <c:v>18.05.2021</c:v>
                </c:pt>
                <c:pt idx="276">
                  <c:v>19.05.2021</c:v>
                </c:pt>
                <c:pt idx="277">
                  <c:v>20.05.2021</c:v>
                </c:pt>
                <c:pt idx="278">
                  <c:v>24.05.2021</c:v>
                </c:pt>
                <c:pt idx="279">
                  <c:v>25.05.2021</c:v>
                </c:pt>
                <c:pt idx="280">
                  <c:v>26.05.2021</c:v>
                </c:pt>
                <c:pt idx="281">
                  <c:v>27.05.2021</c:v>
                </c:pt>
                <c:pt idx="282">
                  <c:v>01.06.2021</c:v>
                </c:pt>
                <c:pt idx="283">
                  <c:v>02.06.2021</c:v>
                </c:pt>
                <c:pt idx="284">
                  <c:v>03.06.2021</c:v>
                </c:pt>
                <c:pt idx="285">
                  <c:v>07.06.2021</c:v>
                </c:pt>
                <c:pt idx="286">
                  <c:v>08.06.2021</c:v>
                </c:pt>
                <c:pt idx="287">
                  <c:v>09.06.2021</c:v>
                </c:pt>
                <c:pt idx="288">
                  <c:v>10.06.2021</c:v>
                </c:pt>
                <c:pt idx="289">
                  <c:v>14.06.2021</c:v>
                </c:pt>
                <c:pt idx="290">
                  <c:v>15.06.2021</c:v>
                </c:pt>
                <c:pt idx="291">
                  <c:v>16.06.2021</c:v>
                </c:pt>
                <c:pt idx="292">
                  <c:v>17.06.2021</c:v>
                </c:pt>
                <c:pt idx="293">
                  <c:v>21.06.2021</c:v>
                </c:pt>
                <c:pt idx="294">
                  <c:v>22.06.2021</c:v>
                </c:pt>
                <c:pt idx="295">
                  <c:v>23.06.2021</c:v>
                </c:pt>
                <c:pt idx="296">
                  <c:v>24.06.2021</c:v>
                </c:pt>
                <c:pt idx="297">
                  <c:v>28.06.2021</c:v>
                </c:pt>
                <c:pt idx="298">
                  <c:v>29.06.2021</c:v>
                </c:pt>
                <c:pt idx="299">
                  <c:v>30.06.2021</c:v>
                </c:pt>
                <c:pt idx="300">
                  <c:v>01.07.2021</c:v>
                </c:pt>
                <c:pt idx="301">
                  <c:v>06.07.2021</c:v>
                </c:pt>
                <c:pt idx="302">
                  <c:v>07.07.2021</c:v>
                </c:pt>
                <c:pt idx="303">
                  <c:v>08.07.2021</c:v>
                </c:pt>
                <c:pt idx="304">
                  <c:v>12.07.2021</c:v>
                </c:pt>
                <c:pt idx="305">
                  <c:v>13.07.2021</c:v>
                </c:pt>
                <c:pt idx="306">
                  <c:v>14.07.2021</c:v>
                </c:pt>
                <c:pt idx="307">
                  <c:v>15.07.2021</c:v>
                </c:pt>
                <c:pt idx="308">
                  <c:v>19.07.2021</c:v>
                </c:pt>
                <c:pt idx="309">
                  <c:v>20.07.2021</c:v>
                </c:pt>
                <c:pt idx="310">
                  <c:v>21.07.2021</c:v>
                </c:pt>
                <c:pt idx="311">
                  <c:v>22.07.2021</c:v>
                </c:pt>
                <c:pt idx="312">
                  <c:v>26.07.2021</c:v>
                </c:pt>
                <c:pt idx="313">
                  <c:v>27.07.2021</c:v>
                </c:pt>
                <c:pt idx="314">
                  <c:v>28.07.2021</c:v>
                </c:pt>
                <c:pt idx="315">
                  <c:v>29.07.2021</c:v>
                </c:pt>
                <c:pt idx="316">
                  <c:v>02.08.2021</c:v>
                </c:pt>
                <c:pt idx="317">
                  <c:v>03.08.2021</c:v>
                </c:pt>
                <c:pt idx="318">
                  <c:v>04.08.2021</c:v>
                </c:pt>
                <c:pt idx="319">
                  <c:v>05.08.2021</c:v>
                </c:pt>
                <c:pt idx="320">
                  <c:v>09.08.2021</c:v>
                </c:pt>
                <c:pt idx="321">
                  <c:v>10.08.2021</c:v>
                </c:pt>
                <c:pt idx="322">
                  <c:v>11.08.2021</c:v>
                </c:pt>
                <c:pt idx="323">
                  <c:v>12.08.2021</c:v>
                </c:pt>
                <c:pt idx="324">
                  <c:v>16.08.2021</c:v>
                </c:pt>
                <c:pt idx="325">
                  <c:v>17.08.2021</c:v>
                </c:pt>
                <c:pt idx="326">
                  <c:v>18.08.2021</c:v>
                </c:pt>
                <c:pt idx="327">
                  <c:v>19.08.2021</c:v>
                </c:pt>
                <c:pt idx="328">
                  <c:v>23.08.2021</c:v>
                </c:pt>
                <c:pt idx="329">
                  <c:v>24.08.2021</c:v>
                </c:pt>
                <c:pt idx="330">
                  <c:v>25.08.2021</c:v>
                </c:pt>
                <c:pt idx="331">
                  <c:v>26.08.2021</c:v>
                </c:pt>
                <c:pt idx="332">
                  <c:v>30.08.2021</c:v>
                </c:pt>
                <c:pt idx="333">
                  <c:v>31.08.2021</c:v>
                </c:pt>
                <c:pt idx="334">
                  <c:v>01.09.2021</c:v>
                </c:pt>
                <c:pt idx="335">
                  <c:v>02.09.2021</c:v>
                </c:pt>
                <c:pt idx="336">
                  <c:v>07.09.2021</c:v>
                </c:pt>
                <c:pt idx="337">
                  <c:v>08.09.2021</c:v>
                </c:pt>
                <c:pt idx="338">
                  <c:v>09.09.2021</c:v>
                </c:pt>
                <c:pt idx="339">
                  <c:v>13.09.2021</c:v>
                </c:pt>
                <c:pt idx="340">
                  <c:v>14.09.2021</c:v>
                </c:pt>
                <c:pt idx="341">
                  <c:v>15.09.2021</c:v>
                </c:pt>
                <c:pt idx="342">
                  <c:v>16.09.2021</c:v>
                </c:pt>
                <c:pt idx="343">
                  <c:v>20.09.2021</c:v>
                </c:pt>
                <c:pt idx="344">
                  <c:v>21.09.2021</c:v>
                </c:pt>
                <c:pt idx="345">
                  <c:v>22.09.2021</c:v>
                </c:pt>
                <c:pt idx="346">
                  <c:v>23.09.2021</c:v>
                </c:pt>
                <c:pt idx="347">
                  <c:v>27.09.2021</c:v>
                </c:pt>
                <c:pt idx="348">
                  <c:v>28.09.2021</c:v>
                </c:pt>
                <c:pt idx="349">
                  <c:v>29.09.2021</c:v>
                </c:pt>
                <c:pt idx="350">
                  <c:v>30.09.2021</c:v>
                </c:pt>
                <c:pt idx="351">
                  <c:v>04.10.2021</c:v>
                </c:pt>
                <c:pt idx="352">
                  <c:v>05.10.2021</c:v>
                </c:pt>
                <c:pt idx="353">
                  <c:v>06.10.2021</c:v>
                </c:pt>
                <c:pt idx="354">
                  <c:v>07.10.2021</c:v>
                </c:pt>
                <c:pt idx="355">
                  <c:v>11.10.2021</c:v>
                </c:pt>
                <c:pt idx="356">
                  <c:v>12.10.2021</c:v>
                </c:pt>
                <c:pt idx="357">
                  <c:v>13.10.2021</c:v>
                </c:pt>
                <c:pt idx="358">
                  <c:v>14.10.2021</c:v>
                </c:pt>
                <c:pt idx="359">
                  <c:v>18.10.2021</c:v>
                </c:pt>
                <c:pt idx="360">
                  <c:v>19.10.2021</c:v>
                </c:pt>
                <c:pt idx="361">
                  <c:v>20.10.2021</c:v>
                </c:pt>
                <c:pt idx="362">
                  <c:v>21.10.2021</c:v>
                </c:pt>
                <c:pt idx="363">
                  <c:v>25.10.2021</c:v>
                </c:pt>
                <c:pt idx="364">
                  <c:v>26.10.2021</c:v>
                </c:pt>
                <c:pt idx="365">
                  <c:v>27.10.2021</c:v>
                </c:pt>
                <c:pt idx="366">
                  <c:v>28.10.2021</c:v>
                </c:pt>
                <c:pt idx="367">
                  <c:v>01.11.2021</c:v>
                </c:pt>
                <c:pt idx="368">
                  <c:v>02.11.2021</c:v>
                </c:pt>
                <c:pt idx="369">
                  <c:v>03.11.2021</c:v>
                </c:pt>
                <c:pt idx="370">
                  <c:v>04.11.2021</c:v>
                </c:pt>
                <c:pt idx="371">
                  <c:v>08.11.2021</c:v>
                </c:pt>
                <c:pt idx="372">
                  <c:v>09.11.2021</c:v>
                </c:pt>
                <c:pt idx="373">
                  <c:v>10.11.2021</c:v>
                </c:pt>
                <c:pt idx="374">
                  <c:v>11.11.2021</c:v>
                </c:pt>
                <c:pt idx="375">
                  <c:v>15.11.2021</c:v>
                </c:pt>
                <c:pt idx="376">
                  <c:v>16.11.2021</c:v>
                </c:pt>
                <c:pt idx="377">
                  <c:v>17.11.2021</c:v>
                </c:pt>
                <c:pt idx="378">
                  <c:v>18.11.2021</c:v>
                </c:pt>
                <c:pt idx="379">
                  <c:v>22.11.2021</c:v>
                </c:pt>
                <c:pt idx="380">
                  <c:v>23.11.2021</c:v>
                </c:pt>
                <c:pt idx="381">
                  <c:v>24.11.2021</c:v>
                </c:pt>
                <c:pt idx="382">
                  <c:v>29.11.2021</c:v>
                </c:pt>
                <c:pt idx="383">
                  <c:v>30.11.2021</c:v>
                </c:pt>
                <c:pt idx="384">
                  <c:v>01.12.2021</c:v>
                </c:pt>
                <c:pt idx="385">
                  <c:v>02.12.2021</c:v>
                </c:pt>
                <c:pt idx="386">
                  <c:v>06.12.2021</c:v>
                </c:pt>
                <c:pt idx="387">
                  <c:v>07.12.2021</c:v>
                </c:pt>
                <c:pt idx="388">
                  <c:v>08.12.2021</c:v>
                </c:pt>
                <c:pt idx="389">
                  <c:v>09.12.2021</c:v>
                </c:pt>
                <c:pt idx="390">
                  <c:v>13.12.2021</c:v>
                </c:pt>
                <c:pt idx="391">
                  <c:v>14.12.2021</c:v>
                </c:pt>
                <c:pt idx="392">
                  <c:v>15.12.2021</c:v>
                </c:pt>
                <c:pt idx="393">
                  <c:v>16.12.2021</c:v>
                </c:pt>
                <c:pt idx="394">
                  <c:v>20.12.2021</c:v>
                </c:pt>
                <c:pt idx="395">
                  <c:v>21.12.2021</c:v>
                </c:pt>
                <c:pt idx="396">
                  <c:v>22.12.2021</c:v>
                </c:pt>
                <c:pt idx="397">
                  <c:v>27.12.2021</c:v>
                </c:pt>
                <c:pt idx="398">
                  <c:v>28.12.2021</c:v>
                </c:pt>
                <c:pt idx="399">
                  <c:v>29.12.2021</c:v>
                </c:pt>
                <c:pt idx="400">
                  <c:v>30.12.2021</c:v>
                </c:pt>
                <c:pt idx="401">
                  <c:v>03.01.2022</c:v>
                </c:pt>
                <c:pt idx="402">
                  <c:v>04.01.2022</c:v>
                </c:pt>
                <c:pt idx="403">
                  <c:v>05.01.2022</c:v>
                </c:pt>
                <c:pt idx="404">
                  <c:v>06.01.2022</c:v>
                </c:pt>
                <c:pt idx="405">
                  <c:v>10.01.2022</c:v>
                </c:pt>
                <c:pt idx="406">
                  <c:v>11.01.2022</c:v>
                </c:pt>
                <c:pt idx="407">
                  <c:v>12.01.2022</c:v>
                </c:pt>
                <c:pt idx="408">
                  <c:v>13.01.2022</c:v>
                </c:pt>
                <c:pt idx="409">
                  <c:v>18.01.2022</c:v>
                </c:pt>
                <c:pt idx="410">
                  <c:v>19.01.2022</c:v>
                </c:pt>
                <c:pt idx="411">
                  <c:v>20.01.2022</c:v>
                </c:pt>
                <c:pt idx="412">
                  <c:v>24.01.2022</c:v>
                </c:pt>
                <c:pt idx="413">
                  <c:v>25.01.2022</c:v>
                </c:pt>
                <c:pt idx="414">
                  <c:v>26.01.2022</c:v>
                </c:pt>
                <c:pt idx="415">
                  <c:v>27.01.2022</c:v>
                </c:pt>
                <c:pt idx="416">
                  <c:v>31.01.2022</c:v>
                </c:pt>
                <c:pt idx="417">
                  <c:v>01.02.2022</c:v>
                </c:pt>
                <c:pt idx="418">
                  <c:v>02.02.2022</c:v>
                </c:pt>
                <c:pt idx="419">
                  <c:v>03.02.2022</c:v>
                </c:pt>
                <c:pt idx="420">
                  <c:v>07.02.2022</c:v>
                </c:pt>
                <c:pt idx="421">
                  <c:v>08.02.2022</c:v>
                </c:pt>
                <c:pt idx="422">
                  <c:v>09.02.2022</c:v>
                </c:pt>
                <c:pt idx="423">
                  <c:v>10.02.2022</c:v>
                </c:pt>
                <c:pt idx="424">
                  <c:v>14.02.2022</c:v>
                </c:pt>
                <c:pt idx="425">
                  <c:v>15.02.2022</c:v>
                </c:pt>
                <c:pt idx="426">
                  <c:v>16.02.2022</c:v>
                </c:pt>
                <c:pt idx="427">
                  <c:v>17.02.2022</c:v>
                </c:pt>
                <c:pt idx="428">
                  <c:v>22.02.2022</c:v>
                </c:pt>
                <c:pt idx="429">
                  <c:v>23.02.2022</c:v>
                </c:pt>
                <c:pt idx="430">
                  <c:v>24.02.2022</c:v>
                </c:pt>
                <c:pt idx="431">
                  <c:v>28.02.2022</c:v>
                </c:pt>
                <c:pt idx="432">
                  <c:v>01.03.2022</c:v>
                </c:pt>
                <c:pt idx="433">
                  <c:v>02.03.2022</c:v>
                </c:pt>
                <c:pt idx="434">
                  <c:v>03.03.2022</c:v>
                </c:pt>
                <c:pt idx="435">
                  <c:v>07.03.2022</c:v>
                </c:pt>
                <c:pt idx="436">
                  <c:v>08.03.2022</c:v>
                </c:pt>
                <c:pt idx="437">
                  <c:v>09.03.2022</c:v>
                </c:pt>
                <c:pt idx="438">
                  <c:v>10.03.2022</c:v>
                </c:pt>
                <c:pt idx="439">
                  <c:v>14.03.2022</c:v>
                </c:pt>
                <c:pt idx="440">
                  <c:v>15.03.2022</c:v>
                </c:pt>
                <c:pt idx="441">
                  <c:v>16.03.2022</c:v>
                </c:pt>
                <c:pt idx="442">
                  <c:v>17.03.2022</c:v>
                </c:pt>
                <c:pt idx="443">
                  <c:v>21.03.2022</c:v>
                </c:pt>
                <c:pt idx="444">
                  <c:v>22.03.2022</c:v>
                </c:pt>
                <c:pt idx="445">
                  <c:v>23.03.2022</c:v>
                </c:pt>
                <c:pt idx="446">
                  <c:v>24.03.2022</c:v>
                </c:pt>
                <c:pt idx="447">
                  <c:v>28.03.2022</c:v>
                </c:pt>
                <c:pt idx="448">
                  <c:v>29.03.2022</c:v>
                </c:pt>
                <c:pt idx="449">
                  <c:v>30.03.2022</c:v>
                </c:pt>
                <c:pt idx="450">
                  <c:v>31.03.2022</c:v>
                </c:pt>
                <c:pt idx="451">
                  <c:v>04.04.2022</c:v>
                </c:pt>
                <c:pt idx="452">
                  <c:v>05.04.2022</c:v>
                </c:pt>
                <c:pt idx="453">
                  <c:v>06.04.2022</c:v>
                </c:pt>
                <c:pt idx="454">
                  <c:v>07.04.2022</c:v>
                </c:pt>
                <c:pt idx="455">
                  <c:v>11.04.2022</c:v>
                </c:pt>
                <c:pt idx="456">
                  <c:v>12.04.2022</c:v>
                </c:pt>
                <c:pt idx="457">
                  <c:v>13.04.2022</c:v>
                </c:pt>
                <c:pt idx="458">
                  <c:v>18.04.2022</c:v>
                </c:pt>
                <c:pt idx="459">
                  <c:v>19.04.2022</c:v>
                </c:pt>
                <c:pt idx="460">
                  <c:v>20.04.2022</c:v>
                </c:pt>
                <c:pt idx="461">
                  <c:v>21.04.2022</c:v>
                </c:pt>
                <c:pt idx="462">
                  <c:v>25.04.2022</c:v>
                </c:pt>
                <c:pt idx="463">
                  <c:v>26.04.2022</c:v>
                </c:pt>
                <c:pt idx="464">
                  <c:v>27.04.2022</c:v>
                </c:pt>
                <c:pt idx="465">
                  <c:v>28.04.2022</c:v>
                </c:pt>
                <c:pt idx="466">
                  <c:v>02.05.2022</c:v>
                </c:pt>
                <c:pt idx="467">
                  <c:v>03.05.2022</c:v>
                </c:pt>
                <c:pt idx="468">
                  <c:v>04.05.2022</c:v>
                </c:pt>
                <c:pt idx="469">
                  <c:v>05.05.2022</c:v>
                </c:pt>
                <c:pt idx="470">
                  <c:v>09.05.2022</c:v>
                </c:pt>
                <c:pt idx="471">
                  <c:v>10.05.2022</c:v>
                </c:pt>
                <c:pt idx="472">
                  <c:v>11.05.2022</c:v>
                </c:pt>
                <c:pt idx="473">
                  <c:v>12.05.2022</c:v>
                </c:pt>
                <c:pt idx="474">
                  <c:v>16.05.2022</c:v>
                </c:pt>
                <c:pt idx="475">
                  <c:v>17.05.2022</c:v>
                </c:pt>
                <c:pt idx="476">
                  <c:v>18.05.2022</c:v>
                </c:pt>
                <c:pt idx="477">
                  <c:v>19.05.2022</c:v>
                </c:pt>
                <c:pt idx="478">
                  <c:v>23.05.2022</c:v>
                </c:pt>
                <c:pt idx="479">
                  <c:v>24.05.2022</c:v>
                </c:pt>
                <c:pt idx="480">
                  <c:v>25.05.2022</c:v>
                </c:pt>
                <c:pt idx="481">
                  <c:v>26.05.2022</c:v>
                </c:pt>
                <c:pt idx="482">
                  <c:v>31.05.2022</c:v>
                </c:pt>
                <c:pt idx="483">
                  <c:v>01.06.2022</c:v>
                </c:pt>
                <c:pt idx="484">
                  <c:v>02.06.2022</c:v>
                </c:pt>
                <c:pt idx="485">
                  <c:v>06.06.2022</c:v>
                </c:pt>
                <c:pt idx="486">
                  <c:v>07.06.2022</c:v>
                </c:pt>
                <c:pt idx="487">
                  <c:v>08.06.2022</c:v>
                </c:pt>
                <c:pt idx="488">
                  <c:v>09.06.2022</c:v>
                </c:pt>
                <c:pt idx="489">
                  <c:v>13.06.2022</c:v>
                </c:pt>
                <c:pt idx="490">
                  <c:v>14.06.2022</c:v>
                </c:pt>
                <c:pt idx="491">
                  <c:v>15.06.2022</c:v>
                </c:pt>
                <c:pt idx="492">
                  <c:v>16.06.2022</c:v>
                </c:pt>
                <c:pt idx="493">
                  <c:v>21.06.2022</c:v>
                </c:pt>
                <c:pt idx="494">
                  <c:v>22.06.2022</c:v>
                </c:pt>
                <c:pt idx="495">
                  <c:v>23.06.2022</c:v>
                </c:pt>
                <c:pt idx="496">
                  <c:v>27.06.2022</c:v>
                </c:pt>
                <c:pt idx="497">
                  <c:v>28.06.2022</c:v>
                </c:pt>
                <c:pt idx="498">
                  <c:v>29.06.2022</c:v>
                </c:pt>
                <c:pt idx="499">
                  <c:v>30.06.2022</c:v>
                </c:pt>
                <c:pt idx="500">
                  <c:v>05.07.2022</c:v>
                </c:pt>
                <c:pt idx="501">
                  <c:v>06.07.2022</c:v>
                </c:pt>
                <c:pt idx="502">
                  <c:v>07.07.2022</c:v>
                </c:pt>
                <c:pt idx="503">
                  <c:v>11.07.2022</c:v>
                </c:pt>
                <c:pt idx="504">
                  <c:v>12.07.2022</c:v>
                </c:pt>
                <c:pt idx="505">
                  <c:v>13.07.2022</c:v>
                </c:pt>
                <c:pt idx="506">
                  <c:v>14.07.2022</c:v>
                </c:pt>
                <c:pt idx="507">
                  <c:v>18.07.2022</c:v>
                </c:pt>
                <c:pt idx="508">
                  <c:v>19.07.2022</c:v>
                </c:pt>
                <c:pt idx="509">
                  <c:v>20.07.2022</c:v>
                </c:pt>
                <c:pt idx="510">
                  <c:v>21.07.2022</c:v>
                </c:pt>
                <c:pt idx="511">
                  <c:v>25.07.2022</c:v>
                </c:pt>
                <c:pt idx="512">
                  <c:v>26.07.2022</c:v>
                </c:pt>
                <c:pt idx="513">
                  <c:v>27.07.2022</c:v>
                </c:pt>
                <c:pt idx="514">
                  <c:v>28.07.2022</c:v>
                </c:pt>
                <c:pt idx="515">
                  <c:v>01.08.2022</c:v>
                </c:pt>
                <c:pt idx="516">
                  <c:v>02.08.2022</c:v>
                </c:pt>
                <c:pt idx="517">
                  <c:v>03.08.2022</c:v>
                </c:pt>
                <c:pt idx="518">
                  <c:v>04.08.2022</c:v>
                </c:pt>
                <c:pt idx="519">
                  <c:v>08.08.2022</c:v>
                </c:pt>
                <c:pt idx="520">
                  <c:v>09.08.2022</c:v>
                </c:pt>
                <c:pt idx="521">
                  <c:v>10.08.2022</c:v>
                </c:pt>
                <c:pt idx="522">
                  <c:v>11.08.2022</c:v>
                </c:pt>
                <c:pt idx="523">
                  <c:v>15.08.2022</c:v>
                </c:pt>
                <c:pt idx="524">
                  <c:v>16.08.2022</c:v>
                </c:pt>
                <c:pt idx="525">
                  <c:v>17.08.2022</c:v>
                </c:pt>
                <c:pt idx="526">
                  <c:v>18.08.2022</c:v>
                </c:pt>
                <c:pt idx="527">
                  <c:v>22.08.2022</c:v>
                </c:pt>
                <c:pt idx="528">
                  <c:v>23.08.2022</c:v>
                </c:pt>
                <c:pt idx="529">
                  <c:v>24.08.2022</c:v>
                </c:pt>
                <c:pt idx="530">
                  <c:v>25.08.2022</c:v>
                </c:pt>
                <c:pt idx="531">
                  <c:v>29.08.2022</c:v>
                </c:pt>
                <c:pt idx="532">
                  <c:v>30.08.2022</c:v>
                </c:pt>
                <c:pt idx="533">
                  <c:v>31.08.2022</c:v>
                </c:pt>
                <c:pt idx="534">
                  <c:v>01.09.2022</c:v>
                </c:pt>
                <c:pt idx="535">
                  <c:v>06.09.2022</c:v>
                </c:pt>
                <c:pt idx="536">
                  <c:v>07.09.2022</c:v>
                </c:pt>
                <c:pt idx="537">
                  <c:v>08.09.2022</c:v>
                </c:pt>
                <c:pt idx="538">
                  <c:v>12.09.2022</c:v>
                </c:pt>
                <c:pt idx="539">
                  <c:v>13.09.2022</c:v>
                </c:pt>
                <c:pt idx="540">
                  <c:v>14.09.2022</c:v>
                </c:pt>
                <c:pt idx="541">
                  <c:v>15.09.2022</c:v>
                </c:pt>
                <c:pt idx="542">
                  <c:v>19.09.2022</c:v>
                </c:pt>
                <c:pt idx="543">
                  <c:v>20.09.2022</c:v>
                </c:pt>
                <c:pt idx="544">
                  <c:v>21.09.2022</c:v>
                </c:pt>
                <c:pt idx="545">
                  <c:v>22.09.2022</c:v>
                </c:pt>
                <c:pt idx="546">
                  <c:v>26.09.2022</c:v>
                </c:pt>
                <c:pt idx="547">
                  <c:v>27.09.2022</c:v>
                </c:pt>
                <c:pt idx="548">
                  <c:v>28.09.2022</c:v>
                </c:pt>
                <c:pt idx="549">
                  <c:v>29.09.2022</c:v>
                </c:pt>
                <c:pt idx="550">
                  <c:v>03.10.2022</c:v>
                </c:pt>
                <c:pt idx="551">
                  <c:v>04.10.2022</c:v>
                </c:pt>
                <c:pt idx="552">
                  <c:v>05.10.2022</c:v>
                </c:pt>
                <c:pt idx="553">
                  <c:v>06.10.2022</c:v>
                </c:pt>
                <c:pt idx="554">
                  <c:v>10.10.2022</c:v>
                </c:pt>
                <c:pt idx="555">
                  <c:v>11.10.2022</c:v>
                </c:pt>
                <c:pt idx="556">
                  <c:v>12.10.2022</c:v>
                </c:pt>
                <c:pt idx="557">
                  <c:v>13.10.2022</c:v>
                </c:pt>
                <c:pt idx="558">
                  <c:v>17.10.2022</c:v>
                </c:pt>
                <c:pt idx="559">
                  <c:v>18.10.2022</c:v>
                </c:pt>
                <c:pt idx="560">
                  <c:v>19.10.2022</c:v>
                </c:pt>
                <c:pt idx="561">
                  <c:v>20.10.2022</c:v>
                </c:pt>
                <c:pt idx="562">
                  <c:v>24.10.2022</c:v>
                </c:pt>
                <c:pt idx="563">
                  <c:v>25.10.2022</c:v>
                </c:pt>
                <c:pt idx="564">
                  <c:v>26.10.2022</c:v>
                </c:pt>
                <c:pt idx="565">
                  <c:v>27.10.2022</c:v>
                </c:pt>
                <c:pt idx="566">
                  <c:v>31.10.2022</c:v>
                </c:pt>
                <c:pt idx="567">
                  <c:v>01.11.2022</c:v>
                </c:pt>
                <c:pt idx="568">
                  <c:v>02.11.2022</c:v>
                </c:pt>
                <c:pt idx="569">
                  <c:v>03.11.2022</c:v>
                </c:pt>
                <c:pt idx="570">
                  <c:v>07.11.2022</c:v>
                </c:pt>
                <c:pt idx="571">
                  <c:v>08.11.2022</c:v>
                </c:pt>
                <c:pt idx="572">
                  <c:v>09.11.2022</c:v>
                </c:pt>
                <c:pt idx="573">
                  <c:v>10.11.2022</c:v>
                </c:pt>
                <c:pt idx="574">
                  <c:v>14.11.2022</c:v>
                </c:pt>
                <c:pt idx="575">
                  <c:v>15.11.2022</c:v>
                </c:pt>
                <c:pt idx="576">
                  <c:v>16.11.2022</c:v>
                </c:pt>
                <c:pt idx="577">
                  <c:v>17.11.2022</c:v>
                </c:pt>
                <c:pt idx="578">
                  <c:v>21.11.2022</c:v>
                </c:pt>
                <c:pt idx="579">
                  <c:v>22.11.2022</c:v>
                </c:pt>
                <c:pt idx="580">
                  <c:v>23.11.2022</c:v>
                </c:pt>
                <c:pt idx="581">
                  <c:v>28.11.2022</c:v>
                </c:pt>
                <c:pt idx="582">
                  <c:v>29.11.2022</c:v>
                </c:pt>
                <c:pt idx="583">
                  <c:v>30.11.2022</c:v>
                </c:pt>
                <c:pt idx="584">
                  <c:v>01.12.2022</c:v>
                </c:pt>
                <c:pt idx="585">
                  <c:v>05.12.2022</c:v>
                </c:pt>
                <c:pt idx="586">
                  <c:v>06.12.2022</c:v>
                </c:pt>
                <c:pt idx="587">
                  <c:v>07.12.2022</c:v>
                </c:pt>
                <c:pt idx="588">
                  <c:v>08.12.2022</c:v>
                </c:pt>
                <c:pt idx="589">
                  <c:v>12.12.2022</c:v>
                </c:pt>
                <c:pt idx="590">
                  <c:v>13.12.2022</c:v>
                </c:pt>
                <c:pt idx="591">
                  <c:v>14.12.2022</c:v>
                </c:pt>
                <c:pt idx="592">
                  <c:v>15.12.2022</c:v>
                </c:pt>
                <c:pt idx="593">
                  <c:v>19.12.2022</c:v>
                </c:pt>
                <c:pt idx="594">
                  <c:v>20.12.2022</c:v>
                </c:pt>
                <c:pt idx="595">
                  <c:v>21.12.2022</c:v>
                </c:pt>
                <c:pt idx="596">
                  <c:v>22.12.2022</c:v>
                </c:pt>
                <c:pt idx="597">
                  <c:v>27.12.2022</c:v>
                </c:pt>
                <c:pt idx="598">
                  <c:v>28.12.2022</c:v>
                </c:pt>
                <c:pt idx="599">
                  <c:v>29.12.2022</c:v>
                </c:pt>
                <c:pt idx="600">
                  <c:v>03.01.2023</c:v>
                </c:pt>
                <c:pt idx="601">
                  <c:v>04.01.2023</c:v>
                </c:pt>
                <c:pt idx="602">
                  <c:v>05.01.2023</c:v>
                </c:pt>
                <c:pt idx="603">
                  <c:v>09.01.2023</c:v>
                </c:pt>
                <c:pt idx="604">
                  <c:v>10.01.2023</c:v>
                </c:pt>
                <c:pt idx="605">
                  <c:v>11.01.2023</c:v>
                </c:pt>
                <c:pt idx="606">
                  <c:v>12.01.2023</c:v>
                </c:pt>
                <c:pt idx="607">
                  <c:v>17.01.2023</c:v>
                </c:pt>
                <c:pt idx="608">
                  <c:v>18.01.2023</c:v>
                </c:pt>
                <c:pt idx="609">
                  <c:v>19.01.2023</c:v>
                </c:pt>
                <c:pt idx="610">
                  <c:v>23.01.2023</c:v>
                </c:pt>
                <c:pt idx="611">
                  <c:v>24.01.2023</c:v>
                </c:pt>
                <c:pt idx="612">
                  <c:v>25.01.2023</c:v>
                </c:pt>
                <c:pt idx="613">
                  <c:v>26.01.2023</c:v>
                </c:pt>
                <c:pt idx="614">
                  <c:v>30.01.2023</c:v>
                </c:pt>
                <c:pt idx="615">
                  <c:v>31.01.2023</c:v>
                </c:pt>
                <c:pt idx="616">
                  <c:v>01.02.2023</c:v>
                </c:pt>
                <c:pt idx="617">
                  <c:v>02.02.2023</c:v>
                </c:pt>
                <c:pt idx="618">
                  <c:v>06.02.2023</c:v>
                </c:pt>
                <c:pt idx="619">
                  <c:v>07.02.2023</c:v>
                </c:pt>
                <c:pt idx="620">
                  <c:v>08.02.2023</c:v>
                </c:pt>
                <c:pt idx="621">
                  <c:v>09.02.2023</c:v>
                </c:pt>
                <c:pt idx="622">
                  <c:v>13.02.2023</c:v>
                </c:pt>
                <c:pt idx="623">
                  <c:v>14.02.2023</c:v>
                </c:pt>
                <c:pt idx="624">
                  <c:v>15.02.2023</c:v>
                </c:pt>
                <c:pt idx="625">
                  <c:v>16.02.2023</c:v>
                </c:pt>
                <c:pt idx="626">
                  <c:v>21.02.2023</c:v>
                </c:pt>
                <c:pt idx="627">
                  <c:v>22.02.2023</c:v>
                </c:pt>
                <c:pt idx="628">
                  <c:v>23.02.2023</c:v>
                </c:pt>
                <c:pt idx="629">
                  <c:v>27.02.2023</c:v>
                </c:pt>
                <c:pt idx="630">
                  <c:v>28.02.2023</c:v>
                </c:pt>
                <c:pt idx="631">
                  <c:v>01.03.2023</c:v>
                </c:pt>
                <c:pt idx="632">
                  <c:v>02.03.2023</c:v>
                </c:pt>
                <c:pt idx="633">
                  <c:v>06.03.2023</c:v>
                </c:pt>
                <c:pt idx="634">
                  <c:v>07.03.2023</c:v>
                </c:pt>
                <c:pt idx="635">
                  <c:v>08.03.2023</c:v>
                </c:pt>
                <c:pt idx="636">
                  <c:v>09.03.2023</c:v>
                </c:pt>
                <c:pt idx="637">
                  <c:v>13.03.2023</c:v>
                </c:pt>
                <c:pt idx="638">
                  <c:v>14.03.2023</c:v>
                </c:pt>
                <c:pt idx="639">
                  <c:v>15.03.2023</c:v>
                </c:pt>
                <c:pt idx="640">
                  <c:v>16.03.2023</c:v>
                </c:pt>
                <c:pt idx="641">
                  <c:v>20.03.2023</c:v>
                </c:pt>
                <c:pt idx="642">
                  <c:v>21.03.2023</c:v>
                </c:pt>
                <c:pt idx="643">
                  <c:v>22.03.2023</c:v>
                </c:pt>
                <c:pt idx="644">
                  <c:v>23.03.2023</c:v>
                </c:pt>
                <c:pt idx="645">
                  <c:v>27.03.2023</c:v>
                </c:pt>
                <c:pt idx="646">
                  <c:v>28.03.2023</c:v>
                </c:pt>
                <c:pt idx="647">
                  <c:v>29.03.2023</c:v>
                </c:pt>
                <c:pt idx="648">
                  <c:v>30.03.2023</c:v>
                </c:pt>
                <c:pt idx="649">
                  <c:v>03.04.2023</c:v>
                </c:pt>
                <c:pt idx="650">
                  <c:v>04.04.2023</c:v>
                </c:pt>
                <c:pt idx="651">
                  <c:v>05.04.2023</c:v>
                </c:pt>
                <c:pt idx="652">
                  <c:v>10.04.2023</c:v>
                </c:pt>
                <c:pt idx="653">
                  <c:v>11.04.2023</c:v>
                </c:pt>
                <c:pt idx="654">
                  <c:v>12.04.2023</c:v>
                </c:pt>
                <c:pt idx="655">
                  <c:v>13.04.2023</c:v>
                </c:pt>
                <c:pt idx="656">
                  <c:v>17.04.2023</c:v>
                </c:pt>
                <c:pt idx="657">
                  <c:v>18.04.2023</c:v>
                </c:pt>
                <c:pt idx="658">
                  <c:v>19.04.2023</c:v>
                </c:pt>
                <c:pt idx="659">
                  <c:v>20.04.2023</c:v>
                </c:pt>
                <c:pt idx="660">
                  <c:v>24.04.2023</c:v>
                </c:pt>
                <c:pt idx="661">
                  <c:v>25.04.2023</c:v>
                </c:pt>
                <c:pt idx="662">
                  <c:v>26.04.2023</c:v>
                </c:pt>
                <c:pt idx="663">
                  <c:v>27.04.2023</c:v>
                </c:pt>
                <c:pt idx="664">
                  <c:v>01.05.2023</c:v>
                </c:pt>
                <c:pt idx="665">
                  <c:v>02.05.2023</c:v>
                </c:pt>
                <c:pt idx="666">
                  <c:v>03.05.2023</c:v>
                </c:pt>
                <c:pt idx="667">
                  <c:v>04.05.2023</c:v>
                </c:pt>
                <c:pt idx="668">
                  <c:v>08.05.2023</c:v>
                </c:pt>
                <c:pt idx="669">
                  <c:v>09.05.2023</c:v>
                </c:pt>
                <c:pt idx="670">
                  <c:v>10.05.2023</c:v>
                </c:pt>
                <c:pt idx="671">
                  <c:v>11.05.2023</c:v>
                </c:pt>
                <c:pt idx="672">
                  <c:v>15.05.2023</c:v>
                </c:pt>
                <c:pt idx="673">
                  <c:v>16.05.2023</c:v>
                </c:pt>
                <c:pt idx="674">
                  <c:v>17.05.2023</c:v>
                </c:pt>
                <c:pt idx="675">
                  <c:v>18.05.2023</c:v>
                </c:pt>
                <c:pt idx="676">
                  <c:v>22.05.2023</c:v>
                </c:pt>
                <c:pt idx="677">
                  <c:v>23.05.2023</c:v>
                </c:pt>
                <c:pt idx="678">
                  <c:v>24.05.2023</c:v>
                </c:pt>
                <c:pt idx="679">
                  <c:v>25.05.2023</c:v>
                </c:pt>
                <c:pt idx="680">
                  <c:v>30.05.2023</c:v>
                </c:pt>
                <c:pt idx="681">
                  <c:v>31.05.2023</c:v>
                </c:pt>
                <c:pt idx="682">
                  <c:v>01.06.2023</c:v>
                </c:pt>
                <c:pt idx="683">
                  <c:v>05.06.2023</c:v>
                </c:pt>
                <c:pt idx="684">
                  <c:v>06.06.2023</c:v>
                </c:pt>
                <c:pt idx="685">
                  <c:v>07.06.2023</c:v>
                </c:pt>
                <c:pt idx="686">
                  <c:v>08.06.2023</c:v>
                </c:pt>
                <c:pt idx="687">
                  <c:v>12.06.2023</c:v>
                </c:pt>
                <c:pt idx="688">
                  <c:v>13.06.2023</c:v>
                </c:pt>
                <c:pt idx="689">
                  <c:v>14.06.2023</c:v>
                </c:pt>
                <c:pt idx="690">
                  <c:v>15.06.2023</c:v>
                </c:pt>
                <c:pt idx="691">
                  <c:v>20.06.2023</c:v>
                </c:pt>
                <c:pt idx="692">
                  <c:v>21.06.2023</c:v>
                </c:pt>
                <c:pt idx="693">
                  <c:v>22.06.2023</c:v>
                </c:pt>
                <c:pt idx="694">
                  <c:v>26.06.2023</c:v>
                </c:pt>
                <c:pt idx="695">
                  <c:v>27.06.2023</c:v>
                </c:pt>
                <c:pt idx="696">
                  <c:v>28.06.2023</c:v>
                </c:pt>
                <c:pt idx="697">
                  <c:v>29.06.2023</c:v>
                </c:pt>
                <c:pt idx="698">
                  <c:v>03.07.2023</c:v>
                </c:pt>
                <c:pt idx="699">
                  <c:v>05.07.2023</c:v>
                </c:pt>
                <c:pt idx="700">
                  <c:v>06.07.2023</c:v>
                </c:pt>
                <c:pt idx="701">
                  <c:v>10.07.2023</c:v>
                </c:pt>
                <c:pt idx="702">
                  <c:v>11.07.2023</c:v>
                </c:pt>
                <c:pt idx="703">
                  <c:v>12.07.2023</c:v>
                </c:pt>
                <c:pt idx="704">
                  <c:v>13.07.2023</c:v>
                </c:pt>
                <c:pt idx="705">
                  <c:v>17.07.2023</c:v>
                </c:pt>
                <c:pt idx="706">
                  <c:v>18.07.2023</c:v>
                </c:pt>
                <c:pt idx="707">
                  <c:v>19.07.2023</c:v>
                </c:pt>
                <c:pt idx="708">
                  <c:v>20.07.2023</c:v>
                </c:pt>
                <c:pt idx="709">
                  <c:v>24.07.2023</c:v>
                </c:pt>
                <c:pt idx="710">
                  <c:v>25.07.2023</c:v>
                </c:pt>
                <c:pt idx="711">
                  <c:v>26.07.2023</c:v>
                </c:pt>
                <c:pt idx="712">
                  <c:v>27.07.2023</c:v>
                </c:pt>
                <c:pt idx="713">
                  <c:v>31.07.2023</c:v>
                </c:pt>
                <c:pt idx="714">
                  <c:v>01.08.2023</c:v>
                </c:pt>
                <c:pt idx="715">
                  <c:v>02.08.2023</c:v>
                </c:pt>
                <c:pt idx="716">
                  <c:v>03.08.2023</c:v>
                </c:pt>
                <c:pt idx="717">
                  <c:v>07.08.2023</c:v>
                </c:pt>
                <c:pt idx="718">
                  <c:v>08.08.2023</c:v>
                </c:pt>
                <c:pt idx="719">
                  <c:v>09.08.2023</c:v>
                </c:pt>
                <c:pt idx="720">
                  <c:v>10.08.2023</c:v>
                </c:pt>
                <c:pt idx="721">
                  <c:v>14.08.2023</c:v>
                </c:pt>
                <c:pt idx="722">
                  <c:v>15.08.2023</c:v>
                </c:pt>
                <c:pt idx="723">
                  <c:v>16.08.2023</c:v>
                </c:pt>
                <c:pt idx="724">
                  <c:v>17.08.2023</c:v>
                </c:pt>
                <c:pt idx="725">
                  <c:v>21.08.2023</c:v>
                </c:pt>
                <c:pt idx="726">
                  <c:v>22.08.2023</c:v>
                </c:pt>
                <c:pt idx="727">
                  <c:v>23.08.2023</c:v>
                </c:pt>
                <c:pt idx="728">
                  <c:v>24.08.2023</c:v>
                </c:pt>
                <c:pt idx="729">
                  <c:v>28.08.2023</c:v>
                </c:pt>
                <c:pt idx="730">
                  <c:v>29.08.2023</c:v>
                </c:pt>
                <c:pt idx="731">
                  <c:v>30.08.2023</c:v>
                </c:pt>
                <c:pt idx="732">
                  <c:v>31.08.2023</c:v>
                </c:pt>
                <c:pt idx="733">
                  <c:v>05.09.2023</c:v>
                </c:pt>
                <c:pt idx="734">
                  <c:v>06.09.2023</c:v>
                </c:pt>
                <c:pt idx="735">
                  <c:v>07.09.2023</c:v>
                </c:pt>
                <c:pt idx="736">
                  <c:v>11.09.2023</c:v>
                </c:pt>
                <c:pt idx="737">
                  <c:v>12.09.2023</c:v>
                </c:pt>
                <c:pt idx="738">
                  <c:v>13.09.2023</c:v>
                </c:pt>
                <c:pt idx="739">
                  <c:v>14.09.2023</c:v>
                </c:pt>
                <c:pt idx="740">
                  <c:v>18.09.2023</c:v>
                </c:pt>
                <c:pt idx="741">
                  <c:v>19.09.2023</c:v>
                </c:pt>
                <c:pt idx="742">
                  <c:v>20.09.2023</c:v>
                </c:pt>
                <c:pt idx="743">
                  <c:v>21.09.2023</c:v>
                </c:pt>
                <c:pt idx="744">
                  <c:v>25.09.2023</c:v>
                </c:pt>
                <c:pt idx="745">
                  <c:v>26.09.2023</c:v>
                </c:pt>
                <c:pt idx="746">
                  <c:v>27.09.2023</c:v>
                </c:pt>
                <c:pt idx="747">
                  <c:v>28.09.2023</c:v>
                </c:pt>
                <c:pt idx="748">
                  <c:v>02.10.2023</c:v>
                </c:pt>
                <c:pt idx="749">
                  <c:v>03.10.2023</c:v>
                </c:pt>
                <c:pt idx="750">
                  <c:v>04.10.2023</c:v>
                </c:pt>
                <c:pt idx="751">
                  <c:v>05.10.2023</c:v>
                </c:pt>
                <c:pt idx="752">
                  <c:v>09.10.2023</c:v>
                </c:pt>
                <c:pt idx="753">
                  <c:v>10.10.2023</c:v>
                </c:pt>
                <c:pt idx="754">
                  <c:v>11.10.2023</c:v>
                </c:pt>
                <c:pt idx="755">
                  <c:v>12.10.2023</c:v>
                </c:pt>
                <c:pt idx="756">
                  <c:v>16.10.2023</c:v>
                </c:pt>
                <c:pt idx="757">
                  <c:v>17.10.2023</c:v>
                </c:pt>
                <c:pt idx="758">
                  <c:v>18.10.2023</c:v>
                </c:pt>
                <c:pt idx="759">
                  <c:v>19.10.2023</c:v>
                </c:pt>
                <c:pt idx="760">
                  <c:v>23.10.2023</c:v>
                </c:pt>
                <c:pt idx="761">
                  <c:v>24.10.2023</c:v>
                </c:pt>
                <c:pt idx="762">
                  <c:v>25.10.2023</c:v>
                </c:pt>
                <c:pt idx="763">
                  <c:v>26.10.2023</c:v>
                </c:pt>
                <c:pt idx="764">
                  <c:v>30.10.2023</c:v>
                </c:pt>
                <c:pt idx="765">
                  <c:v>31.10.2023</c:v>
                </c:pt>
                <c:pt idx="766">
                  <c:v>01.11.2023</c:v>
                </c:pt>
                <c:pt idx="767">
                  <c:v>02.11.2023</c:v>
                </c:pt>
                <c:pt idx="768">
                  <c:v>06.11.2023</c:v>
                </c:pt>
                <c:pt idx="769">
                  <c:v>07.11.2023</c:v>
                </c:pt>
                <c:pt idx="770">
                  <c:v>08.11.2023</c:v>
                </c:pt>
                <c:pt idx="771">
                  <c:v>09.11.2023</c:v>
                </c:pt>
                <c:pt idx="772">
                  <c:v>13.11.2023</c:v>
                </c:pt>
                <c:pt idx="773">
                  <c:v>14.11.2023</c:v>
                </c:pt>
                <c:pt idx="774">
                  <c:v>15.11.2023</c:v>
                </c:pt>
                <c:pt idx="775">
                  <c:v>16.11.2023</c:v>
                </c:pt>
                <c:pt idx="776">
                  <c:v>20.11.2023</c:v>
                </c:pt>
                <c:pt idx="777">
                  <c:v>21.11.2023</c:v>
                </c:pt>
                <c:pt idx="778">
                  <c:v>22.11.2023</c:v>
                </c:pt>
                <c:pt idx="779">
                  <c:v>27.11.2023</c:v>
                </c:pt>
                <c:pt idx="780">
                  <c:v>28.11.2023</c:v>
                </c:pt>
                <c:pt idx="781">
                  <c:v>29.11.2023</c:v>
                </c:pt>
                <c:pt idx="782">
                  <c:v>30.11.2023</c:v>
                </c:pt>
                <c:pt idx="783">
                  <c:v>04.12.2023</c:v>
                </c:pt>
                <c:pt idx="784">
                  <c:v>05.12.2023</c:v>
                </c:pt>
                <c:pt idx="785">
                  <c:v>06.12.2023</c:v>
                </c:pt>
                <c:pt idx="786">
                  <c:v>07.12.2023</c:v>
                </c:pt>
                <c:pt idx="787">
                  <c:v>11.12.2023</c:v>
                </c:pt>
                <c:pt idx="788">
                  <c:v>12.12.2023</c:v>
                </c:pt>
                <c:pt idx="789">
                  <c:v>13.12.2023</c:v>
                </c:pt>
                <c:pt idx="790">
                  <c:v>14.12.2023</c:v>
                </c:pt>
                <c:pt idx="791">
                  <c:v>18.12.2023</c:v>
                </c:pt>
                <c:pt idx="792">
                  <c:v>19.12.2023</c:v>
                </c:pt>
                <c:pt idx="793">
                  <c:v>20.12.2023</c:v>
                </c:pt>
                <c:pt idx="794">
                  <c:v>21.12.2023</c:v>
                </c:pt>
                <c:pt idx="795">
                  <c:v>26.12.2023</c:v>
                </c:pt>
                <c:pt idx="796">
                  <c:v>27.12.2023</c:v>
                </c:pt>
                <c:pt idx="797">
                  <c:v>28.12.2023</c:v>
                </c:pt>
                <c:pt idx="798">
                  <c:v>02.01.2024</c:v>
                </c:pt>
                <c:pt idx="799">
                  <c:v>03.01.2024</c:v>
                </c:pt>
                <c:pt idx="800">
                  <c:v>04.01.2024</c:v>
                </c:pt>
                <c:pt idx="801">
                  <c:v>08.01.2024</c:v>
                </c:pt>
                <c:pt idx="802">
                  <c:v>09.01.2024</c:v>
                </c:pt>
                <c:pt idx="803">
                  <c:v>10.01.2024</c:v>
                </c:pt>
                <c:pt idx="804">
                  <c:v>11.01.2024</c:v>
                </c:pt>
                <c:pt idx="805">
                  <c:v>16.01.2024</c:v>
                </c:pt>
                <c:pt idx="806">
                  <c:v>17.01.2024</c:v>
                </c:pt>
                <c:pt idx="807">
                  <c:v>18.01.2024</c:v>
                </c:pt>
                <c:pt idx="808">
                  <c:v>22.01.2024</c:v>
                </c:pt>
                <c:pt idx="809">
                  <c:v>23.01.2024</c:v>
                </c:pt>
                <c:pt idx="810">
                  <c:v>24.01.2024</c:v>
                </c:pt>
                <c:pt idx="811">
                  <c:v>25.01.2024</c:v>
                </c:pt>
                <c:pt idx="812">
                  <c:v>29.01.2024</c:v>
                </c:pt>
                <c:pt idx="813">
                  <c:v>30.01.2024</c:v>
                </c:pt>
                <c:pt idx="814">
                  <c:v>31.01.2024</c:v>
                </c:pt>
                <c:pt idx="815">
                  <c:v>01.02.2024</c:v>
                </c:pt>
                <c:pt idx="816">
                  <c:v>05.02.2024</c:v>
                </c:pt>
                <c:pt idx="817">
                  <c:v>06.02.2024</c:v>
                </c:pt>
                <c:pt idx="818">
                  <c:v>07.02.2024</c:v>
                </c:pt>
                <c:pt idx="819">
                  <c:v>08.02.2024</c:v>
                </c:pt>
                <c:pt idx="820">
                  <c:v>12.02.2024</c:v>
                </c:pt>
                <c:pt idx="821">
                  <c:v>13.02.2024</c:v>
                </c:pt>
                <c:pt idx="822">
                  <c:v>14.02.2024</c:v>
                </c:pt>
                <c:pt idx="823">
                  <c:v>15.02.2024</c:v>
                </c:pt>
                <c:pt idx="824">
                  <c:v>20.02.2024</c:v>
                </c:pt>
                <c:pt idx="825">
                  <c:v>21.02.2024</c:v>
                </c:pt>
                <c:pt idx="826">
                  <c:v>22.02.2024</c:v>
                </c:pt>
                <c:pt idx="827">
                  <c:v>26.02.2024</c:v>
                </c:pt>
                <c:pt idx="828">
                  <c:v>27.02.2024</c:v>
                </c:pt>
                <c:pt idx="829">
                  <c:v>28.02.2024</c:v>
                </c:pt>
                <c:pt idx="830">
                  <c:v>29.02.2024</c:v>
                </c:pt>
                <c:pt idx="831">
                  <c:v>04.03.2024</c:v>
                </c:pt>
                <c:pt idx="832">
                  <c:v>05.03.2024</c:v>
                </c:pt>
                <c:pt idx="833">
                  <c:v>06.03.2024</c:v>
                </c:pt>
                <c:pt idx="834">
                  <c:v>07.03.2024</c:v>
                </c:pt>
                <c:pt idx="835">
                  <c:v>11.03.2024</c:v>
                </c:pt>
                <c:pt idx="836">
                  <c:v>12.03.2024</c:v>
                </c:pt>
                <c:pt idx="837">
                  <c:v>13.03.2024</c:v>
                </c:pt>
                <c:pt idx="838">
                  <c:v>14.03.2024</c:v>
                </c:pt>
                <c:pt idx="839">
                  <c:v>18.03.2024</c:v>
                </c:pt>
                <c:pt idx="840">
                  <c:v>19.03.2024</c:v>
                </c:pt>
                <c:pt idx="841">
                  <c:v>20.03.2024</c:v>
                </c:pt>
                <c:pt idx="842">
                  <c:v>21.03.2024</c:v>
                </c:pt>
                <c:pt idx="843">
                  <c:v>25.03.2024</c:v>
                </c:pt>
                <c:pt idx="844">
                  <c:v>26.03.2024</c:v>
                </c:pt>
                <c:pt idx="845">
                  <c:v>27.03.2024</c:v>
                </c:pt>
                <c:pt idx="846">
                  <c:v>01.04.2024</c:v>
                </c:pt>
                <c:pt idx="847">
                  <c:v>02.04.2024</c:v>
                </c:pt>
                <c:pt idx="848">
                  <c:v>03.04.2024</c:v>
                </c:pt>
                <c:pt idx="849">
                  <c:v>04.04.2024</c:v>
                </c:pt>
                <c:pt idx="850">
                  <c:v>08.04.2024</c:v>
                </c:pt>
                <c:pt idx="851">
                  <c:v>09.04.2024</c:v>
                </c:pt>
                <c:pt idx="852">
                  <c:v>10.04.2024</c:v>
                </c:pt>
                <c:pt idx="853">
                  <c:v>11.04.2024</c:v>
                </c:pt>
                <c:pt idx="854">
                  <c:v>15.04.2024</c:v>
                </c:pt>
                <c:pt idx="855">
                  <c:v>16.04.2024</c:v>
                </c:pt>
                <c:pt idx="856">
                  <c:v>17.04.2024</c:v>
                </c:pt>
                <c:pt idx="857">
                  <c:v>18.04.2024</c:v>
                </c:pt>
                <c:pt idx="858">
                  <c:v>22.04.2024</c:v>
                </c:pt>
                <c:pt idx="859">
                  <c:v>23.04.2024</c:v>
                </c:pt>
                <c:pt idx="860">
                  <c:v>24.04.2024</c:v>
                </c:pt>
                <c:pt idx="861">
                  <c:v>25.04.2024</c:v>
                </c:pt>
                <c:pt idx="862">
                  <c:v>29.04.2024</c:v>
                </c:pt>
                <c:pt idx="863">
                  <c:v>30.04.2024</c:v>
                </c:pt>
                <c:pt idx="864">
                  <c:v>01.05.2024</c:v>
                </c:pt>
                <c:pt idx="865">
                  <c:v>02.05.2024</c:v>
                </c:pt>
                <c:pt idx="866">
                  <c:v>06.05.2024</c:v>
                </c:pt>
                <c:pt idx="867">
                  <c:v>07.05.2024</c:v>
                </c:pt>
                <c:pt idx="868">
                  <c:v>08.05.2024</c:v>
                </c:pt>
                <c:pt idx="869">
                  <c:v>09.05.2024</c:v>
                </c:pt>
                <c:pt idx="870">
                  <c:v>13.05.2024</c:v>
                </c:pt>
                <c:pt idx="871">
                  <c:v>14.05.2024</c:v>
                </c:pt>
                <c:pt idx="872">
                  <c:v>15.05.2024</c:v>
                </c:pt>
                <c:pt idx="873">
                  <c:v>16.05.2024</c:v>
                </c:pt>
                <c:pt idx="874">
                  <c:v>20.05.2024</c:v>
                </c:pt>
                <c:pt idx="875">
                  <c:v>21.05.2024</c:v>
                </c:pt>
                <c:pt idx="876">
                  <c:v>22.05.2024</c:v>
                </c:pt>
                <c:pt idx="877">
                  <c:v>23.05.2024</c:v>
                </c:pt>
                <c:pt idx="878">
                  <c:v>28.05.2024</c:v>
                </c:pt>
                <c:pt idx="879">
                  <c:v>29.05.2024</c:v>
                </c:pt>
                <c:pt idx="880">
                  <c:v>30.05.2024</c:v>
                </c:pt>
                <c:pt idx="881">
                  <c:v>03.06.2024</c:v>
                </c:pt>
                <c:pt idx="882">
                  <c:v>04.06.2024</c:v>
                </c:pt>
                <c:pt idx="883">
                  <c:v>05.06.2024</c:v>
                </c:pt>
                <c:pt idx="884">
                  <c:v>06.06.2024</c:v>
                </c:pt>
                <c:pt idx="885">
                  <c:v>10.06.2024</c:v>
                </c:pt>
                <c:pt idx="886">
                  <c:v>11.06.2024</c:v>
                </c:pt>
                <c:pt idx="887">
                  <c:v>12.06.2024</c:v>
                </c:pt>
                <c:pt idx="888">
                  <c:v>13.06.2024</c:v>
                </c:pt>
                <c:pt idx="889">
                  <c:v>17.06.2024</c:v>
                </c:pt>
                <c:pt idx="890">
                  <c:v>18.06.2024</c:v>
                </c:pt>
                <c:pt idx="891">
                  <c:v>20.06.2024</c:v>
                </c:pt>
                <c:pt idx="892">
                  <c:v>24.06.2024</c:v>
                </c:pt>
                <c:pt idx="893">
                  <c:v>25.06.2024</c:v>
                </c:pt>
                <c:pt idx="894">
                  <c:v>26.06.2024</c:v>
                </c:pt>
                <c:pt idx="895">
                  <c:v>27.06.2024</c:v>
                </c:pt>
                <c:pt idx="896">
                  <c:v>01.07.2024</c:v>
                </c:pt>
                <c:pt idx="897">
                  <c:v>02.07.2024</c:v>
                </c:pt>
                <c:pt idx="898">
                  <c:v>03.07.2024</c:v>
                </c:pt>
                <c:pt idx="899">
                  <c:v>08.07.2024</c:v>
                </c:pt>
                <c:pt idx="900">
                  <c:v>09.07.2024</c:v>
                </c:pt>
                <c:pt idx="901">
                  <c:v>10.07.2024</c:v>
                </c:pt>
                <c:pt idx="902">
                  <c:v>11.07.2024</c:v>
                </c:pt>
                <c:pt idx="903">
                  <c:v>15.07.2024</c:v>
                </c:pt>
                <c:pt idx="904">
                  <c:v>16.07.2024</c:v>
                </c:pt>
                <c:pt idx="905">
                  <c:v>17.07.2024</c:v>
                </c:pt>
                <c:pt idx="906">
                  <c:v>18.07.2024</c:v>
                </c:pt>
                <c:pt idx="907">
                  <c:v>22.07.2024</c:v>
                </c:pt>
                <c:pt idx="908">
                  <c:v>23.07.2024</c:v>
                </c:pt>
                <c:pt idx="909">
                  <c:v>24.07.2024</c:v>
                </c:pt>
                <c:pt idx="910">
                  <c:v>25.07.2024</c:v>
                </c:pt>
                <c:pt idx="911">
                  <c:v>29.07.2024</c:v>
                </c:pt>
                <c:pt idx="912">
                  <c:v>30.07.2024</c:v>
                </c:pt>
                <c:pt idx="913">
                  <c:v>31.07.2024</c:v>
                </c:pt>
                <c:pt idx="914">
                  <c:v>01.08.2024</c:v>
                </c:pt>
                <c:pt idx="915">
                  <c:v>05.08.2024</c:v>
                </c:pt>
                <c:pt idx="916">
                  <c:v>06.08.2024</c:v>
                </c:pt>
                <c:pt idx="917">
                  <c:v>07.08.2024</c:v>
                </c:pt>
                <c:pt idx="918">
                  <c:v>08.08.2024</c:v>
                </c:pt>
                <c:pt idx="919">
                  <c:v>12.08.2024</c:v>
                </c:pt>
                <c:pt idx="920">
                  <c:v>13.08.2024</c:v>
                </c:pt>
                <c:pt idx="921">
                  <c:v>14.08.2024</c:v>
                </c:pt>
                <c:pt idx="922">
                  <c:v>15.08.2024</c:v>
                </c:pt>
                <c:pt idx="923">
                  <c:v>19.08.2024</c:v>
                </c:pt>
                <c:pt idx="924">
                  <c:v>20.08.2024</c:v>
                </c:pt>
                <c:pt idx="925">
                  <c:v>21.08.2024</c:v>
                </c:pt>
                <c:pt idx="926">
                  <c:v>22.08.2024</c:v>
                </c:pt>
                <c:pt idx="927">
                  <c:v>26.08.2024</c:v>
                </c:pt>
                <c:pt idx="928">
                  <c:v>27.08.2024</c:v>
                </c:pt>
                <c:pt idx="929">
                  <c:v>28.08.2024</c:v>
                </c:pt>
                <c:pt idx="930">
                  <c:v>29.08.2024</c:v>
                </c:pt>
                <c:pt idx="931">
                  <c:v>03.09.2024</c:v>
                </c:pt>
                <c:pt idx="932">
                  <c:v>04.09.2024</c:v>
                </c:pt>
                <c:pt idx="933">
                  <c:v>05.09.2024</c:v>
                </c:pt>
                <c:pt idx="934">
                  <c:v>09.09.2024</c:v>
                </c:pt>
                <c:pt idx="935">
                  <c:v>10.09.2024</c:v>
                </c:pt>
                <c:pt idx="936">
                  <c:v>11.09.2024</c:v>
                </c:pt>
                <c:pt idx="937">
                  <c:v>12.09.2024</c:v>
                </c:pt>
                <c:pt idx="938">
                  <c:v>16.09.2024</c:v>
                </c:pt>
                <c:pt idx="939">
                  <c:v>17.09.2024</c:v>
                </c:pt>
                <c:pt idx="940">
                  <c:v>18.09.2024</c:v>
                </c:pt>
                <c:pt idx="941">
                  <c:v>19.09.2024</c:v>
                </c:pt>
                <c:pt idx="942">
                  <c:v>23.09.2024</c:v>
                </c:pt>
                <c:pt idx="943">
                  <c:v>24.09.2024</c:v>
                </c:pt>
                <c:pt idx="944">
                  <c:v>25.09.2024</c:v>
                </c:pt>
                <c:pt idx="945">
                  <c:v>26.09.2024</c:v>
                </c:pt>
                <c:pt idx="946">
                  <c:v>30.09.2024</c:v>
                </c:pt>
                <c:pt idx="947">
                  <c:v>01.10.2024</c:v>
                </c:pt>
                <c:pt idx="948">
                  <c:v>02.10.2024</c:v>
                </c:pt>
                <c:pt idx="949">
                  <c:v>03.10.2024</c:v>
                </c:pt>
                <c:pt idx="950">
                  <c:v>07.10.2024</c:v>
                </c:pt>
                <c:pt idx="951">
                  <c:v>08.10.2024</c:v>
                </c:pt>
                <c:pt idx="952">
                  <c:v>09.10.2024</c:v>
                </c:pt>
                <c:pt idx="953">
                  <c:v>10.10.2024</c:v>
                </c:pt>
                <c:pt idx="954">
                  <c:v>14.10.2024</c:v>
                </c:pt>
                <c:pt idx="955">
                  <c:v>15.10.2024</c:v>
                </c:pt>
                <c:pt idx="956">
                  <c:v>16.10.2024</c:v>
                </c:pt>
                <c:pt idx="957">
                  <c:v>17.10.2024</c:v>
                </c:pt>
                <c:pt idx="958">
                  <c:v>21.10.2024</c:v>
                </c:pt>
                <c:pt idx="959">
                  <c:v>22.10.2024</c:v>
                </c:pt>
                <c:pt idx="960">
                  <c:v>23.10.2024</c:v>
                </c:pt>
                <c:pt idx="961">
                  <c:v>24.10.2024</c:v>
                </c:pt>
                <c:pt idx="962">
                  <c:v>28.10.2024</c:v>
                </c:pt>
                <c:pt idx="963">
                  <c:v>29.10.2024</c:v>
                </c:pt>
                <c:pt idx="964">
                  <c:v>30.10.2024</c:v>
                </c:pt>
                <c:pt idx="965">
                  <c:v>31.10.2024</c:v>
                </c:pt>
                <c:pt idx="966">
                  <c:v>04.11.2024</c:v>
                </c:pt>
                <c:pt idx="967">
                  <c:v>05.11.2024</c:v>
                </c:pt>
                <c:pt idx="968">
                  <c:v>06.11.2024</c:v>
                </c:pt>
                <c:pt idx="969">
                  <c:v>07.11.2024</c:v>
                </c:pt>
                <c:pt idx="970">
                  <c:v>11.11.2024</c:v>
                </c:pt>
                <c:pt idx="971">
                  <c:v>12.11.2024</c:v>
                </c:pt>
                <c:pt idx="972">
                  <c:v>13.11.2024</c:v>
                </c:pt>
                <c:pt idx="973">
                  <c:v>14.11.2024</c:v>
                </c:pt>
                <c:pt idx="974">
                  <c:v>18.11.2024</c:v>
                </c:pt>
                <c:pt idx="975">
                  <c:v>19.11.2024</c:v>
                </c:pt>
                <c:pt idx="976">
                  <c:v>20.11.2024</c:v>
                </c:pt>
                <c:pt idx="977">
                  <c:v>21.11.2024</c:v>
                </c:pt>
                <c:pt idx="978">
                  <c:v>25.11.2024</c:v>
                </c:pt>
                <c:pt idx="979">
                  <c:v>26.11.2024</c:v>
                </c:pt>
                <c:pt idx="980">
                  <c:v>27.11.2024</c:v>
                </c:pt>
                <c:pt idx="981">
                  <c:v>02.12.2024</c:v>
                </c:pt>
                <c:pt idx="982">
                  <c:v>03.12.2024</c:v>
                </c:pt>
                <c:pt idx="983">
                  <c:v>04.12.2024</c:v>
                </c:pt>
                <c:pt idx="984">
                  <c:v>05.12.2024</c:v>
                </c:pt>
                <c:pt idx="985">
                  <c:v>09.12.2024</c:v>
                </c:pt>
                <c:pt idx="986">
                  <c:v>10.12.2024</c:v>
                </c:pt>
                <c:pt idx="987">
                  <c:v>11.12.2024</c:v>
                </c:pt>
                <c:pt idx="988">
                  <c:v>12.12.2024</c:v>
                </c:pt>
                <c:pt idx="989">
                  <c:v>16.12.2024</c:v>
                </c:pt>
                <c:pt idx="990">
                  <c:v>17.12.2024</c:v>
                </c:pt>
                <c:pt idx="991">
                  <c:v>18.12.2024</c:v>
                </c:pt>
                <c:pt idx="992">
                  <c:v>19.12.2024</c:v>
                </c:pt>
                <c:pt idx="993">
                  <c:v>23.12.2024</c:v>
                </c:pt>
                <c:pt idx="994">
                  <c:v>26.12.2024</c:v>
                </c:pt>
                <c:pt idx="995">
                  <c:v>30.12.2024</c:v>
                </c:pt>
                <c:pt idx="996">
                  <c:v>02.01.2025</c:v>
                </c:pt>
                <c:pt idx="997">
                  <c:v>06.01.2025</c:v>
                </c:pt>
                <c:pt idx="998">
                  <c:v>07.01.2025</c:v>
                </c:pt>
                <c:pt idx="999">
                  <c:v>08.01.2025</c:v>
                </c:pt>
                <c:pt idx="1000">
                  <c:v>09.01.2025</c:v>
                </c:pt>
                <c:pt idx="1001">
                  <c:v>13.01.2025</c:v>
                </c:pt>
                <c:pt idx="1002">
                  <c:v>14.01.2025</c:v>
                </c:pt>
                <c:pt idx="1003">
                  <c:v>15.01.2025</c:v>
                </c:pt>
                <c:pt idx="1004">
                  <c:v>16.01.2025</c:v>
                </c:pt>
                <c:pt idx="1005">
                  <c:v>21.01.2025</c:v>
                </c:pt>
                <c:pt idx="1006">
                  <c:v>22.01.2025</c:v>
                </c:pt>
                <c:pt idx="1007">
                  <c:v>23.01.2025</c:v>
                </c:pt>
                <c:pt idx="1008">
                  <c:v>27.01.2025</c:v>
                </c:pt>
                <c:pt idx="1009">
                  <c:v>28.01.2025</c:v>
                </c:pt>
                <c:pt idx="1010">
                  <c:v>29.01.2025</c:v>
                </c:pt>
                <c:pt idx="1011">
                  <c:v>30.01.2025</c:v>
                </c:pt>
                <c:pt idx="1012">
                  <c:v>03.02.2025</c:v>
                </c:pt>
                <c:pt idx="1013">
                  <c:v>04.02.2025</c:v>
                </c:pt>
                <c:pt idx="1014">
                  <c:v>05.02.2025</c:v>
                </c:pt>
                <c:pt idx="1015">
                  <c:v>06.02.2025</c:v>
                </c:pt>
                <c:pt idx="1016">
                  <c:v>10.02.2025</c:v>
                </c:pt>
                <c:pt idx="1017">
                  <c:v>11.02.2025</c:v>
                </c:pt>
                <c:pt idx="1018">
                  <c:v>12.02.2025</c:v>
                </c:pt>
                <c:pt idx="1019">
                  <c:v>13.02.2025</c:v>
                </c:pt>
                <c:pt idx="1020">
                  <c:v>18.02.2025</c:v>
                </c:pt>
                <c:pt idx="1021">
                  <c:v>19.02.2025</c:v>
                </c:pt>
                <c:pt idx="1022">
                  <c:v>20.02.2025</c:v>
                </c:pt>
                <c:pt idx="1023">
                  <c:v>24.02.2025</c:v>
                </c:pt>
                <c:pt idx="1024">
                  <c:v>25.02.2025</c:v>
                </c:pt>
                <c:pt idx="1025">
                  <c:v>26.02.2025</c:v>
                </c:pt>
                <c:pt idx="1026">
                  <c:v>27.02.2025</c:v>
                </c:pt>
                <c:pt idx="1027">
                  <c:v>03.03.2025</c:v>
                </c:pt>
                <c:pt idx="1028">
                  <c:v>04.03.2025</c:v>
                </c:pt>
                <c:pt idx="1029">
                  <c:v>05.03.2025</c:v>
                </c:pt>
                <c:pt idx="1030">
                  <c:v>06.03.2025</c:v>
                </c:pt>
                <c:pt idx="1031">
                  <c:v>10.03.2025</c:v>
                </c:pt>
                <c:pt idx="1032">
                  <c:v>11.03.2025</c:v>
                </c:pt>
                <c:pt idx="1033">
                  <c:v>12.03.2025</c:v>
                </c:pt>
                <c:pt idx="1034">
                  <c:v>13.03.2025</c:v>
                </c:pt>
                <c:pt idx="1035">
                  <c:v>17.03.2025</c:v>
                </c:pt>
                <c:pt idx="1036">
                  <c:v>18.03.2025</c:v>
                </c:pt>
                <c:pt idx="1037">
                  <c:v>19.03.2025</c:v>
                </c:pt>
                <c:pt idx="1038">
                  <c:v>20.03.2025</c:v>
                </c:pt>
                <c:pt idx="1039">
                  <c:v>24.03.2025</c:v>
                </c:pt>
                <c:pt idx="1040">
                  <c:v>25.03.2025</c:v>
                </c:pt>
                <c:pt idx="1041">
                  <c:v>26.03.2025</c:v>
                </c:pt>
                <c:pt idx="1042">
                  <c:v>27.03.2025</c:v>
                </c:pt>
                <c:pt idx="1043">
                  <c:v>31.03.2025</c:v>
                </c:pt>
                <c:pt idx="1044">
                  <c:v>01.04.2025</c:v>
                </c:pt>
                <c:pt idx="1045">
                  <c:v>02.04.2025</c:v>
                </c:pt>
                <c:pt idx="1046">
                  <c:v>03.04.2025</c:v>
                </c:pt>
                <c:pt idx="1047">
                  <c:v>07.04.2025</c:v>
                </c:pt>
                <c:pt idx="1048">
                  <c:v>08.04.2025</c:v>
                </c:pt>
                <c:pt idx="1049">
                  <c:v>09.04.2025</c:v>
                </c:pt>
                <c:pt idx="1050">
                  <c:v>10.04.2025</c:v>
                </c:pt>
                <c:pt idx="1051">
                  <c:v>14.04.2025</c:v>
                </c:pt>
                <c:pt idx="1052">
                  <c:v>15.04.2025</c:v>
                </c:pt>
                <c:pt idx="1053">
                  <c:v>16.04.2025</c:v>
                </c:pt>
                <c:pt idx="1054">
                  <c:v>21.04.2025</c:v>
                </c:pt>
                <c:pt idx="1055">
                  <c:v>22.04.2025</c:v>
                </c:pt>
                <c:pt idx="1056">
                  <c:v>23.04.2025</c:v>
                </c:pt>
                <c:pt idx="1057">
                  <c:v>24.04.2025</c:v>
                </c:pt>
                <c:pt idx="1058">
                  <c:v>28.04.2025</c:v>
                </c:pt>
                <c:pt idx="1059">
                  <c:v>29.04.2025</c:v>
                </c:pt>
                <c:pt idx="1060">
                  <c:v>30.04.2025</c:v>
                </c:pt>
                <c:pt idx="1061">
                  <c:v>01.05.2025</c:v>
                </c:pt>
                <c:pt idx="1062">
                  <c:v>05.05.2025</c:v>
                </c:pt>
                <c:pt idx="1063">
                  <c:v>06.05.2025</c:v>
                </c:pt>
                <c:pt idx="1064">
                  <c:v>07.05.2025</c:v>
                </c:pt>
                <c:pt idx="1065">
                  <c:v>08.05.2025</c:v>
                </c:pt>
                <c:pt idx="1066">
                  <c:v>12.05.2025</c:v>
                </c:pt>
                <c:pt idx="1067">
                  <c:v>13.05.2025</c:v>
                </c:pt>
                <c:pt idx="1068">
                  <c:v>14.05.2025</c:v>
                </c:pt>
                <c:pt idx="1069">
                  <c:v>15.05.2025</c:v>
                </c:pt>
                <c:pt idx="1070">
                  <c:v>19.05.2025</c:v>
                </c:pt>
                <c:pt idx="1071">
                  <c:v>20.05.2025</c:v>
                </c:pt>
                <c:pt idx="1072">
                  <c:v>21.05.2025</c:v>
                </c:pt>
                <c:pt idx="1073">
                  <c:v>22.05.2025</c:v>
                </c:pt>
                <c:pt idx="1074">
                  <c:v>25.05.2025</c:v>
                </c:pt>
                <c:pt idx="1075">
                  <c:v>27.05.2025</c:v>
                </c:pt>
                <c:pt idx="1076">
                  <c:v>28.05.2025</c:v>
                </c:pt>
                <c:pt idx="1077">
                  <c:v>29.05.2025</c:v>
                </c:pt>
                <c:pt idx="1078">
                  <c:v>02.06.2025</c:v>
                </c:pt>
                <c:pt idx="1079">
                  <c:v>03.06.2025</c:v>
                </c:pt>
                <c:pt idx="1080">
                  <c:v>04.06.2025</c:v>
                </c:pt>
                <c:pt idx="1081">
                  <c:v>05.06.2025</c:v>
                </c:pt>
                <c:pt idx="1082">
                  <c:v>09.06.2025</c:v>
                </c:pt>
                <c:pt idx="1083">
                  <c:v>10.06.2025</c:v>
                </c:pt>
                <c:pt idx="1084">
                  <c:v>11.06.2025</c:v>
                </c:pt>
                <c:pt idx="1085">
                  <c:v>12.06.2025</c:v>
                </c:pt>
                <c:pt idx="1086">
                  <c:v>16.06.2025</c:v>
                </c:pt>
                <c:pt idx="1087">
                  <c:v>17.06.2025</c:v>
                </c:pt>
                <c:pt idx="1088">
                  <c:v>18.06.2025</c:v>
                </c:pt>
                <c:pt idx="1089">
                  <c:v>23.06.2025</c:v>
                </c:pt>
                <c:pt idx="1090">
                  <c:v>24.06.2025</c:v>
                </c:pt>
                <c:pt idx="1091">
                  <c:v>25.06.2025</c:v>
                </c:pt>
                <c:pt idx="1092">
                  <c:v>26.06.2025</c:v>
                </c:pt>
                <c:pt idx="1093">
                  <c:v>30.06.2025</c:v>
                </c:pt>
                <c:pt idx="1094">
                  <c:v>01.07.2025</c:v>
                </c:pt>
                <c:pt idx="1095">
                  <c:v>02.07.2025</c:v>
                </c:pt>
                <c:pt idx="1096">
                  <c:v>03.07.2025</c:v>
                </c:pt>
                <c:pt idx="1097">
                  <c:v>07.07.2025</c:v>
                </c:pt>
                <c:pt idx="1098">
                  <c:v>08.07.2025</c:v>
                </c:pt>
                <c:pt idx="1099">
                  <c:v>09.07.2025</c:v>
                </c:pt>
                <c:pt idx="1100">
                  <c:v>10.07.2025</c:v>
                </c:pt>
                <c:pt idx="1101">
                  <c:v>14.07.2025</c:v>
                </c:pt>
                <c:pt idx="1102">
                  <c:v>15.07.2025</c:v>
                </c:pt>
                <c:pt idx="1103">
                  <c:v>16.07.2025</c:v>
                </c:pt>
                <c:pt idx="1104">
                  <c:v>17.07.2025</c:v>
                </c:pt>
                <c:pt idx="1105">
                  <c:v>21.07.2025</c:v>
                </c:pt>
                <c:pt idx="1106">
                  <c:v>22.07.2025</c:v>
                </c:pt>
                <c:pt idx="1107">
                  <c:v>23.07.2025</c:v>
                </c:pt>
                <c:pt idx="1108">
                  <c:v>24.07.2025</c:v>
                </c:pt>
                <c:pt idx="1109">
                  <c:v>28.07.2025</c:v>
                </c:pt>
                <c:pt idx="1110">
                  <c:v>29.07.2025</c:v>
                </c:pt>
                <c:pt idx="1111">
                  <c:v>30.07.2025</c:v>
                </c:pt>
                <c:pt idx="1112">
                  <c:v>31.07.2025</c:v>
                </c:pt>
                <c:pt idx="1113">
                  <c:v>04.08.2025</c:v>
                </c:pt>
                <c:pt idx="1114">
                  <c:v>05.08.2025</c:v>
                </c:pt>
                <c:pt idx="1115">
                  <c:v>06.08.2025</c:v>
                </c:pt>
                <c:pt idx="1116">
                  <c:v>07.08.2025</c:v>
                </c:pt>
                <c:pt idx="1117">
                  <c:v>11.08.2025</c:v>
                </c:pt>
                <c:pt idx="1118">
                  <c:v>12.08.2025</c:v>
                </c:pt>
                <c:pt idx="1119">
                  <c:v>13.08.2025</c:v>
                </c:pt>
                <c:pt idx="1120">
                  <c:v>14.08.2025</c:v>
                </c:pt>
                <c:pt idx="1121">
                  <c:v>18.08.2025</c:v>
                </c:pt>
                <c:pt idx="1122">
                  <c:v>19.08.2025</c:v>
                </c:pt>
                <c:pt idx="1123">
                  <c:v>20.08.2025</c:v>
                </c:pt>
                <c:pt idx="1124">
                  <c:v>21.08.2025</c:v>
                </c:pt>
                <c:pt idx="1125">
                  <c:v>25.08.2025</c:v>
                </c:pt>
                <c:pt idx="1126">
                  <c:v>26.08.2025</c:v>
                </c:pt>
                <c:pt idx="1127">
                  <c:v>27.08.2025</c:v>
                </c:pt>
                <c:pt idx="1128">
                  <c:v>28.08.2025</c:v>
                </c:pt>
                <c:pt idx="1129">
                  <c:v>31.08.2025</c:v>
                </c:pt>
                <c:pt idx="1130">
                  <c:v>02.09.2025</c:v>
                </c:pt>
                <c:pt idx="1131">
                  <c:v>03.09.2025</c:v>
                </c:pt>
                <c:pt idx="1132">
                  <c:v>04.09.2025</c:v>
                </c:pt>
                <c:pt idx="1133">
                  <c:v>08.09.2025</c:v>
                </c:pt>
                <c:pt idx="1134">
                  <c:v>09.09.2025</c:v>
                </c:pt>
                <c:pt idx="1135">
                  <c:v>10.09.2025</c:v>
                </c:pt>
                <c:pt idx="1136">
                  <c:v>11.09.2025</c:v>
                </c:pt>
                <c:pt idx="1137">
                  <c:v>15.09.2025</c:v>
                </c:pt>
                <c:pt idx="1138">
                  <c:v>16.09.2025</c:v>
                </c:pt>
                <c:pt idx="1139">
                  <c:v>17.09.2025</c:v>
                </c:pt>
                <c:pt idx="1140">
                  <c:v>18.09.2025</c:v>
                </c:pt>
                <c:pt idx="1141">
                  <c:v>22.09.2025</c:v>
                </c:pt>
                <c:pt idx="1142">
                  <c:v>23.09.2025</c:v>
                </c:pt>
                <c:pt idx="1143">
                  <c:v>24.09.2025</c:v>
                </c:pt>
                <c:pt idx="1144">
                  <c:v>25.09.2025</c:v>
                </c:pt>
                <c:pt idx="1145">
                  <c:v>29.09.2025</c:v>
                </c:pt>
                <c:pt idx="1146">
                  <c:v>30.09.2025</c:v>
                </c:pt>
                <c:pt idx="1147">
                  <c:v>01.10.2025</c:v>
                </c:pt>
                <c:pt idx="1148">
                  <c:v>02.10.2025</c:v>
                </c:pt>
                <c:pt idx="1149">
                  <c:v>06.10.2025</c:v>
                </c:pt>
                <c:pt idx="1150">
                  <c:v>07.10.2025</c:v>
                </c:pt>
                <c:pt idx="1151">
                  <c:v>08.10.2025</c:v>
                </c:pt>
                <c:pt idx="1152">
                  <c:v>09.10.2025</c:v>
                </c:pt>
                <c:pt idx="1153">
                  <c:v>13.10.2025</c:v>
                </c:pt>
                <c:pt idx="1154">
                  <c:v>14.10.2025</c:v>
                </c:pt>
                <c:pt idx="1155">
                  <c:v>15.10.2025</c:v>
                </c:pt>
                <c:pt idx="1156">
                  <c:v>16.10.2025</c:v>
                </c:pt>
                <c:pt idx="1157">
                  <c:v>20.10.2025</c:v>
                </c:pt>
                <c:pt idx="1158">
                  <c:v>21.10.2025</c:v>
                </c:pt>
                <c:pt idx="1159">
                  <c:v>22.10.2025</c:v>
                </c:pt>
                <c:pt idx="1160">
                  <c:v>23.10.2025</c:v>
                </c:pt>
                <c:pt idx="1161">
                  <c:v>27.10.2025</c:v>
                </c:pt>
                <c:pt idx="1162">
                  <c:v>28.10.2025</c:v>
                </c:pt>
                <c:pt idx="1163">
                  <c:v>29.10.2025</c:v>
                </c:pt>
                <c:pt idx="1164">
                  <c:v>30.10.2025</c:v>
                </c:pt>
                <c:pt idx="1165">
                  <c:v>03.11.2025</c:v>
                </c:pt>
                <c:pt idx="1166">
                  <c:v>04.11.2025</c:v>
                </c:pt>
                <c:pt idx="1167">
                  <c:v>05.11.2025</c:v>
                </c:pt>
                <c:pt idx="1168">
                  <c:v>06.11.2025</c:v>
                </c:pt>
                <c:pt idx="1169">
                  <c:v>10.11.2025</c:v>
                </c:pt>
                <c:pt idx="1170">
                  <c:v>11.11.2025</c:v>
                </c:pt>
                <c:pt idx="1171">
                  <c:v>12.11.2025</c:v>
                </c:pt>
                <c:pt idx="1172">
                  <c:v>13.11.2025</c:v>
                </c:pt>
                <c:pt idx="1173">
                  <c:v>17.11.2025</c:v>
                </c:pt>
                <c:pt idx="1174">
                  <c:v>18.11.2025</c:v>
                </c:pt>
                <c:pt idx="1175">
                  <c:v>19.11.2025</c:v>
                </c:pt>
                <c:pt idx="1176">
                  <c:v>20.11.2025</c:v>
                </c:pt>
                <c:pt idx="1177">
                  <c:v>24.11.2025</c:v>
                </c:pt>
                <c:pt idx="1178">
                  <c:v>25.11.2025</c:v>
                </c:pt>
                <c:pt idx="1179">
                  <c:v>26.11.2025</c:v>
                </c:pt>
                <c:pt idx="1180">
                  <c:v>01.12.2025</c:v>
                </c:pt>
                <c:pt idx="1181">
                  <c:v>02.12.2025</c:v>
                </c:pt>
                <c:pt idx="1182">
                  <c:v>03.12.2025</c:v>
                </c:pt>
                <c:pt idx="1183">
                  <c:v>04.12.2025</c:v>
                </c:pt>
                <c:pt idx="1184">
                  <c:v>08.12.2025</c:v>
                </c:pt>
                <c:pt idx="1185">
                  <c:v>09.12.2025</c:v>
                </c:pt>
                <c:pt idx="1186">
                  <c:v>10.12.2025</c:v>
                </c:pt>
                <c:pt idx="1187">
                  <c:v>11.12.2025</c:v>
                </c:pt>
                <c:pt idx="1188">
                  <c:v>15.12.2025</c:v>
                </c:pt>
                <c:pt idx="1189">
                  <c:v>16.12.2025</c:v>
                </c:pt>
                <c:pt idx="1190">
                  <c:v>17.12.2025</c:v>
                </c:pt>
                <c:pt idx="1191">
                  <c:v>18.12.2025</c:v>
                </c:pt>
                <c:pt idx="1192">
                  <c:v>22.12.2025</c:v>
                </c:pt>
                <c:pt idx="1193">
                  <c:v>23.12.2025</c:v>
                </c:pt>
                <c:pt idx="1194">
                  <c:v>25.12.2025</c:v>
                </c:pt>
                <c:pt idx="1195">
                  <c:v>29.12.2025</c:v>
                </c:pt>
                <c:pt idx="1196">
                  <c:v>30.12.2025</c:v>
                </c:pt>
              </c:strCache>
            </c:strRef>
          </c:cat>
          <c:val>
            <c:numRef>
              <c:f>Analysis!$H$2:$H$1328</c:f>
              <c:numCache>
                <c:formatCode>0.00</c:formatCode>
                <c:ptCount val="1327"/>
                <c:pt idx="0">
                  <c:v>84.678044996121017</c:v>
                </c:pt>
                <c:pt idx="1">
                  <c:v>86.29737609329446</c:v>
                </c:pt>
                <c:pt idx="2">
                  <c:v>85.592344913825912</c:v>
                </c:pt>
                <c:pt idx="3">
                  <c:v>85.880993009302571</c:v>
                </c:pt>
                <c:pt idx="4">
                  <c:v>86.658117752007129</c:v>
                </c:pt>
                <c:pt idx="5">
                  <c:v>86.163591909313183</c:v>
                </c:pt>
                <c:pt idx="6">
                  <c:v>87.058956149250363</c:v>
                </c:pt>
                <c:pt idx="7">
                  <c:v>86.390927284856573</c:v>
                </c:pt>
                <c:pt idx="8">
                  <c:v>86.431796644183066</c:v>
                </c:pt>
                <c:pt idx="9">
                  <c:v>87.483153638814017</c:v>
                </c:pt>
                <c:pt idx="10">
                  <c:v>87.317702490464441</c:v>
                </c:pt>
                <c:pt idx="11">
                  <c:v>87.800774019855297</c:v>
                </c:pt>
                <c:pt idx="12">
                  <c:v>87.361541869738588</c:v>
                </c:pt>
                <c:pt idx="13">
                  <c:v>89.918661931492736</c:v>
                </c:pt>
                <c:pt idx="14">
                  <c:v>89.803854291759606</c:v>
                </c:pt>
                <c:pt idx="15">
                  <c:v>88.132209405501328</c:v>
                </c:pt>
                <c:pt idx="16">
                  <c:v>89.340560072267394</c:v>
                </c:pt>
                <c:pt idx="17">
                  <c:v>88.380681818181813</c:v>
                </c:pt>
                <c:pt idx="18">
                  <c:v>88.579039845831204</c:v>
                </c:pt>
                <c:pt idx="19">
                  <c:v>87.920703365626935</c:v>
                </c:pt>
                <c:pt idx="20">
                  <c:v>88.60652978795018</c:v>
                </c:pt>
                <c:pt idx="21">
                  <c:v>89.018029255017566</c:v>
                </c:pt>
                <c:pt idx="22">
                  <c:v>89.616239949820383</c:v>
                </c:pt>
                <c:pt idx="23">
                  <c:v>89.399773499433749</c:v>
                </c:pt>
                <c:pt idx="24">
                  <c:v>88.148636763412483</c:v>
                </c:pt>
                <c:pt idx="25">
                  <c:v>87.793452802440214</c:v>
                </c:pt>
                <c:pt idx="26">
                  <c:v>88.228888767898951</c:v>
                </c:pt>
                <c:pt idx="27">
                  <c:v>88.601173175500719</c:v>
                </c:pt>
                <c:pt idx="28">
                  <c:v>90.51511328103571</c:v>
                </c:pt>
                <c:pt idx="29">
                  <c:v>91.926821080899629</c:v>
                </c:pt>
                <c:pt idx="30">
                  <c:v>92.613476177051027</c:v>
                </c:pt>
                <c:pt idx="31">
                  <c:v>95.27450863253479</c:v>
                </c:pt>
                <c:pt idx="32">
                  <c:v>95.671398650221093</c:v>
                </c:pt>
                <c:pt idx="33">
                  <c:v>95.268468050562461</c:v>
                </c:pt>
                <c:pt idx="34">
                  <c:v>95.900649686655541</c:v>
                </c:pt>
                <c:pt idx="35">
                  <c:v>98.258473085493151</c:v>
                </c:pt>
                <c:pt idx="36">
                  <c:v>97.923916248894145</c:v>
                </c:pt>
                <c:pt idx="37">
                  <c:v>97.895803528850735</c:v>
                </c:pt>
                <c:pt idx="38">
                  <c:v>99.3626991565136</c:v>
                </c:pt>
                <c:pt idx="39">
                  <c:v>115.98782771535579</c:v>
                </c:pt>
                <c:pt idx="40">
                  <c:v>122.11284513805522</c:v>
                </c:pt>
                <c:pt idx="41">
                  <c:v>125.54366292898403</c:v>
                </c:pt>
                <c:pt idx="42">
                  <c:v>121.91363111916927</c:v>
                </c:pt>
                <c:pt idx="43">
                  <c:v>118.21129628233165</c:v>
                </c:pt>
                <c:pt idx="44">
                  <c:v>116.49014519183559</c:v>
                </c:pt>
                <c:pt idx="45">
                  <c:v>109.82316950178176</c:v>
                </c:pt>
                <c:pt idx="46">
                  <c:v>112.5102207686018</c:v>
                </c:pt>
                <c:pt idx="47">
                  <c:v>116.07798813224075</c:v>
                </c:pt>
                <c:pt idx="48">
                  <c:v>112.59520451339915</c:v>
                </c:pt>
                <c:pt idx="49">
                  <c:v>113.60651056539122</c:v>
                </c:pt>
                <c:pt idx="50">
                  <c:v>111.57514647772176</c:v>
                </c:pt>
                <c:pt idx="51">
                  <c:v>111.49213453564143</c:v>
                </c:pt>
                <c:pt idx="52">
                  <c:v>108.59778121775027</c:v>
                </c:pt>
                <c:pt idx="53">
                  <c:v>110.59820080110316</c:v>
                </c:pt>
                <c:pt idx="54">
                  <c:v>113.19323950902898</c:v>
                </c:pt>
                <c:pt idx="55">
                  <c:v>109.50229045437663</c:v>
                </c:pt>
                <c:pt idx="56">
                  <c:v>112.06130465580527</c:v>
                </c:pt>
                <c:pt idx="57">
                  <c:v>110.6800460181516</c:v>
                </c:pt>
                <c:pt idx="58">
                  <c:v>109.42575776953575</c:v>
                </c:pt>
                <c:pt idx="59">
                  <c:v>113.2751677852349</c:v>
                </c:pt>
                <c:pt idx="60">
                  <c:v>113.17794127221823</c:v>
                </c:pt>
                <c:pt idx="61">
                  <c:v>113.47766725180418</c:v>
                </c:pt>
                <c:pt idx="62">
                  <c:v>112.67403098241715</c:v>
                </c:pt>
                <c:pt idx="63">
                  <c:v>112.85714285714286</c:v>
                </c:pt>
                <c:pt idx="64">
                  <c:v>111.87724453150507</c:v>
                </c:pt>
                <c:pt idx="65">
                  <c:v>113.15033727375943</c:v>
                </c:pt>
                <c:pt idx="66">
                  <c:v>115.79480940794809</c:v>
                </c:pt>
                <c:pt idx="67">
                  <c:v>113.20979483785572</c:v>
                </c:pt>
                <c:pt idx="68">
                  <c:v>112.45421245421245</c:v>
                </c:pt>
                <c:pt idx="69">
                  <c:v>110.69916613213599</c:v>
                </c:pt>
                <c:pt idx="70">
                  <c:v>108.29081632653062</c:v>
                </c:pt>
                <c:pt idx="71">
                  <c:v>108.65109173085493</c:v>
                </c:pt>
                <c:pt idx="72">
                  <c:v>109.52715206432265</c:v>
                </c:pt>
                <c:pt idx="73">
                  <c:v>107.75563258232238</c:v>
                </c:pt>
                <c:pt idx="74">
                  <c:v>99.29013052438745</c:v>
                </c:pt>
                <c:pt idx="75">
                  <c:v>97.514105357242613</c:v>
                </c:pt>
                <c:pt idx="76">
                  <c:v>97.171537906938056</c:v>
                </c:pt>
                <c:pt idx="77">
                  <c:v>99.164938954158032</c:v>
                </c:pt>
                <c:pt idx="78">
                  <c:v>96.936629724353509</c:v>
                </c:pt>
                <c:pt idx="79">
                  <c:v>97.246156445345491</c:v>
                </c:pt>
                <c:pt idx="80">
                  <c:v>95.968682325503906</c:v>
                </c:pt>
                <c:pt idx="81">
                  <c:v>92.760612645079235</c:v>
                </c:pt>
                <c:pt idx="82">
                  <c:v>94.67649467649467</c:v>
                </c:pt>
                <c:pt idx="83">
                  <c:v>94.642758008105247</c:v>
                </c:pt>
                <c:pt idx="84">
                  <c:v>95.352174873040411</c:v>
                </c:pt>
                <c:pt idx="85">
                  <c:v>94.754098360655732</c:v>
                </c:pt>
                <c:pt idx="86">
                  <c:v>96.217031738936072</c:v>
                </c:pt>
                <c:pt idx="87">
                  <c:v>96.214493401923505</c:v>
                </c:pt>
                <c:pt idx="88">
                  <c:v>96.816917084028944</c:v>
                </c:pt>
                <c:pt idx="89">
                  <c:v>98.787462823152595</c:v>
                </c:pt>
                <c:pt idx="90">
                  <c:v>97.913729912602207</c:v>
                </c:pt>
                <c:pt idx="91">
                  <c:v>97.178051511758113</c:v>
                </c:pt>
                <c:pt idx="92">
                  <c:v>98.352366342821426</c:v>
                </c:pt>
                <c:pt idx="93">
                  <c:v>98.176967541129386</c:v>
                </c:pt>
                <c:pt idx="94">
                  <c:v>98.154778297989523</c:v>
                </c:pt>
                <c:pt idx="95">
                  <c:v>100.09586105785495</c:v>
                </c:pt>
                <c:pt idx="96">
                  <c:v>98.541852181656267</c:v>
                </c:pt>
                <c:pt idx="97">
                  <c:v>98.604960141718337</c:v>
                </c:pt>
                <c:pt idx="98">
                  <c:v>96.608896281590376</c:v>
                </c:pt>
                <c:pt idx="99">
                  <c:v>97.700076847074328</c:v>
                </c:pt>
                <c:pt idx="100">
                  <c:v>97.696757995851982</c:v>
                </c:pt>
                <c:pt idx="101">
                  <c:v>96.518135830373481</c:v>
                </c:pt>
                <c:pt idx="102">
                  <c:v>96.791272260548695</c:v>
                </c:pt>
                <c:pt idx="103">
                  <c:v>95.015917749595516</c:v>
                </c:pt>
                <c:pt idx="104">
                  <c:v>95.12709629785887</c:v>
                </c:pt>
                <c:pt idx="105">
                  <c:v>91.676773802304425</c:v>
                </c:pt>
                <c:pt idx="106">
                  <c:v>92.852022529441882</c:v>
                </c:pt>
                <c:pt idx="107">
                  <c:v>91.786852892060125</c:v>
                </c:pt>
                <c:pt idx="108">
                  <c:v>91.978746232054363</c:v>
                </c:pt>
                <c:pt idx="109">
                  <c:v>90.005942947702067</c:v>
                </c:pt>
                <c:pt idx="110">
                  <c:v>85.536020782112544</c:v>
                </c:pt>
                <c:pt idx="111">
                  <c:v>80.586761147597656</c:v>
                </c:pt>
                <c:pt idx="112">
                  <c:v>82.216808769792934</c:v>
                </c:pt>
                <c:pt idx="113">
                  <c:v>78.813109668993093</c:v>
                </c:pt>
                <c:pt idx="114">
                  <c:v>80.024691358024683</c:v>
                </c:pt>
                <c:pt idx="115">
                  <c:v>80.317421158669461</c:v>
                </c:pt>
                <c:pt idx="116">
                  <c:v>83.872068230277179</c:v>
                </c:pt>
                <c:pt idx="117">
                  <c:v>81.05692715772291</c:v>
                </c:pt>
                <c:pt idx="118">
                  <c:v>77.45966041930167</c:v>
                </c:pt>
                <c:pt idx="119">
                  <c:v>76.032352613809238</c:v>
                </c:pt>
                <c:pt idx="120">
                  <c:v>72.687038988408858</c:v>
                </c:pt>
                <c:pt idx="121">
                  <c:v>69.588209204735421</c:v>
                </c:pt>
                <c:pt idx="122">
                  <c:v>74.570881226053629</c:v>
                </c:pt>
                <c:pt idx="123">
                  <c:v>74.895284940245162</c:v>
                </c:pt>
                <c:pt idx="124">
                  <c:v>70.974713637346014</c:v>
                </c:pt>
                <c:pt idx="125">
                  <c:v>72.110978821661803</c:v>
                </c:pt>
                <c:pt idx="126">
                  <c:v>71.60234750133381</c:v>
                </c:pt>
                <c:pt idx="127">
                  <c:v>71.948146795691059</c:v>
                </c:pt>
                <c:pt idx="128">
                  <c:v>71.583553986466612</c:v>
                </c:pt>
                <c:pt idx="129">
                  <c:v>72.73545628446044</c:v>
                </c:pt>
                <c:pt idx="130">
                  <c:v>73.043907626861142</c:v>
                </c:pt>
                <c:pt idx="131">
                  <c:v>70.963872937413683</c:v>
                </c:pt>
                <c:pt idx="132">
                  <c:v>71.339977851605752</c:v>
                </c:pt>
                <c:pt idx="133">
                  <c:v>69.3515597616544</c:v>
                </c:pt>
                <c:pt idx="134">
                  <c:v>69.252843394575677</c:v>
                </c:pt>
                <c:pt idx="135">
                  <c:v>71.122407928903201</c:v>
                </c:pt>
                <c:pt idx="136">
                  <c:v>72.23050544207544</c:v>
                </c:pt>
                <c:pt idx="137">
                  <c:v>72.111923405202816</c:v>
                </c:pt>
                <c:pt idx="138">
                  <c:v>72.293924041270671</c:v>
                </c:pt>
                <c:pt idx="139">
                  <c:v>72.087049066020768</c:v>
                </c:pt>
                <c:pt idx="140">
                  <c:v>71.904064445258157</c:v>
                </c:pt>
                <c:pt idx="141">
                  <c:v>71.683254949141428</c:v>
                </c:pt>
                <c:pt idx="142">
                  <c:v>71.803374266661805</c:v>
                </c:pt>
                <c:pt idx="143">
                  <c:v>72.042414837803889</c:v>
                </c:pt>
                <c:pt idx="144">
                  <c:v>78.444736409919514</c:v>
                </c:pt>
                <c:pt idx="145">
                  <c:v>77.89937928781444</c:v>
                </c:pt>
                <c:pt idx="146">
                  <c:v>80.991807187134256</c:v>
                </c:pt>
                <c:pt idx="147">
                  <c:v>81.033589500043178</c:v>
                </c:pt>
                <c:pt idx="148">
                  <c:v>79.853215679619893</c:v>
                </c:pt>
                <c:pt idx="149">
                  <c:v>77.856412354264677</c:v>
                </c:pt>
                <c:pt idx="150">
                  <c:v>80.680173661360342</c:v>
                </c:pt>
                <c:pt idx="151">
                  <c:v>79.009647893131017</c:v>
                </c:pt>
                <c:pt idx="152">
                  <c:v>78.179967426710093</c:v>
                </c:pt>
                <c:pt idx="153">
                  <c:v>79.7959951507044</c:v>
                </c:pt>
                <c:pt idx="154">
                  <c:v>79.126213592233</c:v>
                </c:pt>
                <c:pt idx="155">
                  <c:v>79.372591723906851</c:v>
                </c:pt>
                <c:pt idx="156">
                  <c:v>76.328597997704875</c:v>
                </c:pt>
                <c:pt idx="157">
                  <c:v>78.51962368933647</c:v>
                </c:pt>
                <c:pt idx="158">
                  <c:v>78.184054109448653</c:v>
                </c:pt>
                <c:pt idx="159">
                  <c:v>78.802014531043596</c:v>
                </c:pt>
                <c:pt idx="160">
                  <c:v>77.403028585310551</c:v>
                </c:pt>
                <c:pt idx="161">
                  <c:v>76.677341873498804</c:v>
                </c:pt>
                <c:pt idx="162">
                  <c:v>76.443088625648741</c:v>
                </c:pt>
                <c:pt idx="163">
                  <c:v>77.081225464405676</c:v>
                </c:pt>
                <c:pt idx="164">
                  <c:v>78.03849303849303</c:v>
                </c:pt>
                <c:pt idx="165">
                  <c:v>77.814407814407815</c:v>
                </c:pt>
                <c:pt idx="166">
                  <c:v>80.448649342865707</c:v>
                </c:pt>
                <c:pt idx="167">
                  <c:v>79.801777170198221</c:v>
                </c:pt>
                <c:pt idx="168">
                  <c:v>78.615045902047939</c:v>
                </c:pt>
                <c:pt idx="169">
                  <c:v>78.378600147698378</c:v>
                </c:pt>
                <c:pt idx="170">
                  <c:v>79.229515731416868</c:v>
                </c:pt>
                <c:pt idx="171">
                  <c:v>77.155992390615097</c:v>
                </c:pt>
                <c:pt idx="172">
                  <c:v>78.12605325244354</c:v>
                </c:pt>
                <c:pt idx="173">
                  <c:v>76.581503550730559</c:v>
                </c:pt>
                <c:pt idx="174">
                  <c:v>76.590142351682701</c:v>
                </c:pt>
                <c:pt idx="175">
                  <c:v>76.932238193018478</c:v>
                </c:pt>
                <c:pt idx="176">
                  <c:v>76.007569352176191</c:v>
                </c:pt>
                <c:pt idx="177">
                  <c:v>76.363120797212986</c:v>
                </c:pt>
                <c:pt idx="178">
                  <c:v>76.548202614379093</c:v>
                </c:pt>
                <c:pt idx="179">
                  <c:v>77.288768943325721</c:v>
                </c:pt>
                <c:pt idx="180">
                  <c:v>77.62618796198521</c:v>
                </c:pt>
                <c:pt idx="181">
                  <c:v>77.351050150021436</c:v>
                </c:pt>
                <c:pt idx="182">
                  <c:v>77.201009107623889</c:v>
                </c:pt>
                <c:pt idx="183">
                  <c:v>78.860204578665375</c:v>
                </c:pt>
                <c:pt idx="184">
                  <c:v>75.535714285714292</c:v>
                </c:pt>
                <c:pt idx="185">
                  <c:v>76.049198038726843</c:v>
                </c:pt>
                <c:pt idx="186">
                  <c:v>76.330845771144268</c:v>
                </c:pt>
                <c:pt idx="187">
                  <c:v>75.314820794317086</c:v>
                </c:pt>
                <c:pt idx="188">
                  <c:v>75.873092954554664</c:v>
                </c:pt>
                <c:pt idx="189">
                  <c:v>76.722447105955013</c:v>
                </c:pt>
                <c:pt idx="190">
                  <c:v>76.326174552403103</c:v>
                </c:pt>
                <c:pt idx="191">
                  <c:v>76.267588044292737</c:v>
                </c:pt>
                <c:pt idx="192">
                  <c:v>75.375802388884367</c:v>
                </c:pt>
                <c:pt idx="193">
                  <c:v>74.310496442561345</c:v>
                </c:pt>
                <c:pt idx="194">
                  <c:v>72.290630975143415</c:v>
                </c:pt>
                <c:pt idx="195">
                  <c:v>71.480637813211843</c:v>
                </c:pt>
                <c:pt idx="196">
                  <c:v>73.345098039215685</c:v>
                </c:pt>
                <c:pt idx="197">
                  <c:v>72.5555340931041</c:v>
                </c:pt>
                <c:pt idx="198">
                  <c:v>70.931723877781963</c:v>
                </c:pt>
                <c:pt idx="199">
                  <c:v>71.913073368216018</c:v>
                </c:pt>
                <c:pt idx="200">
                  <c:v>71.252775373499418</c:v>
                </c:pt>
                <c:pt idx="201">
                  <c:v>71.137260634410168</c:v>
                </c:pt>
                <c:pt idx="202">
                  <c:v>70.709117221418239</c:v>
                </c:pt>
                <c:pt idx="203">
                  <c:v>70.579099179054793</c:v>
                </c:pt>
                <c:pt idx="204">
                  <c:v>70.195517405817839</c:v>
                </c:pt>
                <c:pt idx="205">
                  <c:v>73.200442967884825</c:v>
                </c:pt>
                <c:pt idx="206">
                  <c:v>72.50638883428347</c:v>
                </c:pt>
                <c:pt idx="207">
                  <c:v>72.536367902393252</c:v>
                </c:pt>
                <c:pt idx="208">
                  <c:v>71.754127587008767</c:v>
                </c:pt>
                <c:pt idx="209">
                  <c:v>72.677725118483409</c:v>
                </c:pt>
                <c:pt idx="210">
                  <c:v>72.440425366762412</c:v>
                </c:pt>
                <c:pt idx="211">
                  <c:v>72.17065057631315</c:v>
                </c:pt>
                <c:pt idx="212">
                  <c:v>72.798618741170927</c:v>
                </c:pt>
                <c:pt idx="213">
                  <c:v>72.476309812827949</c:v>
                </c:pt>
                <c:pt idx="214">
                  <c:v>72.665327504037194</c:v>
                </c:pt>
                <c:pt idx="215">
                  <c:v>70.965503950664868</c:v>
                </c:pt>
                <c:pt idx="216">
                  <c:v>63.309670187833298</c:v>
                </c:pt>
                <c:pt idx="217">
                  <c:v>69.378642246272619</c:v>
                </c:pt>
                <c:pt idx="218">
                  <c:v>68.183844839117185</c:v>
                </c:pt>
                <c:pt idx="219">
                  <c:v>68.207608240356421</c:v>
                </c:pt>
                <c:pt idx="220">
                  <c:v>66.483018594367323</c:v>
                </c:pt>
                <c:pt idx="221">
                  <c:v>66.996025813978932</c:v>
                </c:pt>
                <c:pt idx="222">
                  <c:v>67.976243175446356</c:v>
                </c:pt>
                <c:pt idx="223">
                  <c:v>67.479314420803789</c:v>
                </c:pt>
                <c:pt idx="224">
                  <c:v>65.798617460956066</c:v>
                </c:pt>
                <c:pt idx="225">
                  <c:v>64.854582037680629</c:v>
                </c:pt>
                <c:pt idx="226">
                  <c:v>65.502989150490819</c:v>
                </c:pt>
                <c:pt idx="227">
                  <c:v>64.330689054106941</c:v>
                </c:pt>
                <c:pt idx="228">
                  <c:v>65.154959050402283</c:v>
                </c:pt>
                <c:pt idx="229">
                  <c:v>64.454721445472146</c:v>
                </c:pt>
                <c:pt idx="230">
                  <c:v>64.128589488892914</c:v>
                </c:pt>
                <c:pt idx="231">
                  <c:v>64.585051353174904</c:v>
                </c:pt>
                <c:pt idx="232">
                  <c:v>64.496447040440486</c:v>
                </c:pt>
                <c:pt idx="233">
                  <c:v>65.024443854928563</c:v>
                </c:pt>
                <c:pt idx="234">
                  <c:v>66.796276658418762</c:v>
                </c:pt>
                <c:pt idx="235">
                  <c:v>66.405477066761648</c:v>
                </c:pt>
                <c:pt idx="236">
                  <c:v>65.573081770614522</c:v>
                </c:pt>
                <c:pt idx="237">
                  <c:v>65.893608878683509</c:v>
                </c:pt>
                <c:pt idx="238">
                  <c:v>65.765662581605767</c:v>
                </c:pt>
                <c:pt idx="239">
                  <c:v>65.77906269020086</c:v>
                </c:pt>
                <c:pt idx="240">
                  <c:v>66.565396300426883</c:v>
                </c:pt>
                <c:pt idx="241">
                  <c:v>66.279069767441854</c:v>
                </c:pt>
                <c:pt idx="242">
                  <c:v>65.747030473226829</c:v>
                </c:pt>
                <c:pt idx="243">
                  <c:v>67.449260739648409</c:v>
                </c:pt>
                <c:pt idx="244">
                  <c:v>68.383081618900377</c:v>
                </c:pt>
                <c:pt idx="245">
                  <c:v>68.6932741468828</c:v>
                </c:pt>
                <c:pt idx="246">
                  <c:v>68.874515910089031</c:v>
                </c:pt>
                <c:pt idx="247">
                  <c:v>69.218037220943842</c:v>
                </c:pt>
                <c:pt idx="248">
                  <c:v>69.793434615225394</c:v>
                </c:pt>
                <c:pt idx="249">
                  <c:v>69.876181166503741</c:v>
                </c:pt>
                <c:pt idx="250">
                  <c:v>69.706866658602479</c:v>
                </c:pt>
                <c:pt idx="251">
                  <c:v>69.037905493722022</c:v>
                </c:pt>
                <c:pt idx="252">
                  <c:v>68.927850556061259</c:v>
                </c:pt>
                <c:pt idx="253">
                  <c:v>68.66895797531636</c:v>
                </c:pt>
                <c:pt idx="254">
                  <c:v>69.636685153926535</c:v>
                </c:pt>
                <c:pt idx="255">
                  <c:v>68.689568430154864</c:v>
                </c:pt>
                <c:pt idx="256">
                  <c:v>67.986217158071966</c:v>
                </c:pt>
                <c:pt idx="257">
                  <c:v>68.008776319334842</c:v>
                </c:pt>
                <c:pt idx="258">
                  <c:v>68.489865387590896</c:v>
                </c:pt>
                <c:pt idx="259">
                  <c:v>68.78626131352982</c:v>
                </c:pt>
                <c:pt idx="260">
                  <c:v>67.445271947641615</c:v>
                </c:pt>
                <c:pt idx="261">
                  <c:v>68.015267175572518</c:v>
                </c:pt>
                <c:pt idx="262">
                  <c:v>67.870215037364645</c:v>
                </c:pt>
                <c:pt idx="263">
                  <c:v>67.30230798335225</c:v>
                </c:pt>
                <c:pt idx="264">
                  <c:v>67.960309554823382</c:v>
                </c:pt>
                <c:pt idx="265">
                  <c:v>67.789917577151613</c:v>
                </c:pt>
                <c:pt idx="266">
                  <c:v>66.461424332344208</c:v>
                </c:pt>
                <c:pt idx="267">
                  <c:v>66.872505459748481</c:v>
                </c:pt>
                <c:pt idx="268">
                  <c:v>67.276223512555617</c:v>
                </c:pt>
                <c:pt idx="269">
                  <c:v>66.080722058448885</c:v>
                </c:pt>
                <c:pt idx="270">
                  <c:v>66.84126291284737</c:v>
                </c:pt>
                <c:pt idx="271">
                  <c:v>66.364260671558171</c:v>
                </c:pt>
                <c:pt idx="272">
                  <c:v>66.906474820143885</c:v>
                </c:pt>
                <c:pt idx="273">
                  <c:v>67.408256033112821</c:v>
                </c:pt>
                <c:pt idx="274">
                  <c:v>66.053618165098669</c:v>
                </c:pt>
                <c:pt idx="275">
                  <c:v>65.930187413969577</c:v>
                </c:pt>
                <c:pt idx="276">
                  <c:v>67.136485280999111</c:v>
                </c:pt>
                <c:pt idx="277">
                  <c:v>67.050272562083592</c:v>
                </c:pt>
                <c:pt idx="278">
                  <c:v>67.532700232933166</c:v>
                </c:pt>
                <c:pt idx="279">
                  <c:v>67.650413458796692</c:v>
                </c:pt>
                <c:pt idx="280">
                  <c:v>68.292857911539983</c:v>
                </c:pt>
                <c:pt idx="281">
                  <c:v>67.912716866392415</c:v>
                </c:pt>
                <c:pt idx="282">
                  <c:v>67.747786194388141</c:v>
                </c:pt>
                <c:pt idx="283">
                  <c:v>67.678951098511703</c:v>
                </c:pt>
                <c:pt idx="284">
                  <c:v>68.139822493816382</c:v>
                </c:pt>
                <c:pt idx="285">
                  <c:v>67.734455819926509</c:v>
                </c:pt>
                <c:pt idx="286">
                  <c:v>68.274047644790429</c:v>
                </c:pt>
                <c:pt idx="287">
                  <c:v>67.655352107648923</c:v>
                </c:pt>
                <c:pt idx="288">
                  <c:v>67.615074696045923</c:v>
                </c:pt>
                <c:pt idx="289">
                  <c:v>66.511014472089542</c:v>
                </c:pt>
                <c:pt idx="290">
                  <c:v>66.993865030674854</c:v>
                </c:pt>
                <c:pt idx="291">
                  <c:v>66.889463849360368</c:v>
                </c:pt>
                <c:pt idx="292">
                  <c:v>68.596606500985573</c:v>
                </c:pt>
                <c:pt idx="293">
                  <c:v>68.459854855431402</c:v>
                </c:pt>
                <c:pt idx="294">
                  <c:v>68.689132787138661</c:v>
                </c:pt>
                <c:pt idx="295">
                  <c:v>68.245828868819842</c:v>
                </c:pt>
                <c:pt idx="296">
                  <c:v>68.153745828378533</c:v>
                </c:pt>
                <c:pt idx="297">
                  <c:v>67.864628987385188</c:v>
                </c:pt>
                <c:pt idx="298">
                  <c:v>68.090035133778613</c:v>
                </c:pt>
                <c:pt idx="299">
                  <c:v>67.633809269298311</c:v>
                </c:pt>
                <c:pt idx="300">
                  <c:v>68.076628352490417</c:v>
                </c:pt>
                <c:pt idx="301">
                  <c:v>68.548941697868116</c:v>
                </c:pt>
                <c:pt idx="302">
                  <c:v>68.969344406598026</c:v>
                </c:pt>
                <c:pt idx="303">
                  <c:v>69.273098087505304</c:v>
                </c:pt>
                <c:pt idx="304">
                  <c:v>68.825031441747015</c:v>
                </c:pt>
                <c:pt idx="305">
                  <c:v>69.238714613618981</c:v>
                </c:pt>
                <c:pt idx="306">
                  <c:v>69.468234935860835</c:v>
                </c:pt>
                <c:pt idx="307">
                  <c:v>69.296052133060542</c:v>
                </c:pt>
                <c:pt idx="308">
                  <c:v>71.953547566019736</c:v>
                </c:pt>
                <c:pt idx="309">
                  <c:v>72.470494098819771</c:v>
                </c:pt>
                <c:pt idx="310">
                  <c:v>71.407642051078994</c:v>
                </c:pt>
                <c:pt idx="311">
                  <c:v>71.131949095780314</c:v>
                </c:pt>
                <c:pt idx="312">
                  <c:v>71.064065092029381</c:v>
                </c:pt>
                <c:pt idx="313">
                  <c:v>73.017160939591861</c:v>
                </c:pt>
                <c:pt idx="314">
                  <c:v>72.343932146159105</c:v>
                </c:pt>
                <c:pt idx="315">
                  <c:v>71.157796813829989</c:v>
                </c:pt>
                <c:pt idx="316">
                  <c:v>71.207502930832362</c:v>
                </c:pt>
                <c:pt idx="317">
                  <c:v>70.877124438366863</c:v>
                </c:pt>
                <c:pt idx="318">
                  <c:v>71.22948889063359</c:v>
                </c:pt>
                <c:pt idx="319">
                  <c:v>71.489546694067897</c:v>
                </c:pt>
                <c:pt idx="320">
                  <c:v>74.16555693973109</c:v>
                </c:pt>
                <c:pt idx="321">
                  <c:v>73.997948893256989</c:v>
                </c:pt>
                <c:pt idx="322">
                  <c:v>74.621212121212125</c:v>
                </c:pt>
                <c:pt idx="323">
                  <c:v>75.763342271429806</c:v>
                </c:pt>
                <c:pt idx="324">
                  <c:v>75.204840539518472</c:v>
                </c:pt>
                <c:pt idx="325">
                  <c:v>75.542973041494122</c:v>
                </c:pt>
                <c:pt idx="326">
                  <c:v>76.15877080665814</c:v>
                </c:pt>
                <c:pt idx="327">
                  <c:v>76.728774904255772</c:v>
                </c:pt>
                <c:pt idx="328">
                  <c:v>76.324685202400062</c:v>
                </c:pt>
                <c:pt idx="329">
                  <c:v>75.640972018905018</c:v>
                </c:pt>
                <c:pt idx="330">
                  <c:v>75.267913427190578</c:v>
                </c:pt>
                <c:pt idx="331">
                  <c:v>76.174311537319127</c:v>
                </c:pt>
                <c:pt idx="332">
                  <c:v>75.533511170390128</c:v>
                </c:pt>
                <c:pt idx="333">
                  <c:v>75.782585136092692</c:v>
                </c:pt>
                <c:pt idx="334">
                  <c:v>75.038221561092513</c:v>
                </c:pt>
                <c:pt idx="335">
                  <c:v>75.794979079497907</c:v>
                </c:pt>
                <c:pt idx="336">
                  <c:v>73.839142751570392</c:v>
                </c:pt>
                <c:pt idx="337">
                  <c:v>74.617240805458479</c:v>
                </c:pt>
                <c:pt idx="338">
                  <c:v>74.515648286140092</c:v>
                </c:pt>
                <c:pt idx="339">
                  <c:v>75.474237644584662</c:v>
                </c:pt>
                <c:pt idx="340">
                  <c:v>75.728114654486021</c:v>
                </c:pt>
                <c:pt idx="341">
                  <c:v>75.478363261701503</c:v>
                </c:pt>
                <c:pt idx="342">
                  <c:v>77.136207956441552</c:v>
                </c:pt>
                <c:pt idx="343">
                  <c:v>79.504169483885505</c:v>
                </c:pt>
                <c:pt idx="344">
                  <c:v>78.705793829947325</c:v>
                </c:pt>
                <c:pt idx="345">
                  <c:v>77.710790738313676</c:v>
                </c:pt>
                <c:pt idx="346">
                  <c:v>77.209548603450557</c:v>
                </c:pt>
                <c:pt idx="347">
                  <c:v>77.231650870619362</c:v>
                </c:pt>
                <c:pt idx="348">
                  <c:v>77.359750667853959</c:v>
                </c:pt>
                <c:pt idx="349">
                  <c:v>80.190830812194562</c:v>
                </c:pt>
                <c:pt idx="350">
                  <c:v>79.693382319589958</c:v>
                </c:pt>
                <c:pt idx="351">
                  <c:v>78.060413354531008</c:v>
                </c:pt>
                <c:pt idx="352">
                  <c:v>77.888358103326254</c:v>
                </c:pt>
                <c:pt idx="353">
                  <c:v>78.191017219953835</c:v>
                </c:pt>
                <c:pt idx="354">
                  <c:v>77.641451143084112</c:v>
                </c:pt>
                <c:pt idx="355">
                  <c:v>77.463048753584829</c:v>
                </c:pt>
                <c:pt idx="356">
                  <c:v>78.142489117882207</c:v>
                </c:pt>
                <c:pt idx="357">
                  <c:v>77.457919723780748</c:v>
                </c:pt>
                <c:pt idx="358">
                  <c:v>76.581334923542187</c:v>
                </c:pt>
                <c:pt idx="359">
                  <c:v>75.898383768913348</c:v>
                </c:pt>
                <c:pt idx="360">
                  <c:v>74.132227944563084</c:v>
                </c:pt>
                <c:pt idx="361">
                  <c:v>73.016976886888941</c:v>
                </c:pt>
                <c:pt idx="362">
                  <c:v>73.723624327678934</c:v>
                </c:pt>
                <c:pt idx="363">
                  <c:v>73.471047495120359</c:v>
                </c:pt>
                <c:pt idx="364">
                  <c:v>74.452009299236138</c:v>
                </c:pt>
                <c:pt idx="365">
                  <c:v>74.358232400479523</c:v>
                </c:pt>
                <c:pt idx="366">
                  <c:v>74.675835784415256</c:v>
                </c:pt>
                <c:pt idx="367">
                  <c:v>74.542360217508602</c:v>
                </c:pt>
                <c:pt idx="368">
                  <c:v>76.066995408944052</c:v>
                </c:pt>
                <c:pt idx="369">
                  <c:v>75.863403724570986</c:v>
                </c:pt>
                <c:pt idx="370">
                  <c:v>74.947764312578357</c:v>
                </c:pt>
                <c:pt idx="371">
                  <c:v>74.42693701396523</c:v>
                </c:pt>
                <c:pt idx="372">
                  <c:v>75.227020585939101</c:v>
                </c:pt>
                <c:pt idx="373">
                  <c:v>74.555282158847973</c:v>
                </c:pt>
                <c:pt idx="374">
                  <c:v>73.613744075829388</c:v>
                </c:pt>
                <c:pt idx="375">
                  <c:v>74.295494348033756</c:v>
                </c:pt>
                <c:pt idx="376">
                  <c:v>74.273925409606207</c:v>
                </c:pt>
                <c:pt idx="377">
                  <c:v>74.258487194758786</c:v>
                </c:pt>
                <c:pt idx="378">
                  <c:v>74.698021589951452</c:v>
                </c:pt>
                <c:pt idx="379">
                  <c:v>74.278312361213906</c:v>
                </c:pt>
                <c:pt idx="380">
                  <c:v>76.061743134913854</c:v>
                </c:pt>
                <c:pt idx="381">
                  <c:v>75.882453006719402</c:v>
                </c:pt>
                <c:pt idx="382">
                  <c:v>78.17481170082327</c:v>
                </c:pt>
                <c:pt idx="383">
                  <c:v>77.920084214219926</c:v>
                </c:pt>
                <c:pt idx="384">
                  <c:v>79.927432359792149</c:v>
                </c:pt>
                <c:pt idx="385">
                  <c:v>79.030667144906744</c:v>
                </c:pt>
                <c:pt idx="386">
                  <c:v>79.970339744742049</c:v>
                </c:pt>
                <c:pt idx="387">
                  <c:v>79.277718550106613</c:v>
                </c:pt>
                <c:pt idx="388">
                  <c:v>79.631611809829636</c:v>
                </c:pt>
                <c:pt idx="389">
                  <c:v>80.755420208172353</c:v>
                </c:pt>
                <c:pt idx="390">
                  <c:v>80.138920008962572</c:v>
                </c:pt>
                <c:pt idx="391">
                  <c:v>80.893696654342961</c:v>
                </c:pt>
                <c:pt idx="392">
                  <c:v>81.955411054342775</c:v>
                </c:pt>
                <c:pt idx="393">
                  <c:v>80.023140937207955</c:v>
                </c:pt>
                <c:pt idx="394">
                  <c:v>80.54396122256631</c:v>
                </c:pt>
                <c:pt idx="395">
                  <c:v>79.451872251587972</c:v>
                </c:pt>
                <c:pt idx="396">
                  <c:v>79.029994737765307</c:v>
                </c:pt>
                <c:pt idx="397">
                  <c:v>78.708498324703001</c:v>
                </c:pt>
                <c:pt idx="398">
                  <c:v>78.349846406784067</c:v>
                </c:pt>
                <c:pt idx="399">
                  <c:v>79.028446389496708</c:v>
                </c:pt>
                <c:pt idx="400">
                  <c:v>78.668690372940162</c:v>
                </c:pt>
                <c:pt idx="401">
                  <c:v>78.917141604559404</c:v>
                </c:pt>
                <c:pt idx="402">
                  <c:v>78.704024982650935</c:v>
                </c:pt>
                <c:pt idx="403">
                  <c:v>78.769961156668089</c:v>
                </c:pt>
                <c:pt idx="404">
                  <c:v>80.630914826498426</c:v>
                </c:pt>
                <c:pt idx="405">
                  <c:v>80.081916125011134</c:v>
                </c:pt>
                <c:pt idx="406">
                  <c:v>79.716815711029284</c:v>
                </c:pt>
                <c:pt idx="407">
                  <c:v>78.739173525229447</c:v>
                </c:pt>
                <c:pt idx="408">
                  <c:v>78.637423365857885</c:v>
                </c:pt>
                <c:pt idx="409">
                  <c:v>77.149667972075605</c:v>
                </c:pt>
                <c:pt idx="410">
                  <c:v>76.067846972885974</c:v>
                </c:pt>
                <c:pt idx="411">
                  <c:v>74.550898203592808</c:v>
                </c:pt>
                <c:pt idx="412">
                  <c:v>77.382352941176464</c:v>
                </c:pt>
                <c:pt idx="413">
                  <c:v>77.523434884499494</c:v>
                </c:pt>
                <c:pt idx="414">
                  <c:v>76.85554668794893</c:v>
                </c:pt>
                <c:pt idx="415">
                  <c:v>79.158581760451582</c:v>
                </c:pt>
                <c:pt idx="416">
                  <c:v>80.12846246487355</c:v>
                </c:pt>
                <c:pt idx="417">
                  <c:v>79.64895216199487</c:v>
                </c:pt>
                <c:pt idx="418">
                  <c:v>79.643642762868453</c:v>
                </c:pt>
                <c:pt idx="419">
                  <c:v>80.550966647318845</c:v>
                </c:pt>
                <c:pt idx="420">
                  <c:v>78.872629664906057</c:v>
                </c:pt>
                <c:pt idx="421">
                  <c:v>78.717540157615957</c:v>
                </c:pt>
                <c:pt idx="422">
                  <c:v>78.614844619467519</c:v>
                </c:pt>
                <c:pt idx="423">
                  <c:v>78.037799957528136</c:v>
                </c:pt>
                <c:pt idx="424">
                  <c:v>78.292917870754295</c:v>
                </c:pt>
                <c:pt idx="425">
                  <c:v>79.430014121271768</c:v>
                </c:pt>
                <c:pt idx="426">
                  <c:v>79.19011551643888</c:v>
                </c:pt>
                <c:pt idx="427">
                  <c:v>79.571601890976027</c:v>
                </c:pt>
                <c:pt idx="428">
                  <c:v>78.393818585343809</c:v>
                </c:pt>
                <c:pt idx="429">
                  <c:v>77.740701554488481</c:v>
                </c:pt>
                <c:pt idx="430">
                  <c:v>77.997327610640966</c:v>
                </c:pt>
                <c:pt idx="431">
                  <c:v>78.006238200771577</c:v>
                </c:pt>
                <c:pt idx="432">
                  <c:v>76.10508594025292</c:v>
                </c:pt>
                <c:pt idx="433">
                  <c:v>76.312028582770935</c:v>
                </c:pt>
                <c:pt idx="434">
                  <c:v>76.784864350309377</c:v>
                </c:pt>
                <c:pt idx="435">
                  <c:v>77.601088646967341</c:v>
                </c:pt>
                <c:pt idx="436">
                  <c:v>75.97322922476296</c:v>
                </c:pt>
                <c:pt idx="437">
                  <c:v>77.014254725751471</c:v>
                </c:pt>
                <c:pt idx="438">
                  <c:v>76.188299817184642</c:v>
                </c:pt>
                <c:pt idx="439">
                  <c:v>77.508103407383985</c:v>
                </c:pt>
                <c:pt idx="440">
                  <c:v>76.703235551315686</c:v>
                </c:pt>
                <c:pt idx="441">
                  <c:v>77.264265479562923</c:v>
                </c:pt>
                <c:pt idx="442">
                  <c:v>75.858838226108688</c:v>
                </c:pt>
                <c:pt idx="443">
                  <c:v>76.225654801880466</c:v>
                </c:pt>
                <c:pt idx="444">
                  <c:v>77.15628011564408</c:v>
                </c:pt>
                <c:pt idx="445">
                  <c:v>76.91055619516456</c:v>
                </c:pt>
                <c:pt idx="446">
                  <c:v>75.702160493827151</c:v>
                </c:pt>
                <c:pt idx="447">
                  <c:v>76.988410858866487</c:v>
                </c:pt>
                <c:pt idx="448">
                  <c:v>77.538809831824054</c:v>
                </c:pt>
                <c:pt idx="449">
                  <c:v>77.109679471884192</c:v>
                </c:pt>
                <c:pt idx="450">
                  <c:v>77.669131091501711</c:v>
                </c:pt>
                <c:pt idx="451">
                  <c:v>78.364994317259288</c:v>
                </c:pt>
                <c:pt idx="452">
                  <c:v>78.253619651862692</c:v>
                </c:pt>
                <c:pt idx="453">
                  <c:v>78.326329103594603</c:v>
                </c:pt>
                <c:pt idx="454">
                  <c:v>78.059310066572522</c:v>
                </c:pt>
                <c:pt idx="455">
                  <c:v>77.73559267844297</c:v>
                </c:pt>
                <c:pt idx="456">
                  <c:v>76.572626023516634</c:v>
                </c:pt>
                <c:pt idx="457">
                  <c:v>76.051419800460479</c:v>
                </c:pt>
                <c:pt idx="458">
                  <c:v>75.76486765211412</c:v>
                </c:pt>
                <c:pt idx="459">
                  <c:v>76.940926610556133</c:v>
                </c:pt>
                <c:pt idx="460">
                  <c:v>77.180571473738297</c:v>
                </c:pt>
                <c:pt idx="461">
                  <c:v>78.898487245001419</c:v>
                </c:pt>
                <c:pt idx="462">
                  <c:v>79.892817959321462</c:v>
                </c:pt>
                <c:pt idx="463">
                  <c:v>80.667741388087563</c:v>
                </c:pt>
                <c:pt idx="464">
                  <c:v>80.304901418047095</c:v>
                </c:pt>
                <c:pt idx="465">
                  <c:v>81.588369785600264</c:v>
                </c:pt>
                <c:pt idx="466">
                  <c:v>82.518597236981932</c:v>
                </c:pt>
                <c:pt idx="467">
                  <c:v>82.532539157290969</c:v>
                </c:pt>
                <c:pt idx="468">
                  <c:v>83.421123114007671</c:v>
                </c:pt>
                <c:pt idx="469">
                  <c:v>83.57617074366172</c:v>
                </c:pt>
                <c:pt idx="470">
                  <c:v>85.178735105407881</c:v>
                </c:pt>
                <c:pt idx="471">
                  <c:v>85.93166542195668</c:v>
                </c:pt>
                <c:pt idx="472">
                  <c:v>85.918887601390509</c:v>
                </c:pt>
                <c:pt idx="473">
                  <c:v>87.835170654214608</c:v>
                </c:pt>
                <c:pt idx="474">
                  <c:v>84.172428193587308</c:v>
                </c:pt>
                <c:pt idx="475">
                  <c:v>83.627586206896552</c:v>
                </c:pt>
                <c:pt idx="476">
                  <c:v>84.287968808020793</c:v>
                </c:pt>
                <c:pt idx="477">
                  <c:v>84.042358955632636</c:v>
                </c:pt>
                <c:pt idx="478">
                  <c:v>85.061915941628683</c:v>
                </c:pt>
                <c:pt idx="479">
                  <c:v>84.548792095363282</c:v>
                </c:pt>
                <c:pt idx="480">
                  <c:v>84.421582075903061</c:v>
                </c:pt>
                <c:pt idx="481">
                  <c:v>84.115638515820621</c:v>
                </c:pt>
                <c:pt idx="482">
                  <c:v>84.887518976859738</c:v>
                </c:pt>
                <c:pt idx="483">
                  <c:v>84.045168928148613</c:v>
                </c:pt>
                <c:pt idx="484">
                  <c:v>83.672189879086446</c:v>
                </c:pt>
                <c:pt idx="485">
                  <c:v>83.117352237323345</c:v>
                </c:pt>
                <c:pt idx="486">
                  <c:v>83.17366077452435</c:v>
                </c:pt>
                <c:pt idx="487">
                  <c:v>83.691529709228817</c:v>
                </c:pt>
                <c:pt idx="488">
                  <c:v>84.618551042810097</c:v>
                </c:pt>
                <c:pt idx="489">
                  <c:v>85.857779863881717</c:v>
                </c:pt>
                <c:pt idx="490">
                  <c:v>86.214285714285708</c:v>
                </c:pt>
                <c:pt idx="491">
                  <c:v>84.6247029772166</c:v>
                </c:pt>
                <c:pt idx="492">
                  <c:v>84.211966435607437</c:v>
                </c:pt>
                <c:pt idx="493">
                  <c:v>84.142483839911989</c:v>
                </c:pt>
                <c:pt idx="494">
                  <c:v>85.497321220591658</c:v>
                </c:pt>
                <c:pt idx="495">
                  <c:v>86.735372340425528</c:v>
                </c:pt>
                <c:pt idx="496">
                  <c:v>85.985456605911793</c:v>
                </c:pt>
                <c:pt idx="497">
                  <c:v>87.216277172609054</c:v>
                </c:pt>
                <c:pt idx="498">
                  <c:v>87.64104542385958</c:v>
                </c:pt>
                <c:pt idx="499">
                  <c:v>88.802083333333329</c:v>
                </c:pt>
                <c:pt idx="500">
                  <c:v>92.249359343130607</c:v>
                </c:pt>
                <c:pt idx="501">
                  <c:v>90.636254501800721</c:v>
                </c:pt>
                <c:pt idx="502">
                  <c:v>90.666041275797383</c:v>
                </c:pt>
                <c:pt idx="503">
                  <c:v>90.513276186493826</c:v>
                </c:pt>
                <c:pt idx="504">
                  <c:v>90.980061187889021</c:v>
                </c:pt>
                <c:pt idx="505">
                  <c:v>90.418880900281337</c:v>
                </c:pt>
                <c:pt idx="506">
                  <c:v>93.596707818930028</c:v>
                </c:pt>
                <c:pt idx="507">
                  <c:v>90.774946921443743</c:v>
                </c:pt>
                <c:pt idx="508">
                  <c:v>91.41773098915192</c:v>
                </c:pt>
                <c:pt idx="509">
                  <c:v>91.07563745446754</c:v>
                </c:pt>
                <c:pt idx="510">
                  <c:v>91.532667343340989</c:v>
                </c:pt>
                <c:pt idx="511">
                  <c:v>93.796377127891745</c:v>
                </c:pt>
                <c:pt idx="512">
                  <c:v>92.673320744537364</c:v>
                </c:pt>
                <c:pt idx="513">
                  <c:v>92.424731182795682</c:v>
                </c:pt>
                <c:pt idx="514">
                  <c:v>88.081132643839751</c:v>
                </c:pt>
                <c:pt idx="515">
                  <c:v>86.845972957084072</c:v>
                </c:pt>
                <c:pt idx="516">
                  <c:v>87.909257516469367</c:v>
                </c:pt>
                <c:pt idx="517">
                  <c:v>88.278939188850458</c:v>
                </c:pt>
                <c:pt idx="518">
                  <c:v>88.791949635651619</c:v>
                </c:pt>
                <c:pt idx="519">
                  <c:v>86.604723190089032</c:v>
                </c:pt>
                <c:pt idx="520">
                  <c:v>87.516438556329462</c:v>
                </c:pt>
                <c:pt idx="521">
                  <c:v>86.507936507936506</c:v>
                </c:pt>
                <c:pt idx="522">
                  <c:v>87.87388447582623</c:v>
                </c:pt>
                <c:pt idx="523">
                  <c:v>87.773785499827724</c:v>
                </c:pt>
                <c:pt idx="524">
                  <c:v>88.180643879173289</c:v>
                </c:pt>
                <c:pt idx="525">
                  <c:v>89.09283980582525</c:v>
                </c:pt>
                <c:pt idx="526">
                  <c:v>90.039983596473249</c:v>
                </c:pt>
                <c:pt idx="527">
                  <c:v>91.679881594248869</c:v>
                </c:pt>
                <c:pt idx="528">
                  <c:v>91.654427192614349</c:v>
                </c:pt>
                <c:pt idx="529">
                  <c:v>92.271143490655689</c:v>
                </c:pt>
                <c:pt idx="530">
                  <c:v>91.805504778816527</c:v>
                </c:pt>
                <c:pt idx="531">
                  <c:v>93.360928932372858</c:v>
                </c:pt>
                <c:pt idx="532">
                  <c:v>94.655777241832936</c:v>
                </c:pt>
                <c:pt idx="533">
                  <c:v>96.190262759818481</c:v>
                </c:pt>
                <c:pt idx="534">
                  <c:v>96.392921960072584</c:v>
                </c:pt>
                <c:pt idx="535">
                  <c:v>95.332437877770332</c:v>
                </c:pt>
                <c:pt idx="536">
                  <c:v>94.302963776070257</c:v>
                </c:pt>
                <c:pt idx="537">
                  <c:v>92.957287251385708</c:v>
                </c:pt>
                <c:pt idx="538">
                  <c:v>87.343560758982647</c:v>
                </c:pt>
                <c:pt idx="539">
                  <c:v>87.773150290503352</c:v>
                </c:pt>
                <c:pt idx="540">
                  <c:v>86.975672215108844</c:v>
                </c:pt>
                <c:pt idx="541">
                  <c:v>86.690591355905752</c:v>
                </c:pt>
                <c:pt idx="542">
                  <c:v>86.31916765878151</c:v>
                </c:pt>
                <c:pt idx="543">
                  <c:v>86.754413454507471</c:v>
                </c:pt>
                <c:pt idx="544">
                  <c:v>85.658456317169751</c:v>
                </c:pt>
                <c:pt idx="545">
                  <c:v>85.332108030836778</c:v>
                </c:pt>
                <c:pt idx="546">
                  <c:v>87.985693383189727</c:v>
                </c:pt>
                <c:pt idx="547">
                  <c:v>88.870068844934977</c:v>
                </c:pt>
                <c:pt idx="548">
                  <c:v>88.121649593970588</c:v>
                </c:pt>
                <c:pt idx="549">
                  <c:v>88.905515177426253</c:v>
                </c:pt>
                <c:pt idx="550">
                  <c:v>82.432366797804661</c:v>
                </c:pt>
                <c:pt idx="551">
                  <c:v>81.781127067633534</c:v>
                </c:pt>
                <c:pt idx="552">
                  <c:v>83.508566978193144</c:v>
                </c:pt>
                <c:pt idx="553">
                  <c:v>83.034849951597295</c:v>
                </c:pt>
                <c:pt idx="554">
                  <c:v>85.144022431812388</c:v>
                </c:pt>
                <c:pt idx="555">
                  <c:v>86.257505003335567</c:v>
                </c:pt>
                <c:pt idx="556">
                  <c:v>88.303939169922913</c:v>
                </c:pt>
                <c:pt idx="557">
                  <c:v>88.370863727666773</c:v>
                </c:pt>
                <c:pt idx="558">
                  <c:v>88.621187029221645</c:v>
                </c:pt>
                <c:pt idx="559">
                  <c:v>88.747311827956992</c:v>
                </c:pt>
                <c:pt idx="560">
                  <c:v>88.730323002342161</c:v>
                </c:pt>
                <c:pt idx="561">
                  <c:v>87.313392904917322</c:v>
                </c:pt>
                <c:pt idx="562">
                  <c:v>85.945072697899846</c:v>
                </c:pt>
                <c:pt idx="563">
                  <c:v>85.44627629334849</c:v>
                </c:pt>
                <c:pt idx="564">
                  <c:v>85.415169865544499</c:v>
                </c:pt>
                <c:pt idx="565">
                  <c:v>85.169795834615783</c:v>
                </c:pt>
                <c:pt idx="566">
                  <c:v>85.524395329441205</c:v>
                </c:pt>
                <c:pt idx="567">
                  <c:v>83.622262773722625</c:v>
                </c:pt>
                <c:pt idx="568">
                  <c:v>83.952376106644962</c:v>
                </c:pt>
                <c:pt idx="569">
                  <c:v>83.700282268411613</c:v>
                </c:pt>
                <c:pt idx="570">
                  <c:v>80.096277584481186</c:v>
                </c:pt>
                <c:pt idx="571">
                  <c:v>79.566003616636522</c:v>
                </c:pt>
                <c:pt idx="572">
                  <c:v>80.150601000888642</c:v>
                </c:pt>
                <c:pt idx="573">
                  <c:v>80.548410802866073</c:v>
                </c:pt>
                <c:pt idx="574">
                  <c:v>80.119938677969159</c:v>
                </c:pt>
                <c:pt idx="575">
                  <c:v>82.285925994535262</c:v>
                </c:pt>
                <c:pt idx="576">
                  <c:v>82.197741159044625</c:v>
                </c:pt>
                <c:pt idx="577">
                  <c:v>83.737057091289074</c:v>
                </c:pt>
                <c:pt idx="578">
                  <c:v>83.027873234058788</c:v>
                </c:pt>
                <c:pt idx="579">
                  <c:v>82.342640795078097</c:v>
                </c:pt>
                <c:pt idx="580">
                  <c:v>81.433103190893817</c:v>
                </c:pt>
                <c:pt idx="581">
                  <c:v>82.863536806018473</c:v>
                </c:pt>
                <c:pt idx="582">
                  <c:v>82.100785340314133</c:v>
                </c:pt>
                <c:pt idx="583">
                  <c:v>80.692226262254337</c:v>
                </c:pt>
                <c:pt idx="584">
                  <c:v>79.355744755551655</c:v>
                </c:pt>
                <c:pt idx="585">
                  <c:v>79.479483963447407</c:v>
                </c:pt>
                <c:pt idx="586">
                  <c:v>79.776240115025161</c:v>
                </c:pt>
                <c:pt idx="587">
                  <c:v>78.425362350571447</c:v>
                </c:pt>
                <c:pt idx="588">
                  <c:v>77.479811719998281</c:v>
                </c:pt>
                <c:pt idx="589">
                  <c:v>76.563438277429867</c:v>
                </c:pt>
                <c:pt idx="590">
                  <c:v>76.050859508971513</c:v>
                </c:pt>
                <c:pt idx="591">
                  <c:v>75.325377354567763</c:v>
                </c:pt>
                <c:pt idx="592">
                  <c:v>76.654182272159801</c:v>
                </c:pt>
                <c:pt idx="593">
                  <c:v>77.475450966820958</c:v>
                </c:pt>
                <c:pt idx="594">
                  <c:v>75.201587892321044</c:v>
                </c:pt>
                <c:pt idx="595">
                  <c:v>75.390738360764487</c:v>
                </c:pt>
                <c:pt idx="596">
                  <c:v>75.909341708755989</c:v>
                </c:pt>
                <c:pt idx="597">
                  <c:v>75.234031977466657</c:v>
                </c:pt>
                <c:pt idx="598">
                  <c:v>76.140764438457651</c:v>
                </c:pt>
                <c:pt idx="599">
                  <c:v>75.298969072164951</c:v>
                </c:pt>
                <c:pt idx="600">
                  <c:v>76.171810529790392</c:v>
                </c:pt>
                <c:pt idx="601">
                  <c:v>77.574695376397941</c:v>
                </c:pt>
                <c:pt idx="602">
                  <c:v>78.577527322404364</c:v>
                </c:pt>
                <c:pt idx="603">
                  <c:v>78.664488291232047</c:v>
                </c:pt>
                <c:pt idx="604">
                  <c:v>79.294316501162058</c:v>
                </c:pt>
                <c:pt idx="605">
                  <c:v>80.017886802095305</c:v>
                </c:pt>
                <c:pt idx="606">
                  <c:v>79.103482752874513</c:v>
                </c:pt>
                <c:pt idx="607">
                  <c:v>79.354329400033237</c:v>
                </c:pt>
                <c:pt idx="608">
                  <c:v>80.644479215122431</c:v>
                </c:pt>
                <c:pt idx="609">
                  <c:v>80.599078341013822</c:v>
                </c:pt>
                <c:pt idx="610">
                  <c:v>81.879935467436525</c:v>
                </c:pt>
                <c:pt idx="611">
                  <c:v>81.49395764032171</c:v>
                </c:pt>
                <c:pt idx="612">
                  <c:v>81.141138632471495</c:v>
                </c:pt>
                <c:pt idx="613">
                  <c:v>80.349708576186515</c:v>
                </c:pt>
                <c:pt idx="614">
                  <c:v>81.029343856261278</c:v>
                </c:pt>
                <c:pt idx="615">
                  <c:v>80.927705808608437</c:v>
                </c:pt>
                <c:pt idx="616">
                  <c:v>81.605703919335099</c:v>
                </c:pt>
                <c:pt idx="617">
                  <c:v>81.054185114906176</c:v>
                </c:pt>
                <c:pt idx="618">
                  <c:v>83.771321126382233</c:v>
                </c:pt>
                <c:pt idx="619">
                  <c:v>84.234861067468685</c:v>
                </c:pt>
                <c:pt idx="620">
                  <c:v>83.579040852575488</c:v>
                </c:pt>
                <c:pt idx="621">
                  <c:v>84.078953284474622</c:v>
                </c:pt>
                <c:pt idx="622">
                  <c:v>84.545620271625182</c:v>
                </c:pt>
                <c:pt idx="623">
                  <c:v>84.558990938481855</c:v>
                </c:pt>
                <c:pt idx="624">
                  <c:v>84.814626714068055</c:v>
                </c:pt>
                <c:pt idx="625">
                  <c:v>84.520861989912888</c:v>
                </c:pt>
                <c:pt idx="626">
                  <c:v>83.486572598998634</c:v>
                </c:pt>
                <c:pt idx="627">
                  <c:v>84.297406658083489</c:v>
                </c:pt>
                <c:pt idx="628">
                  <c:v>85.086077844311376</c:v>
                </c:pt>
                <c:pt idx="629">
                  <c:v>87.765113259269953</c:v>
                </c:pt>
                <c:pt idx="630">
                  <c:v>87.167196620948218</c:v>
                </c:pt>
                <c:pt idx="631">
                  <c:v>87.480445603223515</c:v>
                </c:pt>
                <c:pt idx="632">
                  <c:v>88.057987656093005</c:v>
                </c:pt>
                <c:pt idx="633">
                  <c:v>87.750177430801983</c:v>
                </c:pt>
                <c:pt idx="634">
                  <c:v>90.103470468835084</c:v>
                </c:pt>
                <c:pt idx="635">
                  <c:v>90.248622897126694</c:v>
                </c:pt>
                <c:pt idx="636">
                  <c:v>90.979419786759237</c:v>
                </c:pt>
                <c:pt idx="637">
                  <c:v>87.419604981070123</c:v>
                </c:pt>
                <c:pt idx="638">
                  <c:v>86.701451905626143</c:v>
                </c:pt>
                <c:pt idx="639">
                  <c:v>88.259756877799092</c:v>
                </c:pt>
                <c:pt idx="640">
                  <c:v>88.650193619767649</c:v>
                </c:pt>
                <c:pt idx="641">
                  <c:v>87.55630133356884</c:v>
                </c:pt>
                <c:pt idx="642">
                  <c:v>86.559643255295427</c:v>
                </c:pt>
                <c:pt idx="643">
                  <c:v>85.561309576055464</c:v>
                </c:pt>
                <c:pt idx="644">
                  <c:v>85.823013415892675</c:v>
                </c:pt>
                <c:pt idx="645">
                  <c:v>84.415640527111691</c:v>
                </c:pt>
                <c:pt idx="646">
                  <c:v>84.265584970111007</c:v>
                </c:pt>
                <c:pt idx="647">
                  <c:v>83.819142589278101</c:v>
                </c:pt>
                <c:pt idx="648">
                  <c:v>82.592623359362022</c:v>
                </c:pt>
                <c:pt idx="649">
                  <c:v>82.564889294303015</c:v>
                </c:pt>
                <c:pt idx="650">
                  <c:v>80.528550454347055</c:v>
                </c:pt>
                <c:pt idx="651">
                  <c:v>80.610905619854435</c:v>
                </c:pt>
                <c:pt idx="652">
                  <c:v>79.728217426059146</c:v>
                </c:pt>
                <c:pt idx="653">
                  <c:v>79.45920303605314</c:v>
                </c:pt>
                <c:pt idx="654">
                  <c:v>78.85224738880413</c:v>
                </c:pt>
                <c:pt idx="655">
                  <c:v>78.578836182062602</c:v>
                </c:pt>
                <c:pt idx="656">
                  <c:v>79.27927927927928</c:v>
                </c:pt>
                <c:pt idx="657">
                  <c:v>79.245506149479667</c:v>
                </c:pt>
                <c:pt idx="658">
                  <c:v>78.442149895960114</c:v>
                </c:pt>
                <c:pt idx="659">
                  <c:v>78.883742836957367</c:v>
                </c:pt>
                <c:pt idx="660">
                  <c:v>78.336153634252881</c:v>
                </c:pt>
                <c:pt idx="661">
                  <c:v>79.874289374649678</c:v>
                </c:pt>
                <c:pt idx="662">
                  <c:v>79.565112926477653</c:v>
                </c:pt>
                <c:pt idx="663">
                  <c:v>79.297076440953632</c:v>
                </c:pt>
                <c:pt idx="664">
                  <c:v>78.961553705905672</c:v>
                </c:pt>
                <c:pt idx="665">
                  <c:v>78.97654084858894</c:v>
                </c:pt>
                <c:pt idx="666">
                  <c:v>79.31934114715159</c:v>
                </c:pt>
                <c:pt idx="667">
                  <c:v>78.381057688641462</c:v>
                </c:pt>
                <c:pt idx="668">
                  <c:v>78.702485097158785</c:v>
                </c:pt>
                <c:pt idx="669">
                  <c:v>78.882539192215617</c:v>
                </c:pt>
                <c:pt idx="670">
                  <c:v>79.394340946293539</c:v>
                </c:pt>
                <c:pt idx="671">
                  <c:v>82.726007206026864</c:v>
                </c:pt>
                <c:pt idx="672">
                  <c:v>83.26952369190235</c:v>
                </c:pt>
                <c:pt idx="673">
                  <c:v>83.413552086385138</c:v>
                </c:pt>
                <c:pt idx="674">
                  <c:v>83.060635226179031</c:v>
                </c:pt>
                <c:pt idx="675">
                  <c:v>82.926416451571953</c:v>
                </c:pt>
                <c:pt idx="676">
                  <c:v>82.863249654247511</c:v>
                </c:pt>
                <c:pt idx="677">
                  <c:v>83.580257365391134</c:v>
                </c:pt>
                <c:pt idx="678">
                  <c:v>84.535283993115314</c:v>
                </c:pt>
                <c:pt idx="679">
                  <c:v>84.840680925360104</c:v>
                </c:pt>
                <c:pt idx="680">
                  <c:v>84.276110135742726</c:v>
                </c:pt>
                <c:pt idx="681">
                  <c:v>83.267218095881148</c:v>
                </c:pt>
                <c:pt idx="682">
                  <c:v>82.441069057104912</c:v>
                </c:pt>
                <c:pt idx="683">
                  <c:v>82.79071726403572</c:v>
                </c:pt>
                <c:pt idx="684">
                  <c:v>82.968165187770722</c:v>
                </c:pt>
                <c:pt idx="685">
                  <c:v>82.490058380573657</c:v>
                </c:pt>
                <c:pt idx="686">
                  <c:v>80.552034348803929</c:v>
                </c:pt>
                <c:pt idx="687">
                  <c:v>81.146285950755228</c:v>
                </c:pt>
                <c:pt idx="688">
                  <c:v>81.486898742112089</c:v>
                </c:pt>
                <c:pt idx="689">
                  <c:v>80.955724434164878</c:v>
                </c:pt>
                <c:pt idx="690">
                  <c:v>81.592081184495086</c:v>
                </c:pt>
                <c:pt idx="691">
                  <c:v>83.093340190280287</c:v>
                </c:pt>
                <c:pt idx="692">
                  <c:v>84.505259482344712</c:v>
                </c:pt>
                <c:pt idx="693">
                  <c:v>84.858421589045946</c:v>
                </c:pt>
                <c:pt idx="694">
                  <c:v>83.9811542991755</c:v>
                </c:pt>
                <c:pt idx="695">
                  <c:v>83.088203392771916</c:v>
                </c:pt>
                <c:pt idx="696">
                  <c:v>83.260084417562325</c:v>
                </c:pt>
                <c:pt idx="697">
                  <c:v>84.125800508816567</c:v>
                </c:pt>
                <c:pt idx="698">
                  <c:v>83.484769816545523</c:v>
                </c:pt>
                <c:pt idx="699">
                  <c:v>82.347662592940765</c:v>
                </c:pt>
                <c:pt idx="700">
                  <c:v>83.678462210572306</c:v>
                </c:pt>
                <c:pt idx="701">
                  <c:v>82.715784964660529</c:v>
                </c:pt>
                <c:pt idx="702">
                  <c:v>83.205188780550671</c:v>
                </c:pt>
                <c:pt idx="703">
                  <c:v>80.695187165775408</c:v>
                </c:pt>
                <c:pt idx="704">
                  <c:v>78.712573650246497</c:v>
                </c:pt>
                <c:pt idx="705">
                  <c:v>78.199696218722522</c:v>
                </c:pt>
                <c:pt idx="706">
                  <c:v>78.428888184985738</c:v>
                </c:pt>
                <c:pt idx="707">
                  <c:v>78.024185606806626</c:v>
                </c:pt>
                <c:pt idx="708">
                  <c:v>78.956013139972768</c:v>
                </c:pt>
                <c:pt idx="709">
                  <c:v>79.825881778609499</c:v>
                </c:pt>
                <c:pt idx="710">
                  <c:v>79.104898485336761</c:v>
                </c:pt>
                <c:pt idx="711">
                  <c:v>78.898678414096921</c:v>
                </c:pt>
                <c:pt idx="712">
                  <c:v>79.849796856404154</c:v>
                </c:pt>
                <c:pt idx="713">
                  <c:v>78.89367128965408</c:v>
                </c:pt>
                <c:pt idx="714">
                  <c:v>79.758641849048885</c:v>
                </c:pt>
                <c:pt idx="715">
                  <c:v>81.113750989954568</c:v>
                </c:pt>
                <c:pt idx="716">
                  <c:v>81.453644608666451</c:v>
                </c:pt>
                <c:pt idx="717">
                  <c:v>83.106372045220965</c:v>
                </c:pt>
                <c:pt idx="718">
                  <c:v>84.233487479277542</c:v>
                </c:pt>
                <c:pt idx="719">
                  <c:v>84.142550676415212</c:v>
                </c:pt>
                <c:pt idx="720">
                  <c:v>83.741113873260943</c:v>
                </c:pt>
                <c:pt idx="721">
                  <c:v>83.969666418270279</c:v>
                </c:pt>
                <c:pt idx="722">
                  <c:v>83.78663385913265</c:v>
                </c:pt>
                <c:pt idx="723">
                  <c:v>83.94221849184963</c:v>
                </c:pt>
                <c:pt idx="724">
                  <c:v>82.695762674729409</c:v>
                </c:pt>
                <c:pt idx="725">
                  <c:v>80.864223862133684</c:v>
                </c:pt>
                <c:pt idx="726">
                  <c:v>80.609688786991029</c:v>
                </c:pt>
                <c:pt idx="727">
                  <c:v>78.403755868544593</c:v>
                </c:pt>
                <c:pt idx="728">
                  <c:v>78.835804954196277</c:v>
                </c:pt>
                <c:pt idx="729">
                  <c:v>78.727071279084086</c:v>
                </c:pt>
                <c:pt idx="730">
                  <c:v>77.763945223083411</c:v>
                </c:pt>
                <c:pt idx="731">
                  <c:v>78.228841380414764</c:v>
                </c:pt>
                <c:pt idx="732">
                  <c:v>78.851449862303582</c:v>
                </c:pt>
                <c:pt idx="733">
                  <c:v>81.40308054877535</c:v>
                </c:pt>
                <c:pt idx="734">
                  <c:v>82.309697824507424</c:v>
                </c:pt>
                <c:pt idx="735">
                  <c:v>83.171954698711843</c:v>
                </c:pt>
                <c:pt idx="736">
                  <c:v>82.862297053517736</c:v>
                </c:pt>
                <c:pt idx="737">
                  <c:v>82.279730483670235</c:v>
                </c:pt>
                <c:pt idx="738">
                  <c:v>82.946273830155988</c:v>
                </c:pt>
                <c:pt idx="739">
                  <c:v>83.590952755217884</c:v>
                </c:pt>
                <c:pt idx="740">
                  <c:v>82.704389076456252</c:v>
                </c:pt>
                <c:pt idx="741">
                  <c:v>82.878677572694954</c:v>
                </c:pt>
                <c:pt idx="742">
                  <c:v>82.122387053270387</c:v>
                </c:pt>
                <c:pt idx="743">
                  <c:v>81.468916970570774</c:v>
                </c:pt>
                <c:pt idx="744">
                  <c:v>82.407526743136998</c:v>
                </c:pt>
                <c:pt idx="745">
                  <c:v>82.370267694706754</c:v>
                </c:pt>
                <c:pt idx="746">
                  <c:v>82.812154451766986</c:v>
                </c:pt>
                <c:pt idx="747">
                  <c:v>82.208346158920008</c:v>
                </c:pt>
                <c:pt idx="748">
                  <c:v>85.81298725549695</c:v>
                </c:pt>
                <c:pt idx="749">
                  <c:v>85.727651213921504</c:v>
                </c:pt>
                <c:pt idx="750">
                  <c:v>86.356757779249023</c:v>
                </c:pt>
                <c:pt idx="751">
                  <c:v>86.740568057471819</c:v>
                </c:pt>
                <c:pt idx="752">
                  <c:v>84.642401021711365</c:v>
                </c:pt>
                <c:pt idx="753">
                  <c:v>85.031658543251496</c:v>
                </c:pt>
                <c:pt idx="754">
                  <c:v>84.868748023313614</c:v>
                </c:pt>
                <c:pt idx="755">
                  <c:v>85.349970399380666</c:v>
                </c:pt>
                <c:pt idx="756">
                  <c:v>84.564023720623752</c:v>
                </c:pt>
                <c:pt idx="757">
                  <c:v>83.669214732453099</c:v>
                </c:pt>
                <c:pt idx="758">
                  <c:v>84.800207801203513</c:v>
                </c:pt>
                <c:pt idx="759">
                  <c:v>85.588988754287712</c:v>
                </c:pt>
                <c:pt idx="760">
                  <c:v>85.230504093063331</c:v>
                </c:pt>
                <c:pt idx="761">
                  <c:v>85.516525350406638</c:v>
                </c:pt>
                <c:pt idx="762">
                  <c:v>86.299821793367229</c:v>
                </c:pt>
                <c:pt idx="763">
                  <c:v>86.777544962458535</c:v>
                </c:pt>
                <c:pt idx="764">
                  <c:v>85.275734512521794</c:v>
                </c:pt>
                <c:pt idx="765">
                  <c:v>86.42686890574214</c:v>
                </c:pt>
                <c:pt idx="766">
                  <c:v>86.744937150837998</c:v>
                </c:pt>
                <c:pt idx="767">
                  <c:v>86.783335509990863</c:v>
                </c:pt>
                <c:pt idx="768">
                  <c:v>85.146649539713124</c:v>
                </c:pt>
                <c:pt idx="769">
                  <c:v>86.903870712052495</c:v>
                </c:pt>
                <c:pt idx="770">
                  <c:v>85.695526569202485</c:v>
                </c:pt>
                <c:pt idx="771">
                  <c:v>85.557920340529037</c:v>
                </c:pt>
                <c:pt idx="772">
                  <c:v>86.764247897851135</c:v>
                </c:pt>
                <c:pt idx="773">
                  <c:v>84.584283194976138</c:v>
                </c:pt>
                <c:pt idx="774">
                  <c:v>83.025487129633547</c:v>
                </c:pt>
                <c:pt idx="775">
                  <c:v>82.621710389556398</c:v>
                </c:pt>
                <c:pt idx="776">
                  <c:v>83.444294623293445</c:v>
                </c:pt>
                <c:pt idx="777">
                  <c:v>83.438242527825253</c:v>
                </c:pt>
                <c:pt idx="778">
                  <c:v>83.702956989247312</c:v>
                </c:pt>
                <c:pt idx="779">
                  <c:v>81.135346530661622</c:v>
                </c:pt>
                <c:pt idx="780">
                  <c:v>81.385143221894197</c:v>
                </c:pt>
                <c:pt idx="781">
                  <c:v>81.18932996606425</c:v>
                </c:pt>
                <c:pt idx="782">
                  <c:v>80.169139814416027</c:v>
                </c:pt>
                <c:pt idx="783">
                  <c:v>82.018074719599767</c:v>
                </c:pt>
                <c:pt idx="784">
                  <c:v>82.967662709783056</c:v>
                </c:pt>
                <c:pt idx="785">
                  <c:v>84.538818845388192</c:v>
                </c:pt>
                <c:pt idx="786">
                  <c:v>85.076434717233312</c:v>
                </c:pt>
                <c:pt idx="787">
                  <c:v>86.450572909859275</c:v>
                </c:pt>
                <c:pt idx="788">
                  <c:v>86.610495066794741</c:v>
                </c:pt>
                <c:pt idx="789">
                  <c:v>87.140039447731752</c:v>
                </c:pt>
                <c:pt idx="790">
                  <c:v>83.846248918551481</c:v>
                </c:pt>
                <c:pt idx="791">
                  <c:v>84.641993831791282</c:v>
                </c:pt>
                <c:pt idx="792">
                  <c:v>84.384037015615959</c:v>
                </c:pt>
                <c:pt idx="793">
                  <c:v>83.133463860336107</c:v>
                </c:pt>
                <c:pt idx="794">
                  <c:v>83.447768513977437</c:v>
                </c:pt>
                <c:pt idx="795">
                  <c:v>84.842495367510807</c:v>
                </c:pt>
                <c:pt idx="796">
                  <c:v>84.946587295115393</c:v>
                </c:pt>
                <c:pt idx="797">
                  <c:v>85.487444608567202</c:v>
                </c:pt>
                <c:pt idx="798">
                  <c:v>86.561182315367603</c:v>
                </c:pt>
                <c:pt idx="799">
                  <c:v>88.215226497387391</c:v>
                </c:pt>
                <c:pt idx="800">
                  <c:v>88.411609953853443</c:v>
                </c:pt>
                <c:pt idx="801">
                  <c:v>87.237237237237238</c:v>
                </c:pt>
                <c:pt idx="802">
                  <c:v>88.042960460785579</c:v>
                </c:pt>
                <c:pt idx="803">
                  <c:v>87.912945460851475</c:v>
                </c:pt>
                <c:pt idx="804">
                  <c:v>88.931953314247977</c:v>
                </c:pt>
                <c:pt idx="805">
                  <c:v>87.914086519724592</c:v>
                </c:pt>
                <c:pt idx="806">
                  <c:v>88.512947196612117</c:v>
                </c:pt>
                <c:pt idx="807">
                  <c:v>88.639452799579075</c:v>
                </c:pt>
                <c:pt idx="808">
                  <c:v>90.697883028345899</c:v>
                </c:pt>
                <c:pt idx="809">
                  <c:v>90.187872851927693</c:v>
                </c:pt>
                <c:pt idx="810">
                  <c:v>88.077242343483775</c:v>
                </c:pt>
                <c:pt idx="811">
                  <c:v>88.009770140009593</c:v>
                </c:pt>
                <c:pt idx="812">
                  <c:v>87.110231817986318</c:v>
                </c:pt>
                <c:pt idx="813">
                  <c:v>87.439489354410313</c:v>
                </c:pt>
                <c:pt idx="814">
                  <c:v>88.368696847349881</c:v>
                </c:pt>
                <c:pt idx="815">
                  <c:v>88.28543281792092</c:v>
                </c:pt>
                <c:pt idx="816">
                  <c:v>90.214786544776786</c:v>
                </c:pt>
                <c:pt idx="817">
                  <c:v>90.379847706746943</c:v>
                </c:pt>
                <c:pt idx="818">
                  <c:v>90.863779983089316</c:v>
                </c:pt>
                <c:pt idx="819">
                  <c:v>89.590751241812825</c:v>
                </c:pt>
                <c:pt idx="820">
                  <c:v>88.443045720779793</c:v>
                </c:pt>
                <c:pt idx="821">
                  <c:v>89.719752088385889</c:v>
                </c:pt>
                <c:pt idx="822">
                  <c:v>88.673038452989545</c:v>
                </c:pt>
                <c:pt idx="823">
                  <c:v>86.956333203243574</c:v>
                </c:pt>
                <c:pt idx="824">
                  <c:v>87.311827956989248</c:v>
                </c:pt>
                <c:pt idx="825">
                  <c:v>88.063856627082515</c:v>
                </c:pt>
                <c:pt idx="826">
                  <c:v>88.248395126424725</c:v>
                </c:pt>
                <c:pt idx="827">
                  <c:v>89.632476367170227</c:v>
                </c:pt>
                <c:pt idx="828">
                  <c:v>89.815019204450138</c:v>
                </c:pt>
                <c:pt idx="829">
                  <c:v>90.241208694115571</c:v>
                </c:pt>
                <c:pt idx="830">
                  <c:v>89.783701114266975</c:v>
                </c:pt>
                <c:pt idx="831">
                  <c:v>88.62906923429621</c:v>
                </c:pt>
                <c:pt idx="832">
                  <c:v>89.305370246831217</c:v>
                </c:pt>
                <c:pt idx="833">
                  <c:v>88.114971624545788</c:v>
                </c:pt>
                <c:pt idx="834">
                  <c:v>88.095044348604432</c:v>
                </c:pt>
                <c:pt idx="835">
                  <c:v>88.553510014161432</c:v>
                </c:pt>
                <c:pt idx="836">
                  <c:v>88.796425350496023</c:v>
                </c:pt>
                <c:pt idx="837">
                  <c:v>86.691047861345211</c:v>
                </c:pt>
                <c:pt idx="838">
                  <c:v>86.492418196328813</c:v>
                </c:pt>
                <c:pt idx="839">
                  <c:v>85.663962002770631</c:v>
                </c:pt>
                <c:pt idx="840">
                  <c:v>85.924010344141621</c:v>
                </c:pt>
                <c:pt idx="841">
                  <c:v>86.081899298916511</c:v>
                </c:pt>
                <c:pt idx="842">
                  <c:v>87.363538209301382</c:v>
                </c:pt>
                <c:pt idx="843">
                  <c:v>87.437226306697212</c:v>
                </c:pt>
                <c:pt idx="844">
                  <c:v>88.421394631036009</c:v>
                </c:pt>
                <c:pt idx="845">
                  <c:v>88.484263836970939</c:v>
                </c:pt>
                <c:pt idx="846">
                  <c:v>89.112407253104791</c:v>
                </c:pt>
                <c:pt idx="847">
                  <c:v>87.128218904708916</c:v>
                </c:pt>
                <c:pt idx="848">
                  <c:v>84.695716124287557</c:v>
                </c:pt>
                <c:pt idx="849">
                  <c:v>83.874383786744573</c:v>
                </c:pt>
                <c:pt idx="850">
                  <c:v>83.667191300615258</c:v>
                </c:pt>
                <c:pt idx="851">
                  <c:v>83.550152839980086</c:v>
                </c:pt>
                <c:pt idx="852">
                  <c:v>82.84640476528152</c:v>
                </c:pt>
                <c:pt idx="853">
                  <c:v>83.123833667828606</c:v>
                </c:pt>
                <c:pt idx="854">
                  <c:v>82.134691332363332</c:v>
                </c:pt>
                <c:pt idx="855">
                  <c:v>83.976021874780898</c:v>
                </c:pt>
                <c:pt idx="856">
                  <c:v>83.220677336882275</c:v>
                </c:pt>
                <c:pt idx="857">
                  <c:v>83.618393382868362</c:v>
                </c:pt>
                <c:pt idx="858">
                  <c:v>85.213709530240536</c:v>
                </c:pt>
                <c:pt idx="859">
                  <c:v>84.689760459452586</c:v>
                </c:pt>
                <c:pt idx="860">
                  <c:v>84.5941227814955</c:v>
                </c:pt>
                <c:pt idx="861">
                  <c:v>84.732019489491677</c:v>
                </c:pt>
                <c:pt idx="862">
                  <c:v>85.238611713665932</c:v>
                </c:pt>
                <c:pt idx="863">
                  <c:v>86.399789900202606</c:v>
                </c:pt>
                <c:pt idx="864">
                  <c:v>86.398983101540296</c:v>
                </c:pt>
                <c:pt idx="865">
                  <c:v>86.085951768608595</c:v>
                </c:pt>
                <c:pt idx="866">
                  <c:v>84.42094589700875</c:v>
                </c:pt>
                <c:pt idx="867">
                  <c:v>84.381353470810325</c:v>
                </c:pt>
                <c:pt idx="868">
                  <c:v>84.138255860294933</c:v>
                </c:pt>
                <c:pt idx="869">
                  <c:v>82.506610259122169</c:v>
                </c:pt>
                <c:pt idx="870">
                  <c:v>82.37527686952852</c:v>
                </c:pt>
                <c:pt idx="871">
                  <c:v>82.220751167166043</c:v>
                </c:pt>
                <c:pt idx="872">
                  <c:v>80.557704598203784</c:v>
                </c:pt>
                <c:pt idx="873">
                  <c:v>79.846699692060511</c:v>
                </c:pt>
                <c:pt idx="874">
                  <c:v>75.2019983963486</c:v>
                </c:pt>
                <c:pt idx="875">
                  <c:v>75.625038967516673</c:v>
                </c:pt>
                <c:pt idx="876">
                  <c:v>75.97472694945391</c:v>
                </c:pt>
                <c:pt idx="877">
                  <c:v>76.742735183056965</c:v>
                </c:pt>
                <c:pt idx="878">
                  <c:v>73.326695086660237</c:v>
                </c:pt>
                <c:pt idx="879">
                  <c:v>72.319525530534705</c:v>
                </c:pt>
                <c:pt idx="880">
                  <c:v>74.327651515151516</c:v>
                </c:pt>
                <c:pt idx="881">
                  <c:v>76.190937883782567</c:v>
                </c:pt>
                <c:pt idx="882">
                  <c:v>78.452908773344078</c:v>
                </c:pt>
                <c:pt idx="883">
                  <c:v>78.189817724701442</c:v>
                </c:pt>
                <c:pt idx="884">
                  <c:v>75.443993403526576</c:v>
                </c:pt>
                <c:pt idx="885">
                  <c:v>77.092907092907083</c:v>
                </c:pt>
                <c:pt idx="886">
                  <c:v>78.765398489076432</c:v>
                </c:pt>
                <c:pt idx="887">
                  <c:v>77.006771415423046</c:v>
                </c:pt>
                <c:pt idx="888">
                  <c:v>78.925930996714129</c:v>
                </c:pt>
                <c:pt idx="889">
                  <c:v>78.41936029785073</c:v>
                </c:pt>
                <c:pt idx="890">
                  <c:v>78.567823131540877</c:v>
                </c:pt>
                <c:pt idx="891">
                  <c:v>76.078887059810853</c:v>
                </c:pt>
                <c:pt idx="892">
                  <c:v>78.57166919319522</c:v>
                </c:pt>
                <c:pt idx="893">
                  <c:v>79.867713931376613</c:v>
                </c:pt>
                <c:pt idx="894">
                  <c:v>79.096627823038048</c:v>
                </c:pt>
                <c:pt idx="895">
                  <c:v>79.867377631938737</c:v>
                </c:pt>
                <c:pt idx="896">
                  <c:v>78.982203761861342</c:v>
                </c:pt>
                <c:pt idx="897">
                  <c:v>78.676916852114104</c:v>
                </c:pt>
                <c:pt idx="898">
                  <c:v>76.82381168536412</c:v>
                </c:pt>
                <c:pt idx="899">
                  <c:v>76.456506971177177</c:v>
                </c:pt>
                <c:pt idx="900">
                  <c:v>76.246136012364758</c:v>
                </c:pt>
                <c:pt idx="901">
                  <c:v>76.729863932417615</c:v>
                </c:pt>
                <c:pt idx="902">
                  <c:v>76.470588235294116</c:v>
                </c:pt>
                <c:pt idx="903">
                  <c:v>78.513705715024571</c:v>
                </c:pt>
                <c:pt idx="904">
                  <c:v>78.447453747854297</c:v>
                </c:pt>
                <c:pt idx="905">
                  <c:v>80.979030187312773</c:v>
                </c:pt>
                <c:pt idx="906">
                  <c:v>81.273160402329282</c:v>
                </c:pt>
                <c:pt idx="907">
                  <c:v>81.67183929606766</c:v>
                </c:pt>
                <c:pt idx="908">
                  <c:v>82.07357403429819</c:v>
                </c:pt>
                <c:pt idx="909">
                  <c:v>82.402101241642782</c:v>
                </c:pt>
                <c:pt idx="910">
                  <c:v>84.128686327077745</c:v>
                </c:pt>
                <c:pt idx="911">
                  <c:v>85.32979257876984</c:v>
                </c:pt>
                <c:pt idx="912">
                  <c:v>84.280983092208473</c:v>
                </c:pt>
                <c:pt idx="913">
                  <c:v>83.875073091872181</c:v>
                </c:pt>
                <c:pt idx="914">
                  <c:v>85.500052434718782</c:v>
                </c:pt>
                <c:pt idx="915">
                  <c:v>88.221523154583366</c:v>
                </c:pt>
                <c:pt idx="916">
                  <c:v>87.740024139570608</c:v>
                </c:pt>
                <c:pt idx="917">
                  <c:v>88.662307436551046</c:v>
                </c:pt>
                <c:pt idx="918">
                  <c:v>87.632062885371226</c:v>
                </c:pt>
                <c:pt idx="919">
                  <c:v>87.790573683088084</c:v>
                </c:pt>
                <c:pt idx="920">
                  <c:v>88.6194297177246</c:v>
                </c:pt>
                <c:pt idx="921">
                  <c:v>89.0531144198915</c:v>
                </c:pt>
                <c:pt idx="922">
                  <c:v>86.121619728177109</c:v>
                </c:pt>
                <c:pt idx="923">
                  <c:v>85.14945652173914</c:v>
                </c:pt>
                <c:pt idx="924">
                  <c:v>84.834283016959432</c:v>
                </c:pt>
                <c:pt idx="925">
                  <c:v>84.674484431864144</c:v>
                </c:pt>
                <c:pt idx="926">
                  <c:v>85.047113243104334</c:v>
                </c:pt>
                <c:pt idx="927">
                  <c:v>83.574863206765045</c:v>
                </c:pt>
                <c:pt idx="928">
                  <c:v>83.575103734439821</c:v>
                </c:pt>
                <c:pt idx="929">
                  <c:v>85.296523517382411</c:v>
                </c:pt>
                <c:pt idx="930">
                  <c:v>85.047104972005215</c:v>
                </c:pt>
                <c:pt idx="931">
                  <c:v>88.616704480998294</c:v>
                </c:pt>
                <c:pt idx="932">
                  <c:v>88.058126033566722</c:v>
                </c:pt>
                <c:pt idx="933">
                  <c:v>87.006215469613252</c:v>
                </c:pt>
                <c:pt idx="934">
                  <c:v>87.980786087444343</c:v>
                </c:pt>
                <c:pt idx="935">
                  <c:v>88.453166690071612</c:v>
                </c:pt>
                <c:pt idx="936">
                  <c:v>87.486541867815092</c:v>
                </c:pt>
                <c:pt idx="937">
                  <c:v>85.330530249941603</c:v>
                </c:pt>
                <c:pt idx="938">
                  <c:v>83.420458212326551</c:v>
                </c:pt>
                <c:pt idx="939">
                  <c:v>83.313874294609846</c:v>
                </c:pt>
                <c:pt idx="940">
                  <c:v>84.306856132538798</c:v>
                </c:pt>
                <c:pt idx="941">
                  <c:v>82.826635977110712</c:v>
                </c:pt>
                <c:pt idx="942">
                  <c:v>84.9579831932773</c:v>
                </c:pt>
                <c:pt idx="943">
                  <c:v>82.18711276332094</c:v>
                </c:pt>
                <c:pt idx="944">
                  <c:v>83.48603702541574</c:v>
                </c:pt>
                <c:pt idx="945">
                  <c:v>82.944556608168966</c:v>
                </c:pt>
                <c:pt idx="946">
                  <c:v>84.172547523682383</c:v>
                </c:pt>
                <c:pt idx="947">
                  <c:v>84.38346670027093</c:v>
                </c:pt>
                <c:pt idx="948">
                  <c:v>83.273809523809518</c:v>
                </c:pt>
                <c:pt idx="949">
                  <c:v>82.1648595367176</c:v>
                </c:pt>
                <c:pt idx="950">
                  <c:v>82.927134108236473</c:v>
                </c:pt>
                <c:pt idx="951">
                  <c:v>85.735294117647058</c:v>
                </c:pt>
                <c:pt idx="952">
                  <c:v>85.233126834039766</c:v>
                </c:pt>
                <c:pt idx="953">
                  <c:v>84.10371318822024</c:v>
                </c:pt>
                <c:pt idx="954">
                  <c:v>84.739430323157492</c:v>
                </c:pt>
                <c:pt idx="955">
                  <c:v>83.984128983499176</c:v>
                </c:pt>
                <c:pt idx="956">
                  <c:v>83.796209420153886</c:v>
                </c:pt>
                <c:pt idx="957">
                  <c:v>84.833511676213249</c:v>
                </c:pt>
                <c:pt idx="958">
                  <c:v>80.016432889254062</c:v>
                </c:pt>
                <c:pt idx="959">
                  <c:v>78.405296652492808</c:v>
                </c:pt>
                <c:pt idx="960">
                  <c:v>80.294925972989745</c:v>
                </c:pt>
                <c:pt idx="961">
                  <c:v>80.973516792424917</c:v>
                </c:pt>
                <c:pt idx="962">
                  <c:v>80.691744360459992</c:v>
                </c:pt>
                <c:pt idx="963">
                  <c:v>80.392555384570713</c:v>
                </c:pt>
                <c:pt idx="964">
                  <c:v>81.813401881170762</c:v>
                </c:pt>
                <c:pt idx="965">
                  <c:v>83.430947106484993</c:v>
                </c:pt>
                <c:pt idx="966">
                  <c:v>83.815046543567831</c:v>
                </c:pt>
                <c:pt idx="967">
                  <c:v>83.491224873990404</c:v>
                </c:pt>
                <c:pt idx="968">
                  <c:v>85.002382086707968</c:v>
                </c:pt>
                <c:pt idx="969">
                  <c:v>84.521912972854793</c:v>
                </c:pt>
                <c:pt idx="970">
                  <c:v>85.078653146125831</c:v>
                </c:pt>
                <c:pt idx="971">
                  <c:v>84.305353388322828</c:v>
                </c:pt>
                <c:pt idx="972">
                  <c:v>83.93094720446507</c:v>
                </c:pt>
                <c:pt idx="973">
                  <c:v>83.742351256346836</c:v>
                </c:pt>
                <c:pt idx="974">
                  <c:v>83.323241658433972</c:v>
                </c:pt>
                <c:pt idx="975">
                  <c:v>83.744469554699677</c:v>
                </c:pt>
                <c:pt idx="976">
                  <c:v>85.102217657819565</c:v>
                </c:pt>
                <c:pt idx="977">
                  <c:v>86.012411974661561</c:v>
                </c:pt>
                <c:pt idx="978">
                  <c:v>86.146203447822074</c:v>
                </c:pt>
                <c:pt idx="979">
                  <c:v>85.755880524748918</c:v>
                </c:pt>
                <c:pt idx="980">
                  <c:v>87.089147923165342</c:v>
                </c:pt>
                <c:pt idx="981">
                  <c:v>86.087437382083138</c:v>
                </c:pt>
                <c:pt idx="982">
                  <c:v>84.682587762650257</c:v>
                </c:pt>
                <c:pt idx="983">
                  <c:v>83.819920719813751</c:v>
                </c:pt>
                <c:pt idx="984">
                  <c:v>83.936190536840101</c:v>
                </c:pt>
                <c:pt idx="985">
                  <c:v>82.303500507989284</c:v>
                </c:pt>
                <c:pt idx="986">
                  <c:v>82.963326382926525</c:v>
                </c:pt>
                <c:pt idx="987">
                  <c:v>83.523748590927099</c:v>
                </c:pt>
                <c:pt idx="988">
                  <c:v>85.607648815195986</c:v>
                </c:pt>
                <c:pt idx="989">
                  <c:v>85.911986290296511</c:v>
                </c:pt>
                <c:pt idx="990">
                  <c:v>86.037147681517084</c:v>
                </c:pt>
                <c:pt idx="991">
                  <c:v>86.272459980398565</c:v>
                </c:pt>
                <c:pt idx="992">
                  <c:v>88.655146506386174</c:v>
                </c:pt>
                <c:pt idx="993">
                  <c:v>87.009314703925483</c:v>
                </c:pt>
                <c:pt idx="994">
                  <c:v>87.328835086326649</c:v>
                </c:pt>
                <c:pt idx="995">
                  <c:v>89.014687882496943</c:v>
                </c:pt>
                <c:pt idx="996">
                  <c:v>89.264214046822744</c:v>
                </c:pt>
                <c:pt idx="997">
                  <c:v>86.564431219958806</c:v>
                </c:pt>
                <c:pt idx="998">
                  <c:v>86.86045753763932</c:v>
                </c:pt>
                <c:pt idx="999">
                  <c:v>87.077223851417401</c:v>
                </c:pt>
                <c:pt idx="1000">
                  <c:v>86.758020312751896</c:v>
                </c:pt>
                <c:pt idx="1001">
                  <c:v>88.376389851199306</c:v>
                </c:pt>
                <c:pt idx="1002">
                  <c:v>88.37600079074825</c:v>
                </c:pt>
                <c:pt idx="1003">
                  <c:v>86.194538707938221</c:v>
                </c:pt>
                <c:pt idx="1004">
                  <c:v>86.71079590228527</c:v>
                </c:pt>
                <c:pt idx="1005">
                  <c:v>88.442976885953769</c:v>
                </c:pt>
                <c:pt idx="1006">
                  <c:v>89.032463399108849</c:v>
                </c:pt>
                <c:pt idx="1007">
                  <c:v>90.463011200833563</c:v>
                </c:pt>
                <c:pt idx="1008">
                  <c:v>90.889277812634148</c:v>
                </c:pt>
                <c:pt idx="1009">
                  <c:v>90.424321248577471</c:v>
                </c:pt>
                <c:pt idx="1010">
                  <c:v>88.968142272262028</c:v>
                </c:pt>
                <c:pt idx="1011">
                  <c:v>87.563475210045226</c:v>
                </c:pt>
                <c:pt idx="1012">
                  <c:v>87.840496833302581</c:v>
                </c:pt>
                <c:pt idx="1013">
                  <c:v>87.087396281267047</c:v>
                </c:pt>
                <c:pt idx="1014">
                  <c:v>87.730470645317808</c:v>
                </c:pt>
                <c:pt idx="1015">
                  <c:v>88.172010053331704</c:v>
                </c:pt>
                <c:pt idx="1016">
                  <c:v>90.314240866701553</c:v>
                </c:pt>
                <c:pt idx="1017">
                  <c:v>90.730771610667645</c:v>
                </c:pt>
                <c:pt idx="1018">
                  <c:v>89.330486502973926</c:v>
                </c:pt>
                <c:pt idx="1019">
                  <c:v>90.001833404632407</c:v>
                </c:pt>
                <c:pt idx="1020">
                  <c:v>88.36484583345819</c:v>
                </c:pt>
                <c:pt idx="1021">
                  <c:v>88.856943982083948</c:v>
                </c:pt>
                <c:pt idx="1022">
                  <c:v>88.27868362897928</c:v>
                </c:pt>
                <c:pt idx="1023">
                  <c:v>90.031437902511982</c:v>
                </c:pt>
                <c:pt idx="1024">
                  <c:v>90.880660495371529</c:v>
                </c:pt>
                <c:pt idx="1025">
                  <c:v>90.002776149788716</c:v>
                </c:pt>
                <c:pt idx="1026">
                  <c:v>90.186857676736224</c:v>
                </c:pt>
                <c:pt idx="1027">
                  <c:v>89.789538842463628</c:v>
                </c:pt>
                <c:pt idx="1028">
                  <c:v>90.19486736048917</c:v>
                </c:pt>
                <c:pt idx="1029">
                  <c:v>88.308082332347439</c:v>
                </c:pt>
                <c:pt idx="1030">
                  <c:v>87.785710000599906</c:v>
                </c:pt>
                <c:pt idx="1031">
                  <c:v>89.130033814940049</c:v>
                </c:pt>
                <c:pt idx="1032">
                  <c:v>88.119588499713402</c:v>
                </c:pt>
                <c:pt idx="1033">
                  <c:v>87.330705627833922</c:v>
                </c:pt>
                <c:pt idx="1034">
                  <c:v>87.194659826269472</c:v>
                </c:pt>
                <c:pt idx="1035">
                  <c:v>88.437099218841084</c:v>
                </c:pt>
                <c:pt idx="1036">
                  <c:v>88.14119133781378</c:v>
                </c:pt>
                <c:pt idx="1037">
                  <c:v>89.726648150855141</c:v>
                </c:pt>
                <c:pt idx="1038">
                  <c:v>90.356270777558777</c:v>
                </c:pt>
                <c:pt idx="1039">
                  <c:v>91.001494768310906</c:v>
                </c:pt>
                <c:pt idx="1040">
                  <c:v>89.339564412309315</c:v>
                </c:pt>
                <c:pt idx="1041">
                  <c:v>89.190697128090676</c:v>
                </c:pt>
                <c:pt idx="1042">
                  <c:v>88.11918063314711</c:v>
                </c:pt>
                <c:pt idx="1043">
                  <c:v>91.020195891479602</c:v>
                </c:pt>
                <c:pt idx="1044">
                  <c:v>91.69605642834243</c:v>
                </c:pt>
                <c:pt idx="1045">
                  <c:v>91.376623376623371</c:v>
                </c:pt>
                <c:pt idx="1046">
                  <c:v>97.644666875195497</c:v>
                </c:pt>
                <c:pt idx="1047">
                  <c:v>100.44588569112283</c:v>
                </c:pt>
                <c:pt idx="1048">
                  <c:v>100.72761571110961</c:v>
                </c:pt>
                <c:pt idx="1049">
                  <c:v>101.24609567647543</c:v>
                </c:pt>
                <c:pt idx="1050">
                  <c:v>103.30309828017816</c:v>
                </c:pt>
                <c:pt idx="1051">
                  <c:v>100.29844250318649</c:v>
                </c:pt>
                <c:pt idx="1052">
                  <c:v>100.33130012075426</c:v>
                </c:pt>
                <c:pt idx="1053">
                  <c:v>101.4675560946028</c:v>
                </c:pt>
                <c:pt idx="1054">
                  <c:v>105.32578948986809</c:v>
                </c:pt>
                <c:pt idx="1055">
                  <c:v>103.91733779060932</c:v>
                </c:pt>
                <c:pt idx="1056">
                  <c:v>98.193579157599785</c:v>
                </c:pt>
                <c:pt idx="1057">
                  <c:v>99.949258275378327</c:v>
                </c:pt>
                <c:pt idx="1058">
                  <c:v>100.49751243781095</c:v>
                </c:pt>
                <c:pt idx="1059">
                  <c:v>99.282246776066955</c:v>
                </c:pt>
                <c:pt idx="1060">
                  <c:v>101.10576337273058</c:v>
                </c:pt>
                <c:pt idx="1061">
                  <c:v>99.239274384797795</c:v>
                </c:pt>
                <c:pt idx="1062">
                  <c:v>102.30646055305785</c:v>
                </c:pt>
                <c:pt idx="1063">
                  <c:v>102.53737155867111</c:v>
                </c:pt>
                <c:pt idx="1064">
                  <c:v>103.43996828398038</c:v>
                </c:pt>
                <c:pt idx="1065">
                  <c:v>101.35818744826318</c:v>
                </c:pt>
                <c:pt idx="1066">
                  <c:v>98.945561549779299</c:v>
                </c:pt>
                <c:pt idx="1067">
                  <c:v>98.120845921450154</c:v>
                </c:pt>
                <c:pt idx="1068">
                  <c:v>98.270866724201696</c:v>
                </c:pt>
                <c:pt idx="1069">
                  <c:v>98.733170134638925</c:v>
                </c:pt>
                <c:pt idx="1070">
                  <c:v>100.32915987325808</c:v>
                </c:pt>
                <c:pt idx="1071">
                  <c:v>99.855308374027857</c:v>
                </c:pt>
                <c:pt idx="1072">
                  <c:v>99.325328419425787</c:v>
                </c:pt>
                <c:pt idx="1073">
                  <c:v>100.05117553207501</c:v>
                </c:pt>
                <c:pt idx="1074">
                  <c:v>100.32058342015181</c:v>
                </c:pt>
                <c:pt idx="1075">
                  <c:v>99.477650025517093</c:v>
                </c:pt>
                <c:pt idx="1076">
                  <c:v>99.767792521109783</c:v>
                </c:pt>
                <c:pt idx="1077">
                  <c:v>100.04787122640099</c:v>
                </c:pt>
                <c:pt idx="1078">
                  <c:v>97.918948521358146</c:v>
                </c:pt>
                <c:pt idx="1079">
                  <c:v>97.511044379637909</c:v>
                </c:pt>
                <c:pt idx="1080">
                  <c:v>98.106672823828205</c:v>
                </c:pt>
                <c:pt idx="1081">
                  <c:v>94.263371037564582</c:v>
                </c:pt>
                <c:pt idx="1082">
                  <c:v>91.175671268616156</c:v>
                </c:pt>
                <c:pt idx="1083">
                  <c:v>91.245019376671578</c:v>
                </c:pt>
                <c:pt idx="1084">
                  <c:v>92.212018421996078</c:v>
                </c:pt>
                <c:pt idx="1085">
                  <c:v>93.742939798870367</c:v>
                </c:pt>
                <c:pt idx="1086">
                  <c:v>93.758230904302025</c:v>
                </c:pt>
                <c:pt idx="1087">
                  <c:v>91.704126403057785</c:v>
                </c:pt>
                <c:pt idx="1088">
                  <c:v>92.327906157722211</c:v>
                </c:pt>
                <c:pt idx="1089">
                  <c:v>93.508145935330404</c:v>
                </c:pt>
                <c:pt idx="1090">
                  <c:v>92.994593988963899</c:v>
                </c:pt>
                <c:pt idx="1091">
                  <c:v>92.254399334903695</c:v>
                </c:pt>
                <c:pt idx="1092">
                  <c:v>90.701090948662852</c:v>
                </c:pt>
                <c:pt idx="1093">
                  <c:v>91.443658078071437</c:v>
                </c:pt>
                <c:pt idx="1094">
                  <c:v>92.035057834436913</c:v>
                </c:pt>
                <c:pt idx="1095">
                  <c:v>91.477659487570449</c:v>
                </c:pt>
                <c:pt idx="1096">
                  <c:v>90.143997411282484</c:v>
                </c:pt>
                <c:pt idx="1097">
                  <c:v>90.580966832863638</c:v>
                </c:pt>
                <c:pt idx="1098">
                  <c:v>90.258238319410054</c:v>
                </c:pt>
                <c:pt idx="1099">
                  <c:v>90.663390663390658</c:v>
                </c:pt>
                <c:pt idx="1100">
                  <c:v>89.148907653129598</c:v>
                </c:pt>
                <c:pt idx="1101">
                  <c:v>86.704351866191729</c:v>
                </c:pt>
                <c:pt idx="1102">
                  <c:v>87.554447651535028</c:v>
                </c:pt>
                <c:pt idx="1103">
                  <c:v>88.121409270967234</c:v>
                </c:pt>
                <c:pt idx="1104">
                  <c:v>87.337806438138017</c:v>
                </c:pt>
                <c:pt idx="1105">
                  <c:v>88.038338333248589</c:v>
                </c:pt>
                <c:pt idx="1106">
                  <c:v>88.529895082796116</c:v>
                </c:pt>
                <c:pt idx="1107">
                  <c:v>87.464243222033772</c:v>
                </c:pt>
                <c:pt idx="1108">
                  <c:v>87.47450540485417</c:v>
                </c:pt>
                <c:pt idx="1109">
                  <c:v>88.163394054096685</c:v>
                </c:pt>
                <c:pt idx="1110">
                  <c:v>88.404503818797409</c:v>
                </c:pt>
                <c:pt idx="1111">
                  <c:v>88.841781711227128</c:v>
                </c:pt>
                <c:pt idx="1112">
                  <c:v>91.212682501634333</c:v>
                </c:pt>
                <c:pt idx="1113">
                  <c:v>91.79168452636091</c:v>
                </c:pt>
                <c:pt idx="1114">
                  <c:v>90.80982470983264</c:v>
                </c:pt>
                <c:pt idx="1115">
                  <c:v>90.586248746767978</c:v>
                </c:pt>
                <c:pt idx="1116">
                  <c:v>90.189063560871162</c:v>
                </c:pt>
                <c:pt idx="1117">
                  <c:v>90.102416174874961</c:v>
                </c:pt>
                <c:pt idx="1118">
                  <c:v>89.442660912583548</c:v>
                </c:pt>
                <c:pt idx="1119">
                  <c:v>88.293352676027155</c:v>
                </c:pt>
                <c:pt idx="1120">
                  <c:v>88.870209356694417</c:v>
                </c:pt>
                <c:pt idx="1121">
                  <c:v>88.826947855583882</c:v>
                </c:pt>
                <c:pt idx="1122">
                  <c:v>89.968391728276004</c:v>
                </c:pt>
                <c:pt idx="1123">
                  <c:v>89.706933523945665</c:v>
                </c:pt>
                <c:pt idx="1124">
                  <c:v>88.804853068620503</c:v>
                </c:pt>
                <c:pt idx="1125">
                  <c:v>87.191109062508005</c:v>
                </c:pt>
                <c:pt idx="1126">
                  <c:v>87.796175073803113</c:v>
                </c:pt>
                <c:pt idx="1127">
                  <c:v>87.968557968045886</c:v>
                </c:pt>
                <c:pt idx="1128">
                  <c:v>87.507241266403042</c:v>
                </c:pt>
                <c:pt idx="1129">
                  <c:v>86.370567114259018</c:v>
                </c:pt>
                <c:pt idx="1130">
                  <c:v>86.367570686670518</c:v>
                </c:pt>
                <c:pt idx="1131">
                  <c:v>86.436043747028052</c:v>
                </c:pt>
                <c:pt idx="1132">
                  <c:v>87.082598932805368</c:v>
                </c:pt>
                <c:pt idx="1133">
                  <c:v>87.761920672044297</c:v>
                </c:pt>
                <c:pt idx="1134">
                  <c:v>89.068963014924648</c:v>
                </c:pt>
                <c:pt idx="1135">
                  <c:v>88.509615384615387</c:v>
                </c:pt>
                <c:pt idx="1136">
                  <c:v>87.157465183041111</c:v>
                </c:pt>
                <c:pt idx="1137">
                  <c:v>86.564871281597689</c:v>
                </c:pt>
                <c:pt idx="1138">
                  <c:v>86.797772444485858</c:v>
                </c:pt>
                <c:pt idx="1139">
                  <c:v>88.199848168532924</c:v>
                </c:pt>
                <c:pt idx="1140">
                  <c:v>87.333206704971744</c:v>
                </c:pt>
                <c:pt idx="1141">
                  <c:v>85.405503587321775</c:v>
                </c:pt>
                <c:pt idx="1142">
                  <c:v>85.554830434097724</c:v>
                </c:pt>
                <c:pt idx="1143">
                  <c:v>85.265788278055425</c:v>
                </c:pt>
                <c:pt idx="1144">
                  <c:v>83.602252242227323</c:v>
                </c:pt>
                <c:pt idx="1145">
                  <c:v>81.99761783222732</c:v>
                </c:pt>
                <c:pt idx="1146">
                  <c:v>83.044596912521442</c:v>
                </c:pt>
                <c:pt idx="1147">
                  <c:v>81.744583569286263</c:v>
                </c:pt>
                <c:pt idx="1148">
                  <c:v>83.419957299057558</c:v>
                </c:pt>
                <c:pt idx="1149">
                  <c:v>83.685152057245077</c:v>
                </c:pt>
                <c:pt idx="1150">
                  <c:v>81.73245703555537</c:v>
                </c:pt>
                <c:pt idx="1151">
                  <c:v>86.318043980745173</c:v>
                </c:pt>
                <c:pt idx="1152">
                  <c:v>84.081528985967367</c:v>
                </c:pt>
                <c:pt idx="1153">
                  <c:v>81.644344356208762</c:v>
                </c:pt>
                <c:pt idx="1154">
                  <c:v>81.034684106037602</c:v>
                </c:pt>
                <c:pt idx="1155">
                  <c:v>78.835184629240473</c:v>
                </c:pt>
                <c:pt idx="1156">
                  <c:v>85.91330033530258</c:v>
                </c:pt>
                <c:pt idx="1157">
                  <c:v>91.384370283414384</c:v>
                </c:pt>
                <c:pt idx="1158">
                  <c:v>86.178981145529676</c:v>
                </c:pt>
                <c:pt idx="1159">
                  <c:v>83.471583442838366</c:v>
                </c:pt>
                <c:pt idx="1160">
                  <c:v>85.3249907380727</c:v>
                </c:pt>
                <c:pt idx="1161">
                  <c:v>84.639929000084521</c:v>
                </c:pt>
                <c:pt idx="1162">
                  <c:v>82.831381879656874</c:v>
                </c:pt>
                <c:pt idx="1163">
                  <c:v>81.993582359716967</c:v>
                </c:pt>
                <c:pt idx="1164">
                  <c:v>83.386627906976756</c:v>
                </c:pt>
                <c:pt idx="1165">
                  <c:v>84.878729567993915</c:v>
                </c:pt>
                <c:pt idx="1166">
                  <c:v>82.472616717337885</c:v>
                </c:pt>
                <c:pt idx="1167">
                  <c:v>83.272158498435871</c:v>
                </c:pt>
                <c:pt idx="1168">
                  <c:v>82.898863801591091</c:v>
                </c:pt>
                <c:pt idx="1169">
                  <c:v>81.231278574806879</c:v>
                </c:pt>
                <c:pt idx="1170">
                  <c:v>77.002076435265735</c:v>
                </c:pt>
                <c:pt idx="1171">
                  <c:v>79.247696069211969</c:v>
                </c:pt>
                <c:pt idx="1172">
                  <c:v>82.754606794775682</c:v>
                </c:pt>
                <c:pt idx="1173">
                  <c:v>81.348350191009686</c:v>
                </c:pt>
                <c:pt idx="1174">
                  <c:v>80.656388877964361</c:v>
                </c:pt>
                <c:pt idx="1175">
                  <c:v>81.871135762708491</c:v>
                </c:pt>
                <c:pt idx="1176">
                  <c:v>82.056778795103483</c:v>
                </c:pt>
                <c:pt idx="1177">
                  <c:v>80.704404983812424</c:v>
                </c:pt>
                <c:pt idx="1178">
                  <c:v>77.598074878280826</c:v>
                </c:pt>
                <c:pt idx="1179">
                  <c:v>73.514336196490746</c:v>
                </c:pt>
                <c:pt idx="1180">
                  <c:v>72.820809839360848</c:v>
                </c:pt>
                <c:pt idx="1181">
                  <c:v>72.002729443875822</c:v>
                </c:pt>
                <c:pt idx="1182">
                  <c:v>73.620218816858298</c:v>
                </c:pt>
                <c:pt idx="1183">
                  <c:v>71.850710378812252</c:v>
                </c:pt>
                <c:pt idx="1184">
                  <c:v>69.324457593688351</c:v>
                </c:pt>
                <c:pt idx="1185">
                  <c:v>69.412902062953677</c:v>
                </c:pt>
                <c:pt idx="1186">
                  <c:v>65.405932623235074</c:v>
                </c:pt>
                <c:pt idx="1187">
                  <c:v>69.556662957408037</c:v>
                </c:pt>
                <c:pt idx="1188">
                  <c:v>68.461696382041282</c:v>
                </c:pt>
                <c:pt idx="1189">
                  <c:v>64.756879568317373</c:v>
                </c:pt>
                <c:pt idx="1190">
                  <c:v>67.064812401294105</c:v>
                </c:pt>
                <c:pt idx="1191">
                  <c:v>64.669798041162252</c:v>
                </c:pt>
                <c:pt idx="1192">
                  <c:v>62.828064157892513</c:v>
                </c:pt>
                <c:pt idx="1193">
                  <c:v>62.85415358861686</c:v>
                </c:pt>
                <c:pt idx="1194">
                  <c:v>58.649411886626254</c:v>
                </c:pt>
                <c:pt idx="1195">
                  <c:v>55.532026848393848</c:v>
                </c:pt>
                <c:pt idx="1196">
                  <c:v>62.126255258275151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C-47A7-B52B-4F04157B1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4457919"/>
        <c:axId val="842055071"/>
      </c:lineChart>
      <c:catAx>
        <c:axId val="200445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42055071"/>
        <c:crosses val="autoZero"/>
        <c:auto val="1"/>
        <c:lblAlgn val="ctr"/>
        <c:lblOffset val="100"/>
        <c:noMultiLvlLbl val="0"/>
      </c:catAx>
      <c:valAx>
        <c:axId val="8420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4457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 i="1"/>
              <a:t>Figure 6. Gold vs Silver: Maximum</a:t>
            </a:r>
            <a:r>
              <a:rPr lang="es-ES" b="1" i="1" baseline="0"/>
              <a:t> Drawdown (2020-2025)</a:t>
            </a:r>
            <a:endParaRPr lang="es-E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Analysis!$J$1</c:f>
              <c:strCache>
                <c:ptCount val="1"/>
                <c:pt idx="0">
                  <c:v>Gold Drawdown to Date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bg2">
                  <a:lumMod val="50000"/>
                </a:schemeClr>
              </a:solidFill>
            </a:ln>
            <a:effectLst/>
          </c:spPr>
          <c:invertIfNegative val="0"/>
          <c:val>
            <c:numRef>
              <c:f>Analysis!$J$2:$J$1328</c:f>
              <c:numCache>
                <c:formatCode>0.00%</c:formatCode>
                <c:ptCount val="1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-8.9563615575175698E-3</c:v>
                </c:pt>
                <c:pt idx="4">
                  <c:v>-1.2704058946833513E-2</c:v>
                </c:pt>
                <c:pt idx="5">
                  <c:v>-1.5054309851997743E-2</c:v>
                </c:pt>
                <c:pt idx="6">
                  <c:v>-1.8865527536047796E-2</c:v>
                </c:pt>
                <c:pt idx="7">
                  <c:v>-1.2894619831035988E-2</c:v>
                </c:pt>
                <c:pt idx="8">
                  <c:v>-1.5117830146731853E-2</c:v>
                </c:pt>
                <c:pt idx="9">
                  <c:v>-1.0417328336403395E-2</c:v>
                </c:pt>
                <c:pt idx="10">
                  <c:v>-1.1179571873213435E-2</c:v>
                </c:pt>
                <c:pt idx="11">
                  <c:v>-5.653306231340827E-3</c:v>
                </c:pt>
                <c:pt idx="12">
                  <c:v>0</c:v>
                </c:pt>
                <c:pt idx="13">
                  <c:v>-4.8180550272601342E-3</c:v>
                </c:pt>
                <c:pt idx="14">
                  <c:v>-4.4376822619500442E-3</c:v>
                </c:pt>
                <c:pt idx="15">
                  <c:v>0</c:v>
                </c:pt>
                <c:pt idx="16">
                  <c:v>-4.2788824565818994E-3</c:v>
                </c:pt>
                <c:pt idx="17">
                  <c:v>-2.1205638056883996E-2</c:v>
                </c:pt>
                <c:pt idx="18">
                  <c:v>-1.6612131890259306E-2</c:v>
                </c:pt>
                <c:pt idx="19">
                  <c:v>-1.2081550465643119E-2</c:v>
                </c:pt>
                <c:pt idx="20">
                  <c:v>-6.1036999748301313E-3</c:v>
                </c:pt>
                <c:pt idx="21">
                  <c:v>-1.2018625723634619E-2</c:v>
                </c:pt>
                <c:pt idx="22">
                  <c:v>-1.1074754593506252E-2</c:v>
                </c:pt>
                <c:pt idx="23">
                  <c:v>-6.5441731688900646E-3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-1.5865441965883281E-2</c:v>
                </c:pt>
                <c:pt idx="29">
                  <c:v>-1.9980913754026008E-2</c:v>
                </c:pt>
                <c:pt idx="30">
                  <c:v>-2.0338780866038356E-2</c:v>
                </c:pt>
                <c:pt idx="31">
                  <c:v>-4.8789216271024671E-2</c:v>
                </c:pt>
                <c:pt idx="32">
                  <c:v>-1.9205535011332351E-2</c:v>
                </c:pt>
                <c:pt idx="33">
                  <c:v>-2.0040558272694686E-2</c:v>
                </c:pt>
                <c:pt idx="34">
                  <c:v>-5.1294286055110997E-3</c:v>
                </c:pt>
                <c:pt idx="35">
                  <c:v>-5.3680066801852779E-4</c:v>
                </c:pt>
                <c:pt idx="36">
                  <c:v>-9.7220565430036713E-3</c:v>
                </c:pt>
                <c:pt idx="37">
                  <c:v>-2.0458069903375852E-2</c:v>
                </c:pt>
                <c:pt idx="38">
                  <c:v>-5.1473219611117713E-2</c:v>
                </c:pt>
                <c:pt idx="39">
                  <c:v>-0.11338422998926394</c:v>
                </c:pt>
                <c:pt idx="40">
                  <c:v>-8.9943934152451374E-2</c:v>
                </c:pt>
                <c:pt idx="41">
                  <c:v>-0.11851365859477504</c:v>
                </c:pt>
                <c:pt idx="42">
                  <c:v>-0.11767863533341284</c:v>
                </c:pt>
                <c:pt idx="43">
                  <c:v>-6.5012525348920436E-2</c:v>
                </c:pt>
                <c:pt idx="44">
                  <c:v>-9.4238339496599995E-3</c:v>
                </c:pt>
                <c:pt idx="45">
                  <c:v>-2.5766432064893128E-2</c:v>
                </c:pt>
                <c:pt idx="46">
                  <c:v>-1.5149707741858443E-2</c:v>
                </c:pt>
                <c:pt idx="47">
                  <c:v>-1.992126923535719E-2</c:v>
                </c:pt>
                <c:pt idx="48">
                  <c:v>-4.771561493498748E-2</c:v>
                </c:pt>
                <c:pt idx="49">
                  <c:v>-5.0817129905761552E-2</c:v>
                </c:pt>
                <c:pt idx="50">
                  <c:v>-2.3201717762137579E-2</c:v>
                </c:pt>
                <c:pt idx="51">
                  <c:v>0</c:v>
                </c:pt>
                <c:pt idx="52">
                  <c:v>-6.0216069425586194E-3</c:v>
                </c:pt>
                <c:pt idx="53">
                  <c:v>-5.6673947694669911E-3</c:v>
                </c:pt>
                <c:pt idx="54">
                  <c:v>0</c:v>
                </c:pt>
                <c:pt idx="55">
                  <c:v>0</c:v>
                </c:pt>
                <c:pt idx="56">
                  <c:v>-1.6224772457459465E-2</c:v>
                </c:pt>
                <c:pt idx="57">
                  <c:v>-2.1030018655661734E-2</c:v>
                </c:pt>
                <c:pt idx="58">
                  <c:v>-3.2619141839561334E-2</c:v>
                </c:pt>
                <c:pt idx="59">
                  <c:v>-4.5847701961671171E-2</c:v>
                </c:pt>
                <c:pt idx="60">
                  <c:v>-1.7298886313528258E-2</c:v>
                </c:pt>
                <c:pt idx="61">
                  <c:v>-1.3285092430323929E-2</c:v>
                </c:pt>
                <c:pt idx="62">
                  <c:v>-2.5496071004579193E-2</c:v>
                </c:pt>
                <c:pt idx="63">
                  <c:v>-2.640058793600545E-2</c:v>
                </c:pt>
                <c:pt idx="64">
                  <c:v>-3.1375431058850128E-2</c:v>
                </c:pt>
                <c:pt idx="65">
                  <c:v>-4.2229634235965881E-2</c:v>
                </c:pt>
                <c:pt idx="66">
                  <c:v>-3.1431963367064351E-2</c:v>
                </c:pt>
                <c:pt idx="67">
                  <c:v>-3.2958335688846277E-2</c:v>
                </c:pt>
                <c:pt idx="68">
                  <c:v>-4.545197580417213E-2</c:v>
                </c:pt>
                <c:pt idx="69">
                  <c:v>-2.4365424840296305E-2</c:v>
                </c:pt>
                <c:pt idx="70">
                  <c:v>-4.0081406523828418E-2</c:v>
                </c:pt>
                <c:pt idx="71">
                  <c:v>-3.510656340098374E-2</c:v>
                </c:pt>
                <c:pt idx="72">
                  <c:v>-2.9679461812425801E-2</c:v>
                </c:pt>
                <c:pt idx="73">
                  <c:v>-1.5829046299960427E-2</c:v>
                </c:pt>
                <c:pt idx="74">
                  <c:v>-1.9503646333879812E-2</c:v>
                </c:pt>
                <c:pt idx="75">
                  <c:v>-1.3172027813895744E-2</c:v>
                </c:pt>
                <c:pt idx="76">
                  <c:v>-9.4974277799763588E-3</c:v>
                </c:pt>
                <c:pt idx="77">
                  <c:v>-2.6570184860647859E-2</c:v>
                </c:pt>
                <c:pt idx="78">
                  <c:v>-3.5784951099553493E-2</c:v>
                </c:pt>
                <c:pt idx="79">
                  <c:v>-2.3800101758154862E-2</c:v>
                </c:pt>
                <c:pt idx="80">
                  <c:v>-2.2952117134942697E-2</c:v>
                </c:pt>
                <c:pt idx="81">
                  <c:v>-1.0515009327830931E-2</c:v>
                </c:pt>
                <c:pt idx="82">
                  <c:v>-1.9729775566736441E-2</c:v>
                </c:pt>
                <c:pt idx="83">
                  <c:v>-3.6237209565266625E-2</c:v>
                </c:pt>
                <c:pt idx="84">
                  <c:v>-2.3460907908869916E-2</c:v>
                </c:pt>
                <c:pt idx="85">
                  <c:v>-3.6067612640624219E-2</c:v>
                </c:pt>
                <c:pt idx="86">
                  <c:v>-2.6570184860647859E-2</c:v>
                </c:pt>
                <c:pt idx="87">
                  <c:v>-2.7248572559217619E-2</c:v>
                </c:pt>
                <c:pt idx="88">
                  <c:v>-1.6450901690316093E-2</c:v>
                </c:pt>
                <c:pt idx="89">
                  <c:v>-2.3573972525298234E-2</c:v>
                </c:pt>
                <c:pt idx="90">
                  <c:v>-1.8316467861382829E-2</c:v>
                </c:pt>
                <c:pt idx="91">
                  <c:v>-1.882525863531018E-2</c:v>
                </c:pt>
                <c:pt idx="92">
                  <c:v>-2.136921250494668E-2</c:v>
                </c:pt>
                <c:pt idx="93">
                  <c:v>-1.4133077053536094E-3</c:v>
                </c:pt>
                <c:pt idx="94">
                  <c:v>0</c:v>
                </c:pt>
                <c:pt idx="95">
                  <c:v>-3.8720538720539233E-3</c:v>
                </c:pt>
                <c:pt idx="96">
                  <c:v>-6.3973063973064483E-3</c:v>
                </c:pt>
                <c:pt idx="97">
                  <c:v>-4.4893378226709007E-4</c:v>
                </c:pt>
                <c:pt idx="98">
                  <c:v>0</c:v>
                </c:pt>
                <c:pt idx="99">
                  <c:v>-1.1441266314912473E-2</c:v>
                </c:pt>
                <c:pt idx="100">
                  <c:v>-5.8317134129408496E-3</c:v>
                </c:pt>
                <c:pt idx="101">
                  <c:v>-3.8878089419605664E-3</c:v>
                </c:pt>
                <c:pt idx="102">
                  <c:v>0</c:v>
                </c:pt>
                <c:pt idx="103">
                  <c:v>0</c:v>
                </c:pt>
                <c:pt idx="104">
                  <c:v>-9.227727122926483E-3</c:v>
                </c:pt>
                <c:pt idx="105">
                  <c:v>-3.5702515654179941E-3</c:v>
                </c:pt>
                <c:pt idx="106">
                  <c:v>-3.9547401955398326E-3</c:v>
                </c:pt>
                <c:pt idx="107">
                  <c:v>-3.7350324068987999E-3</c:v>
                </c:pt>
                <c:pt idx="108">
                  <c:v>-1.1150170273536172E-2</c:v>
                </c:pt>
                <c:pt idx="109">
                  <c:v>-1.7576623091287587E-3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-1.4351986082922607E-2</c:v>
                </c:pt>
                <c:pt idx="122">
                  <c:v>-5.9485841306659001E-2</c:v>
                </c:pt>
                <c:pt idx="123">
                  <c:v>-5.818111529912056E-2</c:v>
                </c:pt>
                <c:pt idx="124">
                  <c:v>-4.7839953609741949E-2</c:v>
                </c:pt>
                <c:pt idx="125">
                  <c:v>-3.4164492123320789E-2</c:v>
                </c:pt>
                <c:pt idx="126">
                  <c:v>-2.72059534164493E-2</c:v>
                </c:pt>
                <c:pt idx="127">
                  <c:v>-4.7888276795206401E-2</c:v>
                </c:pt>
                <c:pt idx="128">
                  <c:v>-5.9389194935730208E-2</c:v>
                </c:pt>
                <c:pt idx="129">
                  <c:v>-6.2916787474630351E-2</c:v>
                </c:pt>
                <c:pt idx="130">
                  <c:v>-7.0696820334396532E-2</c:v>
                </c:pt>
                <c:pt idx="131">
                  <c:v>-5.6489803807867056E-2</c:v>
                </c:pt>
                <c:pt idx="132">
                  <c:v>-6.6106117715279883E-2</c:v>
                </c:pt>
                <c:pt idx="133">
                  <c:v>-4.3877452401662402E-2</c:v>
                </c:pt>
                <c:pt idx="134">
                  <c:v>-4.3732482845269156E-2</c:v>
                </c:pt>
                <c:pt idx="135">
                  <c:v>-6.0259012274089127E-2</c:v>
                </c:pt>
                <c:pt idx="136">
                  <c:v>-6.3593312071131794E-2</c:v>
                </c:pt>
                <c:pt idx="137">
                  <c:v>-6.0983860056054912E-2</c:v>
                </c:pt>
                <c:pt idx="138">
                  <c:v>-5.533004735672175E-2</c:v>
                </c:pt>
                <c:pt idx="139">
                  <c:v>-5.0787667923069553E-2</c:v>
                </c:pt>
                <c:pt idx="140">
                  <c:v>-5.1077607035855822E-2</c:v>
                </c:pt>
                <c:pt idx="141">
                  <c:v>-4.9869527399246182E-2</c:v>
                </c:pt>
                <c:pt idx="142">
                  <c:v>-4.7791630424277608E-2</c:v>
                </c:pt>
                <c:pt idx="143">
                  <c:v>-5.7746206629941045E-2</c:v>
                </c:pt>
                <c:pt idx="144">
                  <c:v>-7.673721851744475E-2</c:v>
                </c:pt>
                <c:pt idx="145">
                  <c:v>-7.8186914081376332E-2</c:v>
                </c:pt>
                <c:pt idx="146">
                  <c:v>-9.7129602783415481E-2</c:v>
                </c:pt>
                <c:pt idx="147">
                  <c:v>-9.3022132018942688E-2</c:v>
                </c:pt>
                <c:pt idx="148">
                  <c:v>-9.0412680003865917E-2</c:v>
                </c:pt>
                <c:pt idx="149">
                  <c:v>-8.0313134241809234E-2</c:v>
                </c:pt>
                <c:pt idx="150">
                  <c:v>-8.4034019522566963E-2</c:v>
                </c:pt>
                <c:pt idx="151">
                  <c:v>-7.3982796945974746E-2</c:v>
                </c:pt>
                <c:pt idx="152">
                  <c:v>-7.2146515898328101E-2</c:v>
                </c:pt>
                <c:pt idx="153">
                  <c:v>-7.7607035855803683E-2</c:v>
                </c:pt>
                <c:pt idx="154">
                  <c:v>-8.6305209239393124E-2</c:v>
                </c:pt>
                <c:pt idx="155">
                  <c:v>-8.422731226442455E-2</c:v>
                </c:pt>
                <c:pt idx="156">
                  <c:v>-6.7894075577462062E-2</c:v>
                </c:pt>
                <c:pt idx="157">
                  <c:v>-8.4468928191746478E-2</c:v>
                </c:pt>
                <c:pt idx="158">
                  <c:v>-7.8331883637769467E-2</c:v>
                </c:pt>
                <c:pt idx="159">
                  <c:v>-7.755871267033923E-2</c:v>
                </c:pt>
                <c:pt idx="160">
                  <c:v>-7.6205663477336441E-2</c:v>
                </c:pt>
                <c:pt idx="161">
                  <c:v>-7.4417705615154151E-2</c:v>
                </c:pt>
                <c:pt idx="162">
                  <c:v>-6.7604136464675793E-2</c:v>
                </c:pt>
                <c:pt idx="163">
                  <c:v>-7.9636609645307901E-2</c:v>
                </c:pt>
                <c:pt idx="164">
                  <c:v>-7.9105054605199593E-2</c:v>
                </c:pt>
                <c:pt idx="165">
                  <c:v>-7.6109017106407648E-2</c:v>
                </c:pt>
                <c:pt idx="166">
                  <c:v>-9.1910698753261827E-2</c:v>
                </c:pt>
                <c:pt idx="167">
                  <c:v>-9.7322895525273068E-2</c:v>
                </c:pt>
                <c:pt idx="168">
                  <c:v>-8.5483715086498546E-2</c:v>
                </c:pt>
                <c:pt idx="169">
                  <c:v>-7.6833864888373432E-2</c:v>
                </c:pt>
                <c:pt idx="170">
                  <c:v>-8.3695757224316242E-2</c:v>
                </c:pt>
                <c:pt idx="171">
                  <c:v>-5.9244225379337066E-2</c:v>
                </c:pt>
                <c:pt idx="172">
                  <c:v>-0.1038948487484295</c:v>
                </c:pt>
                <c:pt idx="173">
                  <c:v>-9.3263747946264616E-2</c:v>
                </c:pt>
                <c:pt idx="174">
                  <c:v>-0.10041557939499381</c:v>
                </c:pt>
                <c:pt idx="175">
                  <c:v>-9.4761766695660637E-2</c:v>
                </c:pt>
                <c:pt idx="176">
                  <c:v>-8.7754904803324693E-2</c:v>
                </c:pt>
                <c:pt idx="177">
                  <c:v>-8.9059630810863141E-2</c:v>
                </c:pt>
                <c:pt idx="178">
                  <c:v>-9.4471827582874257E-2</c:v>
                </c:pt>
                <c:pt idx="179">
                  <c:v>-0.10046390258045815</c:v>
                </c:pt>
                <c:pt idx="180">
                  <c:v>-0.11191649753551761</c:v>
                </c:pt>
                <c:pt idx="181">
                  <c:v>-0.12795979510969371</c:v>
                </c:pt>
                <c:pt idx="182">
                  <c:v>-0.12752488644051418</c:v>
                </c:pt>
                <c:pt idx="183">
                  <c:v>-0.13941239006475306</c:v>
                </c:pt>
                <c:pt idx="184">
                  <c:v>-0.12104957958828645</c:v>
                </c:pt>
                <c:pt idx="185">
                  <c:v>-0.11558905963081088</c:v>
                </c:pt>
                <c:pt idx="186">
                  <c:v>-0.11032183241519289</c:v>
                </c:pt>
                <c:pt idx="187">
                  <c:v>-9.828935923456078E-2</c:v>
                </c:pt>
                <c:pt idx="188">
                  <c:v>-9.3988595728230401E-2</c:v>
                </c:pt>
                <c:pt idx="189">
                  <c:v>-0.11157823523726688</c:v>
                </c:pt>
                <c:pt idx="190">
                  <c:v>-0.11210979027737508</c:v>
                </c:pt>
                <c:pt idx="191">
                  <c:v>-0.11467091910698761</c:v>
                </c:pt>
                <c:pt idx="192">
                  <c:v>-0.10345994007925008</c:v>
                </c:pt>
                <c:pt idx="193">
                  <c:v>-0.10162365903160345</c:v>
                </c:pt>
                <c:pt idx="194">
                  <c:v>-8.64985019812506E-2</c:v>
                </c:pt>
                <c:pt idx="195">
                  <c:v>-9.0171064076543989E-2</c:v>
                </c:pt>
                <c:pt idx="196">
                  <c:v>-9.621146225959222E-2</c:v>
                </c:pt>
                <c:pt idx="197">
                  <c:v>-9.2442253793370149E-2</c:v>
                </c:pt>
                <c:pt idx="198">
                  <c:v>-9.1330820527689177E-2</c:v>
                </c:pt>
                <c:pt idx="199">
                  <c:v>-9.0122740891079536E-2</c:v>
                </c:pt>
                <c:pt idx="200">
                  <c:v>-8.5048806417319031E-2</c:v>
                </c:pt>
                <c:pt idx="201">
                  <c:v>-5.934087175026586E-2</c:v>
                </c:pt>
                <c:pt idx="202">
                  <c:v>-5.5571663284043685E-2</c:v>
                </c:pt>
                <c:pt idx="203">
                  <c:v>-7.7703682226732476E-2</c:v>
                </c:pt>
                <c:pt idx="204">
                  <c:v>-7.5287522953513181E-2</c:v>
                </c:pt>
                <c:pt idx="205">
                  <c:v>-0.10563448342514745</c:v>
                </c:pt>
                <c:pt idx="206">
                  <c:v>-0.10882381366579687</c:v>
                </c:pt>
                <c:pt idx="207">
                  <c:v>-0.10365323282110757</c:v>
                </c:pt>
                <c:pt idx="208">
                  <c:v>-0.10534454431236107</c:v>
                </c:pt>
                <c:pt idx="209">
                  <c:v>-0.11075674108437229</c:v>
                </c:pt>
                <c:pt idx="210">
                  <c:v>-9.8047743307238852E-2</c:v>
                </c:pt>
                <c:pt idx="211">
                  <c:v>-9.8337682420025121E-2</c:v>
                </c:pt>
                <c:pt idx="212">
                  <c:v>-0.10350826326471443</c:v>
                </c:pt>
                <c:pt idx="213">
                  <c:v>-0.10558616023968299</c:v>
                </c:pt>
                <c:pt idx="214">
                  <c:v>-0.10848555136754615</c:v>
                </c:pt>
                <c:pt idx="215">
                  <c:v>-0.11027350922972844</c:v>
                </c:pt>
                <c:pt idx="216">
                  <c:v>-9.9304146129312834E-2</c:v>
                </c:pt>
                <c:pt idx="217">
                  <c:v>-0.11404271769595051</c:v>
                </c:pt>
                <c:pt idx="218">
                  <c:v>-0.11322122354305604</c:v>
                </c:pt>
                <c:pt idx="219">
                  <c:v>-0.13443510196192135</c:v>
                </c:pt>
                <c:pt idx="220">
                  <c:v>-0.11365613221223544</c:v>
                </c:pt>
                <c:pt idx="221">
                  <c:v>-0.11206146709191074</c:v>
                </c:pt>
                <c:pt idx="222">
                  <c:v>-0.10954866144776265</c:v>
                </c:pt>
                <c:pt idx="223">
                  <c:v>-0.11723204793660004</c:v>
                </c:pt>
                <c:pt idx="224">
                  <c:v>-0.13066589349569926</c:v>
                </c:pt>
                <c:pt idx="225">
                  <c:v>-0.14332656808736838</c:v>
                </c:pt>
                <c:pt idx="226">
                  <c:v>-0.14226345800715187</c:v>
                </c:pt>
                <c:pt idx="227">
                  <c:v>-0.12612351406204697</c:v>
                </c:pt>
                <c:pt idx="228">
                  <c:v>-0.1273315936986566</c:v>
                </c:pt>
                <c:pt idx="229">
                  <c:v>-0.13119744853580748</c:v>
                </c:pt>
                <c:pt idx="230">
                  <c:v>-0.14207016526529428</c:v>
                </c:pt>
                <c:pt idx="231">
                  <c:v>-0.16739151444863248</c:v>
                </c:pt>
                <c:pt idx="232">
                  <c:v>-0.16226925678940765</c:v>
                </c:pt>
                <c:pt idx="233">
                  <c:v>-0.1708707838020683</c:v>
                </c:pt>
                <c:pt idx="234">
                  <c:v>-0.1781675848071905</c:v>
                </c:pt>
                <c:pt idx="235">
                  <c:v>-0.1891369479076061</c:v>
                </c:pt>
                <c:pt idx="236">
                  <c:v>-0.17033922876195998</c:v>
                </c:pt>
                <c:pt idx="237">
                  <c:v>-0.16797139267420513</c:v>
                </c:pt>
                <c:pt idx="238">
                  <c:v>-0.16758480719049007</c:v>
                </c:pt>
                <c:pt idx="239">
                  <c:v>-0.16439547694984055</c:v>
                </c:pt>
                <c:pt idx="240">
                  <c:v>-0.16357398279694596</c:v>
                </c:pt>
                <c:pt idx="241">
                  <c:v>-0.1654102638445927</c:v>
                </c:pt>
                <c:pt idx="242">
                  <c:v>-0.16280081182951583</c:v>
                </c:pt>
                <c:pt idx="243">
                  <c:v>-0.16009471344351028</c:v>
                </c:pt>
                <c:pt idx="244">
                  <c:v>-0.16637672755388044</c:v>
                </c:pt>
                <c:pt idx="245">
                  <c:v>-0.16246254953126513</c:v>
                </c:pt>
                <c:pt idx="246">
                  <c:v>-0.16637672755388044</c:v>
                </c:pt>
                <c:pt idx="247">
                  <c:v>-0.17145066202764095</c:v>
                </c:pt>
                <c:pt idx="248">
                  <c:v>-0.18527109307045525</c:v>
                </c:pt>
                <c:pt idx="249">
                  <c:v>-0.17096743017299709</c:v>
                </c:pt>
                <c:pt idx="250">
                  <c:v>-0.16458876969169814</c:v>
                </c:pt>
                <c:pt idx="251">
                  <c:v>-0.15772687735575533</c:v>
                </c:pt>
                <c:pt idx="252">
                  <c:v>-0.15840340195225677</c:v>
                </c:pt>
                <c:pt idx="253">
                  <c:v>-0.15038175316516866</c:v>
                </c:pt>
                <c:pt idx="254">
                  <c:v>-0.16270416545858704</c:v>
                </c:pt>
                <c:pt idx="255">
                  <c:v>-0.15550401082439363</c:v>
                </c:pt>
                <c:pt idx="256">
                  <c:v>-0.1609645307818692</c:v>
                </c:pt>
                <c:pt idx="257">
                  <c:v>-0.14622595921523152</c:v>
                </c:pt>
                <c:pt idx="258">
                  <c:v>-0.14438967816758488</c:v>
                </c:pt>
                <c:pt idx="259">
                  <c:v>-0.14062046970136272</c:v>
                </c:pt>
                <c:pt idx="260">
                  <c:v>-0.13351696143809808</c:v>
                </c:pt>
                <c:pt idx="261">
                  <c:v>-0.13888083502464485</c:v>
                </c:pt>
                <c:pt idx="262">
                  <c:v>-0.13979897554846824</c:v>
                </c:pt>
                <c:pt idx="263">
                  <c:v>-0.14042717695950524</c:v>
                </c:pt>
                <c:pt idx="264">
                  <c:v>-0.14279501304726006</c:v>
                </c:pt>
                <c:pt idx="265">
                  <c:v>-0.14550111143326575</c:v>
                </c:pt>
                <c:pt idx="266">
                  <c:v>-0.13414516284913508</c:v>
                </c:pt>
                <c:pt idx="267">
                  <c:v>-0.14178022615250802</c:v>
                </c:pt>
                <c:pt idx="268">
                  <c:v>-0.13776940175896402</c:v>
                </c:pt>
                <c:pt idx="269">
                  <c:v>-0.12259592152314683</c:v>
                </c:pt>
                <c:pt idx="270">
                  <c:v>-0.1120131439064464</c:v>
                </c:pt>
                <c:pt idx="271">
                  <c:v>-0.11273799168841218</c:v>
                </c:pt>
                <c:pt idx="272">
                  <c:v>-0.11916497535517548</c:v>
                </c:pt>
                <c:pt idx="273">
                  <c:v>-0.11858509712960283</c:v>
                </c:pt>
                <c:pt idx="274">
                  <c:v>-9.7516188267130655E-2</c:v>
                </c:pt>
                <c:pt idx="275">
                  <c:v>-9.7322895525273068E-2</c:v>
                </c:pt>
                <c:pt idx="276">
                  <c:v>-9.079926548758098E-2</c:v>
                </c:pt>
                <c:pt idx="277">
                  <c:v>-9.0605972745723393E-2</c:v>
                </c:pt>
                <c:pt idx="278">
                  <c:v>-8.9349569923649411E-2</c:v>
                </c:pt>
                <c:pt idx="279">
                  <c:v>-8.2825939885957323E-2</c:v>
                </c:pt>
                <c:pt idx="280">
                  <c:v>-8.0023195129022964E-2</c:v>
                </c:pt>
                <c:pt idx="281">
                  <c:v>-8.2584323958635394E-2</c:v>
                </c:pt>
                <c:pt idx="282">
                  <c:v>-7.9443316903450314E-2</c:v>
                </c:pt>
                <c:pt idx="283">
                  <c:v>-7.7075480815695374E-2</c:v>
                </c:pt>
                <c:pt idx="284">
                  <c:v>-9.4761766695660637E-2</c:v>
                </c:pt>
                <c:pt idx="285">
                  <c:v>-8.243935440224226E-2</c:v>
                </c:pt>
                <c:pt idx="286">
                  <c:v>-8.4565574562675161E-2</c:v>
                </c:pt>
                <c:pt idx="287">
                  <c:v>-8.4034019522566963E-2</c:v>
                </c:pt>
                <c:pt idx="288">
                  <c:v>-8.3599110853387448E-2</c:v>
                </c:pt>
                <c:pt idx="289">
                  <c:v>-9.8337682420025121E-2</c:v>
                </c:pt>
                <c:pt idx="290">
                  <c:v>-0.10292838503914177</c:v>
                </c:pt>
                <c:pt idx="291">
                  <c:v>-0.10051222576592249</c:v>
                </c:pt>
                <c:pt idx="292">
                  <c:v>-0.14236010437808067</c:v>
                </c:pt>
                <c:pt idx="293">
                  <c:v>-0.13844592635546535</c:v>
                </c:pt>
                <c:pt idx="294">
                  <c:v>-0.14110370155600657</c:v>
                </c:pt>
                <c:pt idx="295">
                  <c:v>-0.13820431042814341</c:v>
                </c:pt>
                <c:pt idx="296">
                  <c:v>-0.14144196385425728</c:v>
                </c:pt>
                <c:pt idx="297">
                  <c:v>-0.13950903643568185</c:v>
                </c:pt>
                <c:pt idx="298">
                  <c:v>-0.14777230115009191</c:v>
                </c:pt>
                <c:pt idx="299">
                  <c:v>-0.14390644631294103</c:v>
                </c:pt>
                <c:pt idx="300">
                  <c:v>-0.14139364066879295</c:v>
                </c:pt>
                <c:pt idx="301">
                  <c:v>-0.13298540639798978</c:v>
                </c:pt>
                <c:pt idx="302">
                  <c:v>-0.12916787474630337</c:v>
                </c:pt>
                <c:pt idx="303">
                  <c:v>-0.13008601527012661</c:v>
                </c:pt>
                <c:pt idx="304">
                  <c:v>-0.1273315936986566</c:v>
                </c:pt>
                <c:pt idx="305">
                  <c:v>-0.12539866628008117</c:v>
                </c:pt>
                <c:pt idx="306">
                  <c:v>-0.11810186527495896</c:v>
                </c:pt>
                <c:pt idx="307">
                  <c:v>-0.11616893785638353</c:v>
                </c:pt>
                <c:pt idx="308">
                  <c:v>-0.12573692857833191</c:v>
                </c:pt>
                <c:pt idx="309">
                  <c:v>-0.12467381849811539</c:v>
                </c:pt>
                <c:pt idx="310">
                  <c:v>-0.12853967333526625</c:v>
                </c:pt>
                <c:pt idx="311">
                  <c:v>-0.12757320962597854</c:v>
                </c:pt>
                <c:pt idx="312">
                  <c:v>-0.13056924712477047</c:v>
                </c:pt>
                <c:pt idx="313">
                  <c:v>-0.1302793080119842</c:v>
                </c:pt>
                <c:pt idx="314">
                  <c:v>-0.13032763119744856</c:v>
                </c:pt>
                <c:pt idx="315">
                  <c:v>-0.11288296124480532</c:v>
                </c:pt>
                <c:pt idx="316">
                  <c:v>-0.11945491446796175</c:v>
                </c:pt>
                <c:pt idx="317">
                  <c:v>-0.12336909249057706</c:v>
                </c:pt>
                <c:pt idx="318">
                  <c:v>-0.12317579974871948</c:v>
                </c:pt>
                <c:pt idx="319">
                  <c:v>-0.12588189813472503</c:v>
                </c:pt>
                <c:pt idx="320">
                  <c:v>-0.165700202957379</c:v>
                </c:pt>
                <c:pt idx="321">
                  <c:v>-0.1631873973132309</c:v>
                </c:pt>
                <c:pt idx="322">
                  <c:v>-0.15274958925292362</c:v>
                </c:pt>
                <c:pt idx="323">
                  <c:v>-0.15347443703488939</c:v>
                </c:pt>
                <c:pt idx="324">
                  <c:v>-0.13511162655842279</c:v>
                </c:pt>
                <c:pt idx="325">
                  <c:v>-0.13607809026771051</c:v>
                </c:pt>
                <c:pt idx="326">
                  <c:v>-0.13772107857349955</c:v>
                </c:pt>
                <c:pt idx="327">
                  <c:v>-0.13834927998453667</c:v>
                </c:pt>
                <c:pt idx="328">
                  <c:v>-0.12713830095679912</c:v>
                </c:pt>
                <c:pt idx="329">
                  <c:v>-0.12607519087658262</c:v>
                </c:pt>
                <c:pt idx="330">
                  <c:v>-0.13453174833285014</c:v>
                </c:pt>
                <c:pt idx="331">
                  <c:v>-0.13250217454334592</c:v>
                </c:pt>
                <c:pt idx="332">
                  <c:v>-0.12428723301440033</c:v>
                </c:pt>
                <c:pt idx="333">
                  <c:v>-0.12143616507200163</c:v>
                </c:pt>
                <c:pt idx="334">
                  <c:v>-0.12245095196675369</c:v>
                </c:pt>
                <c:pt idx="335">
                  <c:v>-0.12462549531265105</c:v>
                </c:pt>
                <c:pt idx="336">
                  <c:v>-0.13090750942302121</c:v>
                </c:pt>
                <c:pt idx="337">
                  <c:v>-0.13332366869624049</c:v>
                </c:pt>
                <c:pt idx="338">
                  <c:v>-0.13018266164105541</c:v>
                </c:pt>
                <c:pt idx="339">
                  <c:v>-0.13288876002706099</c:v>
                </c:pt>
                <c:pt idx="340">
                  <c:v>-0.12675171547308406</c:v>
                </c:pt>
                <c:pt idx="341">
                  <c:v>-0.13269546728520351</c:v>
                </c:pt>
                <c:pt idx="342">
                  <c:v>-0.15110660094713446</c:v>
                </c:pt>
                <c:pt idx="343">
                  <c:v>-0.14767565477916311</c:v>
                </c:pt>
                <c:pt idx="344">
                  <c:v>-0.14071711607229151</c:v>
                </c:pt>
                <c:pt idx="345">
                  <c:v>-0.14042717695950524</c:v>
                </c:pt>
                <c:pt idx="346">
                  <c:v>-0.15444090074417713</c:v>
                </c:pt>
                <c:pt idx="347">
                  <c:v>-0.15337779066396059</c:v>
                </c:pt>
                <c:pt idx="348">
                  <c:v>-0.16038465255629655</c:v>
                </c:pt>
                <c:pt idx="349">
                  <c:v>-0.16743983763409684</c:v>
                </c:pt>
                <c:pt idx="350">
                  <c:v>-0.15096163139074131</c:v>
                </c:pt>
                <c:pt idx="351">
                  <c:v>-0.14583937373151645</c:v>
                </c:pt>
                <c:pt idx="352">
                  <c:v>-0.14907702715763022</c:v>
                </c:pt>
                <c:pt idx="353">
                  <c:v>-0.14864211848845083</c:v>
                </c:pt>
                <c:pt idx="354">
                  <c:v>-0.14989852131052481</c:v>
                </c:pt>
                <c:pt idx="355">
                  <c:v>-0.15158983280177832</c:v>
                </c:pt>
                <c:pt idx="356">
                  <c:v>-0.14985019812506045</c:v>
                </c:pt>
                <c:pt idx="357">
                  <c:v>-0.13274379047066784</c:v>
                </c:pt>
                <c:pt idx="358">
                  <c:v>-0.13119744853580748</c:v>
                </c:pt>
                <c:pt idx="359">
                  <c:v>-0.14675751425533973</c:v>
                </c:pt>
                <c:pt idx="360">
                  <c:v>-0.14443800135304924</c:v>
                </c:pt>
                <c:pt idx="361">
                  <c:v>-0.13747946264617764</c:v>
                </c:pt>
                <c:pt idx="362">
                  <c:v>-0.1389291582101092</c:v>
                </c:pt>
                <c:pt idx="363">
                  <c:v>-0.12689668502947721</c:v>
                </c:pt>
                <c:pt idx="364">
                  <c:v>-0.13337199188170484</c:v>
                </c:pt>
                <c:pt idx="365">
                  <c:v>-0.13076253986662806</c:v>
                </c:pt>
                <c:pt idx="366">
                  <c:v>-0.12892625881898143</c:v>
                </c:pt>
                <c:pt idx="367">
                  <c:v>-0.13221223543055965</c:v>
                </c:pt>
                <c:pt idx="368">
                  <c:v>-0.13530491930028027</c:v>
                </c:pt>
                <c:pt idx="369">
                  <c:v>-0.14762733159369865</c:v>
                </c:pt>
                <c:pt idx="370">
                  <c:v>-0.13332366869624049</c:v>
                </c:pt>
                <c:pt idx="371">
                  <c:v>-0.11665216971102739</c:v>
                </c:pt>
                <c:pt idx="372">
                  <c:v>-0.11529912051802461</c:v>
                </c:pt>
                <c:pt idx="373">
                  <c:v>-0.10684256306175709</c:v>
                </c:pt>
                <c:pt idx="374">
                  <c:v>-9.9304146129312834E-2</c:v>
                </c:pt>
                <c:pt idx="375">
                  <c:v>-9.7999420121774511E-2</c:v>
                </c:pt>
                <c:pt idx="376">
                  <c:v>-0.10403981830482274</c:v>
                </c:pt>
                <c:pt idx="377">
                  <c:v>-9.6259785445056562E-2</c:v>
                </c:pt>
                <c:pt idx="378">
                  <c:v>-0.10051222576592249</c:v>
                </c:pt>
                <c:pt idx="379">
                  <c:v>-0.12713830095679912</c:v>
                </c:pt>
                <c:pt idx="380">
                  <c:v>-0.13801101768628593</c:v>
                </c:pt>
                <c:pt idx="381">
                  <c:v>-0.13776940175896402</c:v>
                </c:pt>
                <c:pt idx="382">
                  <c:v>-0.13733449308978449</c:v>
                </c:pt>
                <c:pt idx="383">
                  <c:v>-0.14153861022518607</c:v>
                </c:pt>
                <c:pt idx="384">
                  <c:v>-0.13776940175896402</c:v>
                </c:pt>
                <c:pt idx="385">
                  <c:v>-0.1482072098192713</c:v>
                </c:pt>
                <c:pt idx="386">
                  <c:v>-0.1400889146612545</c:v>
                </c:pt>
                <c:pt idx="387">
                  <c:v>-0.13757610901710643</c:v>
                </c:pt>
                <c:pt idx="388">
                  <c:v>-0.13718952353339137</c:v>
                </c:pt>
                <c:pt idx="389">
                  <c:v>-0.14144196385425728</c:v>
                </c:pt>
                <c:pt idx="390">
                  <c:v>-0.13583647434038859</c:v>
                </c:pt>
                <c:pt idx="391">
                  <c:v>-0.14356818401469032</c:v>
                </c:pt>
                <c:pt idx="392">
                  <c:v>-0.14733739248091238</c:v>
                </c:pt>
                <c:pt idx="393">
                  <c:v>-0.13105247897941433</c:v>
                </c:pt>
                <c:pt idx="394">
                  <c:v>-0.1327921136561323</c:v>
                </c:pt>
                <c:pt idx="395">
                  <c:v>-0.135643181598531</c:v>
                </c:pt>
                <c:pt idx="396">
                  <c:v>-0.1291195515608389</c:v>
                </c:pt>
                <c:pt idx="397">
                  <c:v>-0.12593022132018949</c:v>
                </c:pt>
                <c:pt idx="398">
                  <c:v>-0.12491543442543732</c:v>
                </c:pt>
                <c:pt idx="399">
                  <c:v>-0.12737991688412106</c:v>
                </c:pt>
                <c:pt idx="400">
                  <c:v>-0.12336909249057706</c:v>
                </c:pt>
                <c:pt idx="401">
                  <c:v>-0.13013433845559108</c:v>
                </c:pt>
                <c:pt idx="402">
                  <c:v>-0.12312747656325514</c:v>
                </c:pt>
                <c:pt idx="403">
                  <c:v>-0.11805354208949462</c:v>
                </c:pt>
                <c:pt idx="404">
                  <c:v>-0.13540156567120906</c:v>
                </c:pt>
                <c:pt idx="405">
                  <c:v>-0.13076253986662806</c:v>
                </c:pt>
                <c:pt idx="406">
                  <c:v>-0.12124287233014404</c:v>
                </c:pt>
                <c:pt idx="407">
                  <c:v>-0.11699043200927811</c:v>
                </c:pt>
                <c:pt idx="408">
                  <c:v>-0.11984149995167681</c:v>
                </c:pt>
                <c:pt idx="409">
                  <c:v>-0.12419058664347153</c:v>
                </c:pt>
                <c:pt idx="410">
                  <c:v>-0.10930704552044072</c:v>
                </c:pt>
                <c:pt idx="411">
                  <c:v>-0.1095969846332271</c:v>
                </c:pt>
                <c:pt idx="412">
                  <c:v>-0.11003189330240651</c:v>
                </c:pt>
                <c:pt idx="413">
                  <c:v>-0.10481298927225287</c:v>
                </c:pt>
                <c:pt idx="414">
                  <c:v>-0.11583067555813281</c:v>
                </c:pt>
                <c:pt idx="415">
                  <c:v>-0.13259882091427472</c:v>
                </c:pt>
                <c:pt idx="416">
                  <c:v>-0.13192229631777327</c:v>
                </c:pt>
                <c:pt idx="417">
                  <c:v>-0.12945781385908964</c:v>
                </c:pt>
                <c:pt idx="418">
                  <c:v>-0.1252053735382237</c:v>
                </c:pt>
                <c:pt idx="419">
                  <c:v>-0.12820141103701566</c:v>
                </c:pt>
                <c:pt idx="420">
                  <c:v>-0.11964820720981933</c:v>
                </c:pt>
                <c:pt idx="421">
                  <c:v>-0.11670049289649173</c:v>
                </c:pt>
                <c:pt idx="422">
                  <c:v>-0.11249637576109026</c:v>
                </c:pt>
                <c:pt idx="423">
                  <c:v>-0.11210979027737508</c:v>
                </c:pt>
                <c:pt idx="424">
                  <c:v>-9.6646370928771624E-2</c:v>
                </c:pt>
                <c:pt idx="425">
                  <c:v>-0.10302503141007056</c:v>
                </c:pt>
                <c:pt idx="426">
                  <c:v>-9.5631584034019557E-2</c:v>
                </c:pt>
                <c:pt idx="427">
                  <c:v>-8.0893012467381883E-2</c:v>
                </c:pt>
                <c:pt idx="428">
                  <c:v>-7.8283560452305015E-2</c:v>
                </c:pt>
                <c:pt idx="429">
                  <c:v>-7.6833864888373432E-2</c:v>
                </c:pt>
                <c:pt idx="430">
                  <c:v>-6.9150478399536155E-2</c:v>
                </c:pt>
                <c:pt idx="431">
                  <c:v>-8.1521213878418888E-2</c:v>
                </c:pt>
                <c:pt idx="432">
                  <c:v>-6.0693920943268642E-2</c:v>
                </c:pt>
                <c:pt idx="433">
                  <c:v>-7.1083405818111595E-2</c:v>
                </c:pt>
                <c:pt idx="434">
                  <c:v>-6.4511452594955054E-2</c:v>
                </c:pt>
                <c:pt idx="435">
                  <c:v>-3.5517541316323571E-2</c:v>
                </c:pt>
                <c:pt idx="436">
                  <c:v>-1.2612351406204762E-2</c:v>
                </c:pt>
                <c:pt idx="437">
                  <c:v>-3.9238426597081301E-2</c:v>
                </c:pt>
                <c:pt idx="438">
                  <c:v>-3.3342997970426211E-2</c:v>
                </c:pt>
                <c:pt idx="439">
                  <c:v>-5.2478979414323057E-2</c:v>
                </c:pt>
                <c:pt idx="440">
                  <c:v>-6.7507490093747E-2</c:v>
                </c:pt>
                <c:pt idx="441">
                  <c:v>-7.7413743113946096E-2</c:v>
                </c:pt>
                <c:pt idx="442">
                  <c:v>-6.0983860056054912E-2</c:v>
                </c:pt>
                <c:pt idx="443">
                  <c:v>-6.7604136464675793E-2</c:v>
                </c:pt>
                <c:pt idx="444">
                  <c:v>-7.1469991301826657E-2</c:v>
                </c:pt>
                <c:pt idx="445">
                  <c:v>-6.3834927998453722E-2</c:v>
                </c:pt>
                <c:pt idx="446">
                  <c:v>-5.1802454817821614E-2</c:v>
                </c:pt>
                <c:pt idx="447">
                  <c:v>-6.2626848361844081E-2</c:v>
                </c:pt>
                <c:pt idx="448">
                  <c:v>-7.3161302793080155E-2</c:v>
                </c:pt>
                <c:pt idx="449">
                  <c:v>-6.3013433845559144E-2</c:v>
                </c:pt>
                <c:pt idx="450">
                  <c:v>-5.5764956025901272E-2</c:v>
                </c:pt>
                <c:pt idx="451">
                  <c:v>-6.7072581424567596E-2</c:v>
                </c:pt>
                <c:pt idx="452">
                  <c:v>-7.0213588479752675E-2</c:v>
                </c:pt>
                <c:pt idx="453">
                  <c:v>-7.2339808640185577E-2</c:v>
                </c:pt>
                <c:pt idx="454">
                  <c:v>-6.5091330820527704E-2</c:v>
                </c:pt>
                <c:pt idx="455">
                  <c:v>-6.0065719532231651E-2</c:v>
                </c:pt>
                <c:pt idx="456">
                  <c:v>-4.6486904416739173E-2</c:v>
                </c:pt>
                <c:pt idx="457">
                  <c:v>-4.228278728133758E-2</c:v>
                </c:pt>
                <c:pt idx="458">
                  <c:v>-4.1461293128443114E-2</c:v>
                </c:pt>
                <c:pt idx="459">
                  <c:v>-5.4653522760220417E-2</c:v>
                </c:pt>
                <c:pt idx="460">
                  <c:v>-5.6296511066009469E-2</c:v>
                </c:pt>
                <c:pt idx="461">
                  <c:v>-5.9920749975838405E-2</c:v>
                </c:pt>
                <c:pt idx="462">
                  <c:v>-8.5097129602783483E-2</c:v>
                </c:pt>
                <c:pt idx="463">
                  <c:v>-8.1134628394703825E-2</c:v>
                </c:pt>
                <c:pt idx="464">
                  <c:v>-8.872136851261242E-2</c:v>
                </c:pt>
                <c:pt idx="465">
                  <c:v>-8.6063593312071196E-2</c:v>
                </c:pt>
                <c:pt idx="466">
                  <c:v>-9.944911568570608E-2</c:v>
                </c:pt>
                <c:pt idx="467">
                  <c:v>-9.6066492703199072E-2</c:v>
                </c:pt>
                <c:pt idx="468">
                  <c:v>-9.6936310041558005E-2</c:v>
                </c:pt>
                <c:pt idx="469">
                  <c:v>-9.3602010244515338E-2</c:v>
                </c:pt>
                <c:pt idx="470">
                  <c:v>-0.10186527495892538</c:v>
                </c:pt>
                <c:pt idx="471">
                  <c:v>-0.11037015560065723</c:v>
                </c:pt>
                <c:pt idx="472">
                  <c:v>-0.10423311104668022</c:v>
                </c:pt>
                <c:pt idx="473">
                  <c:v>-0.11829515801681655</c:v>
                </c:pt>
                <c:pt idx="474">
                  <c:v>-0.12341741567604141</c:v>
                </c:pt>
                <c:pt idx="475">
                  <c:v>-0.12104957958828645</c:v>
                </c:pt>
                <c:pt idx="476">
                  <c:v>-0.12249927515221803</c:v>
                </c:pt>
                <c:pt idx="477">
                  <c:v>-0.11027350922972844</c:v>
                </c:pt>
                <c:pt idx="478">
                  <c:v>-0.10708417898907902</c:v>
                </c:pt>
                <c:pt idx="479">
                  <c:v>-9.857929834734705E-2</c:v>
                </c:pt>
                <c:pt idx="480">
                  <c:v>-0.10780902677104481</c:v>
                </c:pt>
                <c:pt idx="481">
                  <c:v>-0.10718082536000781</c:v>
                </c:pt>
                <c:pt idx="482">
                  <c:v>-0.10834058181115301</c:v>
                </c:pt>
                <c:pt idx="483">
                  <c:v>-0.10805064269836674</c:v>
                </c:pt>
                <c:pt idx="484">
                  <c:v>-9.7129602783415481E-2</c:v>
                </c:pt>
                <c:pt idx="485">
                  <c:v>-0.11046680197158602</c:v>
                </c:pt>
                <c:pt idx="486">
                  <c:v>-0.10640765439257757</c:v>
                </c:pt>
                <c:pt idx="487">
                  <c:v>-0.10428143423214467</c:v>
                </c:pt>
                <c:pt idx="488">
                  <c:v>-0.10597274572339817</c:v>
                </c:pt>
                <c:pt idx="489">
                  <c:v>-0.11607229148545474</c:v>
                </c:pt>
                <c:pt idx="490">
                  <c:v>-0.1251087271672949</c:v>
                </c:pt>
                <c:pt idx="491">
                  <c:v>-0.12230598241036054</c:v>
                </c:pt>
                <c:pt idx="492">
                  <c:v>-0.10766405721465168</c:v>
                </c:pt>
                <c:pt idx="493">
                  <c:v>-0.11307625398666279</c:v>
                </c:pt>
                <c:pt idx="494">
                  <c:v>-0.11317290035759159</c:v>
                </c:pt>
                <c:pt idx="495">
                  <c:v>-0.11747366386392197</c:v>
                </c:pt>
                <c:pt idx="496">
                  <c:v>-0.1200347926935344</c:v>
                </c:pt>
                <c:pt idx="497">
                  <c:v>-0.12172610418478789</c:v>
                </c:pt>
                <c:pt idx="498">
                  <c:v>-0.12172610418478789</c:v>
                </c:pt>
                <c:pt idx="499">
                  <c:v>-0.12665506910215527</c:v>
                </c:pt>
                <c:pt idx="500">
                  <c:v>-0.14762733159369865</c:v>
                </c:pt>
                <c:pt idx="501">
                  <c:v>-0.16086788441094041</c:v>
                </c:pt>
                <c:pt idx="502">
                  <c:v>-0.15932154247608005</c:v>
                </c:pt>
                <c:pt idx="503">
                  <c:v>-0.1631873973132309</c:v>
                </c:pt>
                <c:pt idx="504">
                  <c:v>-0.16652169711027356</c:v>
                </c:pt>
                <c:pt idx="505">
                  <c:v>-0.16135111626558427</c:v>
                </c:pt>
                <c:pt idx="506">
                  <c:v>-0.17570310234850686</c:v>
                </c:pt>
                <c:pt idx="507">
                  <c:v>-0.17357688218807385</c:v>
                </c:pt>
                <c:pt idx="508">
                  <c:v>-0.17333526626075194</c:v>
                </c:pt>
                <c:pt idx="509">
                  <c:v>-0.17840920073451244</c:v>
                </c:pt>
                <c:pt idx="510">
                  <c:v>-0.17203054025321349</c:v>
                </c:pt>
                <c:pt idx="511">
                  <c:v>-0.16927611868174358</c:v>
                </c:pt>
                <c:pt idx="512">
                  <c:v>-0.16995264327824491</c:v>
                </c:pt>
                <c:pt idx="513">
                  <c:v>-0.16927611868174358</c:v>
                </c:pt>
                <c:pt idx="514">
                  <c:v>-0.1522180342128153</c:v>
                </c:pt>
                <c:pt idx="515">
                  <c:v>-0.14337489127283273</c:v>
                </c:pt>
                <c:pt idx="516">
                  <c:v>-0.14236010437808067</c:v>
                </c:pt>
                <c:pt idx="517">
                  <c:v>-0.14907702715763022</c:v>
                </c:pt>
                <c:pt idx="518">
                  <c:v>-0.13443510196192135</c:v>
                </c:pt>
                <c:pt idx="519">
                  <c:v>-0.13520827292935159</c:v>
                </c:pt>
                <c:pt idx="520">
                  <c:v>-0.13172900357591577</c:v>
                </c:pt>
                <c:pt idx="521">
                  <c:v>-0.13090750942302121</c:v>
                </c:pt>
                <c:pt idx="522">
                  <c:v>-0.13400019329274193</c:v>
                </c:pt>
                <c:pt idx="523">
                  <c:v>-0.13825263361360787</c:v>
                </c:pt>
                <c:pt idx="524">
                  <c:v>-0.1423117811926162</c:v>
                </c:pt>
                <c:pt idx="525">
                  <c:v>-0.14859379530298636</c:v>
                </c:pt>
                <c:pt idx="526">
                  <c:v>-0.15120324731806326</c:v>
                </c:pt>
                <c:pt idx="527">
                  <c:v>-0.16188267130569248</c:v>
                </c:pt>
                <c:pt idx="528">
                  <c:v>-0.15564898038078676</c:v>
                </c:pt>
                <c:pt idx="529">
                  <c:v>-0.15540736445346484</c:v>
                </c:pt>
                <c:pt idx="530">
                  <c:v>-0.15057504590702625</c:v>
                </c:pt>
                <c:pt idx="531">
                  <c:v>-0.16077123804001162</c:v>
                </c:pt>
                <c:pt idx="532">
                  <c:v>-0.16550691021552141</c:v>
                </c:pt>
                <c:pt idx="533">
                  <c:v>-0.17033922876195998</c:v>
                </c:pt>
                <c:pt idx="534">
                  <c:v>-0.17869913984729882</c:v>
                </c:pt>
                <c:pt idx="535">
                  <c:v>-0.17686285879965208</c:v>
                </c:pt>
                <c:pt idx="536">
                  <c:v>-0.169711027350923</c:v>
                </c:pt>
                <c:pt idx="537">
                  <c:v>-0.17338358944621637</c:v>
                </c:pt>
                <c:pt idx="538">
                  <c:v>-0.16362230598241043</c:v>
                </c:pt>
                <c:pt idx="539">
                  <c:v>-0.17507490093746989</c:v>
                </c:pt>
                <c:pt idx="540">
                  <c:v>-0.17937566444380015</c:v>
                </c:pt>
                <c:pt idx="541">
                  <c:v>-0.19454914467961734</c:v>
                </c:pt>
                <c:pt idx="542">
                  <c:v>-0.19416255919590228</c:v>
                </c:pt>
                <c:pt idx="543">
                  <c:v>-0.19735188943655169</c:v>
                </c:pt>
                <c:pt idx="544">
                  <c:v>-0.1950323765342612</c:v>
                </c:pt>
                <c:pt idx="545">
                  <c:v>-0.19232627814825554</c:v>
                </c:pt>
                <c:pt idx="546">
                  <c:v>-0.21542476080023204</c:v>
                </c:pt>
                <c:pt idx="547">
                  <c:v>-0.2140233884217648</c:v>
                </c:pt>
                <c:pt idx="548">
                  <c:v>-0.19769015173480242</c:v>
                </c:pt>
                <c:pt idx="549">
                  <c:v>-0.1960954866144777</c:v>
                </c:pt>
                <c:pt idx="550">
                  <c:v>-0.17985889629844401</c:v>
                </c:pt>
                <c:pt idx="551">
                  <c:v>-0.16618343481202286</c:v>
                </c:pt>
                <c:pt idx="552">
                  <c:v>-0.17096743017299709</c:v>
                </c:pt>
                <c:pt idx="553">
                  <c:v>-0.17101575335846142</c:v>
                </c:pt>
                <c:pt idx="554">
                  <c:v>-0.19295447955929262</c:v>
                </c:pt>
                <c:pt idx="555">
                  <c:v>-0.18773557552913886</c:v>
                </c:pt>
                <c:pt idx="556">
                  <c:v>-0.19189136947907612</c:v>
                </c:pt>
                <c:pt idx="557">
                  <c:v>-0.19213298540639806</c:v>
                </c:pt>
                <c:pt idx="558">
                  <c:v>-0.19836667633130375</c:v>
                </c:pt>
                <c:pt idx="559">
                  <c:v>-0.2023291775393834</c:v>
                </c:pt>
                <c:pt idx="560">
                  <c:v>-0.21281530878515514</c:v>
                </c:pt>
                <c:pt idx="561">
                  <c:v>-0.21146225959215237</c:v>
                </c:pt>
                <c:pt idx="562">
                  <c:v>-0.2030540253213492</c:v>
                </c:pt>
                <c:pt idx="563">
                  <c:v>-0.20107277471730942</c:v>
                </c:pt>
                <c:pt idx="564">
                  <c:v>-0.19570890113076253</c:v>
                </c:pt>
                <c:pt idx="565">
                  <c:v>-0.19769015173480242</c:v>
                </c:pt>
                <c:pt idx="566">
                  <c:v>-0.20716149608582199</c:v>
                </c:pt>
                <c:pt idx="567">
                  <c:v>-0.20281240939402725</c:v>
                </c:pt>
                <c:pt idx="568">
                  <c:v>-0.20266743983763413</c:v>
                </c:pt>
                <c:pt idx="569">
                  <c:v>-0.21189716826133179</c:v>
                </c:pt>
                <c:pt idx="570">
                  <c:v>-0.18792886827099645</c:v>
                </c:pt>
                <c:pt idx="571">
                  <c:v>-0.17077413743113951</c:v>
                </c:pt>
                <c:pt idx="572">
                  <c:v>-0.17188557069682034</c:v>
                </c:pt>
                <c:pt idx="573">
                  <c:v>-0.15255629651106603</c:v>
                </c:pt>
                <c:pt idx="574">
                  <c:v>-0.14134531748332849</c:v>
                </c:pt>
                <c:pt idx="575">
                  <c:v>-0.14139364066879295</c:v>
                </c:pt>
                <c:pt idx="576">
                  <c:v>-0.14187687252343681</c:v>
                </c:pt>
                <c:pt idx="577">
                  <c:v>-0.14806224026287818</c:v>
                </c:pt>
                <c:pt idx="578">
                  <c:v>-0.15936986566154449</c:v>
                </c:pt>
                <c:pt idx="579">
                  <c:v>-0.15922489610515125</c:v>
                </c:pt>
                <c:pt idx="580">
                  <c:v>-0.15647047453368135</c:v>
                </c:pt>
                <c:pt idx="581">
                  <c:v>-0.15903160336329378</c:v>
                </c:pt>
                <c:pt idx="582">
                  <c:v>-0.15129989368899205</c:v>
                </c:pt>
                <c:pt idx="583">
                  <c:v>-0.15279791243838795</c:v>
                </c:pt>
                <c:pt idx="584">
                  <c:v>-0.12622016043297576</c:v>
                </c:pt>
                <c:pt idx="585">
                  <c:v>-0.14260172030540258</c:v>
                </c:pt>
                <c:pt idx="586">
                  <c:v>-0.14202184207982993</c:v>
                </c:pt>
                <c:pt idx="587">
                  <c:v>-0.13453174833285014</c:v>
                </c:pt>
                <c:pt idx="588">
                  <c:v>-0.13298540639798978</c:v>
                </c:pt>
                <c:pt idx="589">
                  <c:v>-0.13743113946071328</c:v>
                </c:pt>
                <c:pt idx="590">
                  <c:v>-0.12133951870107283</c:v>
                </c:pt>
                <c:pt idx="591">
                  <c:v>-0.12462549531265105</c:v>
                </c:pt>
                <c:pt idx="592">
                  <c:v>-0.13955735962114632</c:v>
                </c:pt>
                <c:pt idx="593">
                  <c:v>-0.13453174833285014</c:v>
                </c:pt>
                <c:pt idx="594">
                  <c:v>-0.1211945491446797</c:v>
                </c:pt>
                <c:pt idx="595">
                  <c:v>-0.12124287233014404</c:v>
                </c:pt>
                <c:pt idx="596">
                  <c:v>-0.1357398279694598</c:v>
                </c:pt>
                <c:pt idx="597">
                  <c:v>-0.12230598241036054</c:v>
                </c:pt>
                <c:pt idx="598">
                  <c:v>-0.12593022132018949</c:v>
                </c:pt>
                <c:pt idx="599">
                  <c:v>-0.1176186334203151</c:v>
                </c:pt>
                <c:pt idx="600">
                  <c:v>-0.10790567314197361</c:v>
                </c:pt>
                <c:pt idx="601">
                  <c:v>-0.10167198221706779</c:v>
                </c:pt>
                <c:pt idx="602">
                  <c:v>-0.11056344834251482</c:v>
                </c:pt>
                <c:pt idx="603">
                  <c:v>-9.2587223349763284E-2</c:v>
                </c:pt>
                <c:pt idx="604">
                  <c:v>-9.3215424760800275E-2</c:v>
                </c:pt>
                <c:pt idx="605">
                  <c:v>-9.2055668309654962E-2</c:v>
                </c:pt>
                <c:pt idx="606">
                  <c:v>-8.243935440224226E-2</c:v>
                </c:pt>
                <c:pt idx="607">
                  <c:v>-7.7075480815695374E-2</c:v>
                </c:pt>
                <c:pt idx="608">
                  <c:v>-7.8476853194162602E-2</c:v>
                </c:pt>
                <c:pt idx="609">
                  <c:v>-7.0310234850681358E-2</c:v>
                </c:pt>
                <c:pt idx="610">
                  <c:v>-6.8039045133855308E-2</c:v>
                </c:pt>
                <c:pt idx="611">
                  <c:v>-6.4753068522276983E-2</c:v>
                </c:pt>
                <c:pt idx="612">
                  <c:v>-6.1273799168841292E-2</c:v>
                </c:pt>
                <c:pt idx="613">
                  <c:v>-6.7362520537353865E-2</c:v>
                </c:pt>
                <c:pt idx="614">
                  <c:v>-6.7265874166425071E-2</c:v>
                </c:pt>
                <c:pt idx="615">
                  <c:v>-6.4173190296704444E-2</c:v>
                </c:pt>
                <c:pt idx="616">
                  <c:v>-6.5284623562385291E-2</c:v>
                </c:pt>
                <c:pt idx="617">
                  <c:v>-7.1131729003575936E-2</c:v>
                </c:pt>
                <c:pt idx="618">
                  <c:v>-9.5776553590412691E-2</c:v>
                </c:pt>
                <c:pt idx="619">
                  <c:v>-9.3215424760800275E-2</c:v>
                </c:pt>
                <c:pt idx="620">
                  <c:v>-9.0461003189330258E-2</c:v>
                </c:pt>
                <c:pt idx="621">
                  <c:v>-9.6356431815985355E-2</c:v>
                </c:pt>
                <c:pt idx="622">
                  <c:v>-0.10355658645017887</c:v>
                </c:pt>
                <c:pt idx="623">
                  <c:v>-0.1026384459263555</c:v>
                </c:pt>
                <c:pt idx="624">
                  <c:v>-0.11230308301923267</c:v>
                </c:pt>
                <c:pt idx="625">
                  <c:v>-0.10921039914951193</c:v>
                </c:pt>
                <c:pt idx="626">
                  <c:v>-0.11365613221223544</c:v>
                </c:pt>
                <c:pt idx="627">
                  <c:v>-0.11409104088141496</c:v>
                </c:pt>
                <c:pt idx="628">
                  <c:v>-0.1210979027737509</c:v>
                </c:pt>
                <c:pt idx="629">
                  <c:v>-0.1181501884604233</c:v>
                </c:pt>
                <c:pt idx="630">
                  <c:v>-0.1124480525756258</c:v>
                </c:pt>
                <c:pt idx="631">
                  <c:v>-0.10824393544022422</c:v>
                </c:pt>
                <c:pt idx="632">
                  <c:v>-0.11061177152797916</c:v>
                </c:pt>
                <c:pt idx="633">
                  <c:v>-0.10379820237750081</c:v>
                </c:pt>
                <c:pt idx="634">
                  <c:v>-0.12051802454817825</c:v>
                </c:pt>
                <c:pt idx="635">
                  <c:v>-0.1211945491446797</c:v>
                </c:pt>
                <c:pt idx="636">
                  <c:v>-0.11346283947037797</c:v>
                </c:pt>
                <c:pt idx="637">
                  <c:v>-7.3886150575045953E-2</c:v>
                </c:pt>
                <c:pt idx="638">
                  <c:v>-7.6592248961051504E-2</c:v>
                </c:pt>
                <c:pt idx="639">
                  <c:v>-6.6734319126316874E-2</c:v>
                </c:pt>
                <c:pt idx="640">
                  <c:v>-7.0745143519860873E-2</c:v>
                </c:pt>
                <c:pt idx="641">
                  <c:v>-4.1847878612158176E-2</c:v>
                </c:pt>
                <c:pt idx="642">
                  <c:v>-6.1998646950807083E-2</c:v>
                </c:pt>
                <c:pt idx="643">
                  <c:v>-5.7891176186334291E-2</c:v>
                </c:pt>
                <c:pt idx="644">
                  <c:v>-3.5517541316323571E-2</c:v>
                </c:pt>
                <c:pt idx="645">
                  <c:v>-5.5861602396830065E-2</c:v>
                </c:pt>
                <c:pt idx="646">
                  <c:v>-4.6341934860346039E-2</c:v>
                </c:pt>
                <c:pt idx="647">
                  <c:v>-4.9531265100995453E-2</c:v>
                </c:pt>
                <c:pt idx="648">
                  <c:v>-3.9093457040688166E-2</c:v>
                </c:pt>
                <c:pt idx="649">
                  <c:v>-3.7740407847685384E-2</c:v>
                </c:pt>
                <c:pt idx="650">
                  <c:v>-1.9329274185754326E-2</c:v>
                </c:pt>
                <c:pt idx="651">
                  <c:v>-2.0585677007828422E-2</c:v>
                </c:pt>
                <c:pt idx="652">
                  <c:v>-3.604909635643188E-2</c:v>
                </c:pt>
                <c:pt idx="653">
                  <c:v>-2.8703972165845214E-2</c:v>
                </c:pt>
                <c:pt idx="654">
                  <c:v>-2.5949550594375204E-2</c:v>
                </c:pt>
                <c:pt idx="655">
                  <c:v>-1.1404271769595117E-2</c:v>
                </c:pt>
                <c:pt idx="656">
                  <c:v>-3.4696047163429097E-2</c:v>
                </c:pt>
                <c:pt idx="657">
                  <c:v>-2.8559002609452079E-2</c:v>
                </c:pt>
                <c:pt idx="658">
                  <c:v>-3.450275442157151E-2</c:v>
                </c:pt>
                <c:pt idx="659">
                  <c:v>-2.8800618536774007E-2</c:v>
                </c:pt>
                <c:pt idx="660">
                  <c:v>-3.8078670145936105E-2</c:v>
                </c:pt>
                <c:pt idx="661">
                  <c:v>-3.5904126800038745E-2</c:v>
                </c:pt>
                <c:pt idx="662">
                  <c:v>-3.9866628008118292E-2</c:v>
                </c:pt>
                <c:pt idx="663">
                  <c:v>-3.4019522566927654E-2</c:v>
                </c:pt>
                <c:pt idx="664">
                  <c:v>-3.7305499178505869E-2</c:v>
                </c:pt>
                <c:pt idx="665">
                  <c:v>-2.2276988499081926E-2</c:v>
                </c:pt>
                <c:pt idx="666">
                  <c:v>-1.5656712090461048E-2</c:v>
                </c:pt>
                <c:pt idx="667">
                  <c:v>-6.6202764086209882E-3</c:v>
                </c:pt>
                <c:pt idx="668">
                  <c:v>-1.7492993138107687E-2</c:v>
                </c:pt>
                <c:pt idx="669">
                  <c:v>-1.2805644148062239E-2</c:v>
                </c:pt>
                <c:pt idx="670">
                  <c:v>-1.5608388904996705E-2</c:v>
                </c:pt>
                <c:pt idx="671">
                  <c:v>-2.3630037692084705E-2</c:v>
                </c:pt>
                <c:pt idx="672">
                  <c:v>-2.2566927611868196E-2</c:v>
                </c:pt>
                <c:pt idx="673">
                  <c:v>-3.6918913694790806E-2</c:v>
                </c:pt>
                <c:pt idx="674">
                  <c:v>-4.0833091717406012E-2</c:v>
                </c:pt>
                <c:pt idx="675">
                  <c:v>-5.2962211268966913E-2</c:v>
                </c:pt>
                <c:pt idx="676">
                  <c:v>-4.4553976998163741E-2</c:v>
                </c:pt>
                <c:pt idx="677">
                  <c:v>-4.5858703005702176E-2</c:v>
                </c:pt>
                <c:pt idx="678">
                  <c:v>-5.0642698366676418E-2</c:v>
                </c:pt>
                <c:pt idx="679">
                  <c:v>-6.0742244128732983E-2</c:v>
                </c:pt>
                <c:pt idx="680">
                  <c:v>-4.8951386875422914E-2</c:v>
                </c:pt>
                <c:pt idx="681">
                  <c:v>-4.6535227602203626E-2</c:v>
                </c:pt>
                <c:pt idx="682">
                  <c:v>-4.0059920749975879E-2</c:v>
                </c:pt>
                <c:pt idx="683">
                  <c:v>-5.011114332656811E-2</c:v>
                </c:pt>
                <c:pt idx="684">
                  <c:v>-4.6631873973132308E-2</c:v>
                </c:pt>
                <c:pt idx="685">
                  <c:v>-5.7746206629941045E-2</c:v>
                </c:pt>
                <c:pt idx="686">
                  <c:v>-4.8081569537063884E-2</c:v>
                </c:pt>
                <c:pt idx="687">
                  <c:v>-5.2430656228858605E-2</c:v>
                </c:pt>
                <c:pt idx="688">
                  <c:v>-5.7746206629941045E-2</c:v>
                </c:pt>
                <c:pt idx="689">
                  <c:v>-5.2817241712573779E-2</c:v>
                </c:pt>
                <c:pt idx="690">
                  <c:v>-5.1995747559679201E-2</c:v>
                </c:pt>
                <c:pt idx="691">
                  <c:v>-6.3061757031023485E-2</c:v>
                </c:pt>
                <c:pt idx="692">
                  <c:v>-6.4414806224026372E-2</c:v>
                </c:pt>
                <c:pt idx="693">
                  <c:v>-7.4610998357011737E-2</c:v>
                </c:pt>
                <c:pt idx="694">
                  <c:v>-6.9730356625108805E-2</c:v>
                </c:pt>
                <c:pt idx="695">
                  <c:v>-7.4562675171547396E-2</c:v>
                </c:pt>
                <c:pt idx="696">
                  <c:v>-7.5384169324441863E-2</c:v>
                </c:pt>
                <c:pt idx="697">
                  <c:v>-7.3209625978544496E-2</c:v>
                </c:pt>
                <c:pt idx="698">
                  <c:v>-6.7604136464675793E-2</c:v>
                </c:pt>
                <c:pt idx="699">
                  <c:v>-6.8763892915821093E-2</c:v>
                </c:pt>
                <c:pt idx="700">
                  <c:v>-7.4417705615154151E-2</c:v>
                </c:pt>
                <c:pt idx="701">
                  <c:v>-6.6879288682710009E-2</c:v>
                </c:pt>
                <c:pt idx="702">
                  <c:v>-6.3931574369382516E-2</c:v>
                </c:pt>
                <c:pt idx="703">
                  <c:v>-5.2044070745143542E-2</c:v>
                </c:pt>
                <c:pt idx="704">
                  <c:v>-5.1029283850391481E-2</c:v>
                </c:pt>
                <c:pt idx="705">
                  <c:v>-5.4605199574755965E-2</c:v>
                </c:pt>
                <c:pt idx="706">
                  <c:v>-4.2814342321445896E-2</c:v>
                </c:pt>
                <c:pt idx="707">
                  <c:v>-4.2814342321445896E-2</c:v>
                </c:pt>
                <c:pt idx="708">
                  <c:v>-4.7598337682420021E-2</c:v>
                </c:pt>
                <c:pt idx="709">
                  <c:v>-5.1802454817821614E-2</c:v>
                </c:pt>
                <c:pt idx="710">
                  <c:v>-5.1077607035855822E-2</c:v>
                </c:pt>
                <c:pt idx="711">
                  <c:v>-4.7984923166135195E-2</c:v>
                </c:pt>
                <c:pt idx="712">
                  <c:v>-5.9775780419445271E-2</c:v>
                </c:pt>
                <c:pt idx="713">
                  <c:v>-4.3394220547018546E-2</c:v>
                </c:pt>
                <c:pt idx="714">
                  <c:v>-5.7842853000869839E-2</c:v>
                </c:pt>
                <c:pt idx="715">
                  <c:v>-5.9630810863052136E-2</c:v>
                </c:pt>
                <c:pt idx="716">
                  <c:v>-6.2578525176379629E-2</c:v>
                </c:pt>
                <c:pt idx="717">
                  <c:v>-6.2191939692664559E-2</c:v>
                </c:pt>
                <c:pt idx="718">
                  <c:v>-6.6975935053638802E-2</c:v>
                </c:pt>
                <c:pt idx="719">
                  <c:v>-7.1276698559969071E-2</c:v>
                </c:pt>
                <c:pt idx="720">
                  <c:v>-7.2146515898328101E-2</c:v>
                </c:pt>
                <c:pt idx="721">
                  <c:v>-7.4321059244225468E-2</c:v>
                </c:pt>
                <c:pt idx="722">
                  <c:v>-7.8525176379626943E-2</c:v>
                </c:pt>
                <c:pt idx="723">
                  <c:v>-8.1762829805740816E-2</c:v>
                </c:pt>
                <c:pt idx="724">
                  <c:v>-8.8044843916110963E-2</c:v>
                </c:pt>
                <c:pt idx="725">
                  <c:v>-8.393737315163817E-2</c:v>
                </c:pt>
                <c:pt idx="726">
                  <c:v>-8.2536000773171053E-2</c:v>
                </c:pt>
                <c:pt idx="727">
                  <c:v>-7.1953223156470514E-2</c:v>
                </c:pt>
                <c:pt idx="728">
                  <c:v>-7.2629747752971957E-2</c:v>
                </c:pt>
                <c:pt idx="729">
                  <c:v>-7.2919686865758226E-2</c:v>
                </c:pt>
                <c:pt idx="730">
                  <c:v>-6.4269836667633126E-2</c:v>
                </c:pt>
                <c:pt idx="731">
                  <c:v>-5.5764956025901272E-2</c:v>
                </c:pt>
                <c:pt idx="732">
                  <c:v>-5.9147579008408273E-2</c:v>
                </c:pt>
                <c:pt idx="733">
                  <c:v>-6.5284623562385291E-2</c:v>
                </c:pt>
                <c:pt idx="734">
                  <c:v>-6.9392094326858084E-2</c:v>
                </c:pt>
                <c:pt idx="735">
                  <c:v>-7.0213588479752675E-2</c:v>
                </c:pt>
                <c:pt idx="736">
                  <c:v>-6.7749106021068928E-2</c:v>
                </c:pt>
                <c:pt idx="737">
                  <c:v>-7.3547888276795231E-2</c:v>
                </c:pt>
                <c:pt idx="738">
                  <c:v>-7.4900937469798007E-2</c:v>
                </c:pt>
                <c:pt idx="739">
                  <c:v>-7.4900937469798007E-2</c:v>
                </c:pt>
                <c:pt idx="740">
                  <c:v>-6.4849714893205776E-2</c:v>
                </c:pt>
                <c:pt idx="741">
                  <c:v>-6.4801391707741435E-2</c:v>
                </c:pt>
                <c:pt idx="742">
                  <c:v>-5.8374408040978147E-2</c:v>
                </c:pt>
                <c:pt idx="743">
                  <c:v>-7.1614960858219792E-2</c:v>
                </c:pt>
                <c:pt idx="744">
                  <c:v>-7.3064656422151361E-2</c:v>
                </c:pt>
                <c:pt idx="745">
                  <c:v>-8.1086305209239484E-2</c:v>
                </c:pt>
                <c:pt idx="746">
                  <c:v>-9.5244998550304494E-2</c:v>
                </c:pt>
                <c:pt idx="747">
                  <c:v>-9.6598047743307283E-2</c:v>
                </c:pt>
                <c:pt idx="748">
                  <c:v>-0.11172320479366002</c:v>
                </c:pt>
                <c:pt idx="749">
                  <c:v>-0.11442930317966568</c:v>
                </c:pt>
                <c:pt idx="750">
                  <c:v>-0.11757031023485076</c:v>
                </c:pt>
                <c:pt idx="751">
                  <c:v>-0.11897168261331789</c:v>
                </c:pt>
                <c:pt idx="752">
                  <c:v>-0.10326664733739249</c:v>
                </c:pt>
                <c:pt idx="753">
                  <c:v>-9.7951096936310059E-2</c:v>
                </c:pt>
                <c:pt idx="754">
                  <c:v>-9.2297284236976904E-2</c:v>
                </c:pt>
                <c:pt idx="755">
                  <c:v>-9.4326858026481122E-2</c:v>
                </c:pt>
                <c:pt idx="756">
                  <c:v>-6.9730356625108805E-2</c:v>
                </c:pt>
                <c:pt idx="757">
                  <c:v>-6.9102155214071703E-2</c:v>
                </c:pt>
                <c:pt idx="758">
                  <c:v>-5.344544312361077E-2</c:v>
                </c:pt>
                <c:pt idx="759">
                  <c:v>-4.7453368126026886E-2</c:v>
                </c:pt>
                <c:pt idx="760">
                  <c:v>-4.4070745143519878E-2</c:v>
                </c:pt>
                <c:pt idx="761">
                  <c:v>-4.4747269740021328E-2</c:v>
                </c:pt>
                <c:pt idx="762">
                  <c:v>-4.0543152604619742E-2</c:v>
                </c:pt>
                <c:pt idx="763">
                  <c:v>-3.9383396153474436E-2</c:v>
                </c:pt>
                <c:pt idx="764">
                  <c:v>-3.0830192326278236E-2</c:v>
                </c:pt>
                <c:pt idx="765">
                  <c:v>-3.6290712283753808E-2</c:v>
                </c:pt>
                <c:pt idx="766">
                  <c:v>-3.9576688895332023E-2</c:v>
                </c:pt>
                <c:pt idx="767">
                  <c:v>-3.6677297767468871E-2</c:v>
                </c:pt>
                <c:pt idx="768">
                  <c:v>-3.9045133855223825E-2</c:v>
                </c:pt>
                <c:pt idx="769">
                  <c:v>-4.6341934860346039E-2</c:v>
                </c:pt>
                <c:pt idx="770">
                  <c:v>-5.3928674978254633E-2</c:v>
                </c:pt>
                <c:pt idx="771">
                  <c:v>-4.8129892722528336E-2</c:v>
                </c:pt>
                <c:pt idx="772">
                  <c:v>-5.760123707354791E-2</c:v>
                </c:pt>
                <c:pt idx="773">
                  <c:v>-4.972455784285304E-2</c:v>
                </c:pt>
                <c:pt idx="774">
                  <c:v>-5.0787667923069553E-2</c:v>
                </c:pt>
                <c:pt idx="775">
                  <c:v>-3.9673335266260816E-2</c:v>
                </c:pt>
                <c:pt idx="776">
                  <c:v>-4.3055958248767824E-2</c:v>
                </c:pt>
                <c:pt idx="777">
                  <c:v>-3.2763119744853665E-2</c:v>
                </c:pt>
                <c:pt idx="778">
                  <c:v>-3.7015560065719599E-2</c:v>
                </c:pt>
                <c:pt idx="779">
                  <c:v>-2.7544215714699911E-2</c:v>
                </c:pt>
                <c:pt idx="780">
                  <c:v>-1.4207016526529472E-2</c:v>
                </c:pt>
                <c:pt idx="781">
                  <c:v>-5.7504590702619554E-3</c:v>
                </c:pt>
                <c:pt idx="782">
                  <c:v>-1.0534454431236195E-2</c:v>
                </c:pt>
                <c:pt idx="783">
                  <c:v>-1.7637962694500822E-2</c:v>
                </c:pt>
                <c:pt idx="784">
                  <c:v>-2.053735382236397E-2</c:v>
                </c:pt>
                <c:pt idx="785">
                  <c:v>-1.4980187493959601E-2</c:v>
                </c:pt>
                <c:pt idx="786">
                  <c:v>-1.5705035275925389E-2</c:v>
                </c:pt>
                <c:pt idx="787">
                  <c:v>-4.1123030830192392E-2</c:v>
                </c:pt>
                <c:pt idx="788">
                  <c:v>-4.1316323572049868E-2</c:v>
                </c:pt>
                <c:pt idx="789">
                  <c:v>-3.9286749782545753E-2</c:v>
                </c:pt>
                <c:pt idx="790">
                  <c:v>-1.6526529428819971E-2</c:v>
                </c:pt>
                <c:pt idx="791">
                  <c:v>-1.8604426403788538E-2</c:v>
                </c:pt>
                <c:pt idx="792">
                  <c:v>-1.2950613704455485E-2</c:v>
                </c:pt>
                <c:pt idx="793">
                  <c:v>-1.5125157050352847E-2</c:v>
                </c:pt>
                <c:pt idx="794">
                  <c:v>-1.333719918817055E-2</c:v>
                </c:pt>
                <c:pt idx="795">
                  <c:v>-4.3490866917947233E-3</c:v>
                </c:pt>
                <c:pt idx="796">
                  <c:v>0</c:v>
                </c:pt>
                <c:pt idx="797">
                  <c:v>0</c:v>
                </c:pt>
                <c:pt idx="798">
                  <c:v>-4.8476121910246747E-3</c:v>
                </c:pt>
                <c:pt idx="799">
                  <c:v>-1.9534437245020419E-2</c:v>
                </c:pt>
                <c:pt idx="800">
                  <c:v>-1.6078713702903768E-2</c:v>
                </c:pt>
                <c:pt idx="801">
                  <c:v>-2.3998080153587713E-2</c:v>
                </c:pt>
                <c:pt idx="802">
                  <c:v>-2.423806095512359E-2</c:v>
                </c:pt>
                <c:pt idx="803">
                  <c:v>-2.6733861291096735E-2</c:v>
                </c:pt>
                <c:pt idx="804">
                  <c:v>-3.0861531077513778E-2</c:v>
                </c:pt>
                <c:pt idx="805">
                  <c:v>-2.5581953443724482E-2</c:v>
                </c:pt>
                <c:pt idx="806">
                  <c:v>-3.6957043436525075E-2</c:v>
                </c:pt>
                <c:pt idx="807">
                  <c:v>-2.9709623230141632E-2</c:v>
                </c:pt>
                <c:pt idx="808">
                  <c:v>-2.9421646268298515E-2</c:v>
                </c:pt>
                <c:pt idx="809">
                  <c:v>-2.7693784497240241E-2</c:v>
                </c:pt>
                <c:pt idx="810">
                  <c:v>-3.2397408207343416E-2</c:v>
                </c:pt>
                <c:pt idx="811">
                  <c:v>-3.1533477321814274E-2</c:v>
                </c:pt>
                <c:pt idx="812">
                  <c:v>-2.788576913846888E-2</c:v>
                </c:pt>
                <c:pt idx="813">
                  <c:v>-2.0350371970242424E-2</c:v>
                </c:pt>
                <c:pt idx="814">
                  <c:v>-1.2526997840172742E-2</c:v>
                </c:pt>
                <c:pt idx="815">
                  <c:v>-1.0703143748500208E-2</c:v>
                </c:pt>
                <c:pt idx="816">
                  <c:v>-2.428605711543072E-2</c:v>
                </c:pt>
                <c:pt idx="817">
                  <c:v>-2.0158387329013677E-2</c:v>
                </c:pt>
                <c:pt idx="818">
                  <c:v>-2.0014398848092176E-2</c:v>
                </c:pt>
                <c:pt idx="819">
                  <c:v>-2.1790256779457687E-2</c:v>
                </c:pt>
                <c:pt idx="820">
                  <c:v>-2.8845692344612386E-2</c:v>
                </c:pt>
                <c:pt idx="821">
                  <c:v>-4.1180705543556496E-2</c:v>
                </c:pt>
                <c:pt idx="822">
                  <c:v>-4.2620590352771756E-2</c:v>
                </c:pt>
                <c:pt idx="823">
                  <c:v>-3.7532997360211207E-2</c:v>
                </c:pt>
                <c:pt idx="824">
                  <c:v>-2.5677945764338853E-2</c:v>
                </c:pt>
                <c:pt idx="825">
                  <c:v>-2.8317734581233503E-2</c:v>
                </c:pt>
                <c:pt idx="826">
                  <c:v>-3.0093592512599014E-2</c:v>
                </c:pt>
                <c:pt idx="827">
                  <c:v>-2.6109911207103476E-2</c:v>
                </c:pt>
                <c:pt idx="828">
                  <c:v>-2.356611471082309E-2</c:v>
                </c:pt>
                <c:pt idx="829">
                  <c:v>-1.9582433405327553E-2</c:v>
                </c:pt>
                <c:pt idx="830">
                  <c:v>-1.3822894168466609E-2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-1.0280544640409395E-2</c:v>
                </c:pt>
                <c:pt idx="837">
                  <c:v>-3.5639221420084655E-3</c:v>
                </c:pt>
                <c:pt idx="838">
                  <c:v>-9.6408663072283241E-3</c:v>
                </c:pt>
                <c:pt idx="839">
                  <c:v>-1.1102988211642021E-2</c:v>
                </c:pt>
                <c:pt idx="840">
                  <c:v>-1.3204788449236997E-2</c:v>
                </c:pt>
                <c:pt idx="841">
                  <c:v>-1.2610801425568816E-2</c:v>
                </c:pt>
                <c:pt idx="842">
                  <c:v>-1.7819610710043366E-3</c:v>
                </c:pt>
                <c:pt idx="843">
                  <c:v>-5.5743397605774554E-3</c:v>
                </c:pt>
                <c:pt idx="844">
                  <c:v>-5.2088092844741352E-3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-2.7786219771632399E-3</c:v>
                </c:pt>
                <c:pt idx="850">
                  <c:v>0</c:v>
                </c:pt>
                <c:pt idx="851">
                  <c:v>0</c:v>
                </c:pt>
                <c:pt idx="852">
                  <c:v>-5.9559261465157833E-3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-8.056773116259729E-3</c:v>
                </c:pt>
                <c:pt idx="857">
                  <c:v>-4.0492590273428584E-3</c:v>
                </c:pt>
                <c:pt idx="858">
                  <c:v>-2.5422667501565473E-2</c:v>
                </c:pt>
                <c:pt idx="859">
                  <c:v>-2.738467960759754E-2</c:v>
                </c:pt>
                <c:pt idx="860">
                  <c:v>-2.9012732206219995E-2</c:v>
                </c:pt>
                <c:pt idx="861">
                  <c:v>-2.7217699853892639E-2</c:v>
                </c:pt>
                <c:pt idx="862">
                  <c:v>-1.5779586725109658E-2</c:v>
                </c:pt>
                <c:pt idx="863">
                  <c:v>-3.8655812982675813E-2</c:v>
                </c:pt>
                <c:pt idx="864">
                  <c:v>-3.5274472970152369E-2</c:v>
                </c:pt>
                <c:pt idx="865">
                  <c:v>-3.5858902108119428E-2</c:v>
                </c:pt>
                <c:pt idx="866">
                  <c:v>-2.6841995408056849E-2</c:v>
                </c:pt>
                <c:pt idx="867">
                  <c:v>-2.9764141097891956E-2</c:v>
                </c:pt>
                <c:pt idx="868">
                  <c:v>-3.0557294927989906E-2</c:v>
                </c:pt>
                <c:pt idx="869">
                  <c:v>-2.3043206011271057E-2</c:v>
                </c:pt>
                <c:pt idx="870">
                  <c:v>-2.1916092673763307E-2</c:v>
                </c:pt>
                <c:pt idx="871">
                  <c:v>-1.4861198079732794E-2</c:v>
                </c:pt>
                <c:pt idx="872">
                  <c:v>-2.5046963055725698E-4</c:v>
                </c:pt>
                <c:pt idx="873">
                  <c:v>-4.1744938426215824E-3</c:v>
                </c:pt>
                <c:pt idx="874">
                  <c:v>0</c:v>
                </c:pt>
                <c:pt idx="875">
                  <c:v>-5.1671109288496655E-3</c:v>
                </c:pt>
                <c:pt idx="876">
                  <c:v>-1.8700020504408412E-2</c:v>
                </c:pt>
                <c:pt idx="877">
                  <c:v>-4.1541931515275861E-2</c:v>
                </c:pt>
                <c:pt idx="878">
                  <c:v>-3.3627229854418697E-2</c:v>
                </c:pt>
                <c:pt idx="879">
                  <c:v>-3.9901578839450558E-2</c:v>
                </c:pt>
                <c:pt idx="880">
                  <c:v>-3.4365388558540162E-2</c:v>
                </c:pt>
                <c:pt idx="881">
                  <c:v>-3.3217141685462373E-2</c:v>
                </c:pt>
                <c:pt idx="882">
                  <c:v>-4.2157063768710347E-2</c:v>
                </c:pt>
                <c:pt idx="883">
                  <c:v>-3.0715603854828827E-2</c:v>
                </c:pt>
                <c:pt idx="884">
                  <c:v>-2.444125486979697E-2</c:v>
                </c:pt>
                <c:pt idx="885">
                  <c:v>-5.060488004921062E-2</c:v>
                </c:pt>
                <c:pt idx="886">
                  <c:v>-5.0809924133688782E-2</c:v>
                </c:pt>
                <c:pt idx="887">
                  <c:v>-3.9286446586016065E-2</c:v>
                </c:pt>
                <c:pt idx="888">
                  <c:v>-5.437769120360874E-2</c:v>
                </c:pt>
                <c:pt idx="889">
                  <c:v>-4.9866721345089154E-2</c:v>
                </c:pt>
                <c:pt idx="890">
                  <c:v>-4.2526143120770889E-2</c:v>
                </c:pt>
                <c:pt idx="891">
                  <c:v>-3.3422185769940535E-2</c:v>
                </c:pt>
                <c:pt idx="892">
                  <c:v>-4.3510354726266111E-2</c:v>
                </c:pt>
                <c:pt idx="893">
                  <c:v>-4.9251589091654668E-2</c:v>
                </c:pt>
                <c:pt idx="894">
                  <c:v>-5.6387123231494772E-2</c:v>
                </c:pt>
                <c:pt idx="895">
                  <c:v>-4.1787984416649618E-2</c:v>
                </c:pt>
                <c:pt idx="896">
                  <c:v>-4.0844781628049991E-2</c:v>
                </c:pt>
                <c:pt idx="897">
                  <c:v>-4.3100266557309787E-2</c:v>
                </c:pt>
                <c:pt idx="898">
                  <c:v>-2.8337092474882062E-2</c:v>
                </c:pt>
                <c:pt idx="899">
                  <c:v>-3.0756612671724422E-2</c:v>
                </c:pt>
                <c:pt idx="900">
                  <c:v>-2.8952224728316552E-2</c:v>
                </c:pt>
                <c:pt idx="901">
                  <c:v>-2.4113184334632019E-2</c:v>
                </c:pt>
                <c:pt idx="902">
                  <c:v>-6.8074636046749678E-3</c:v>
                </c:pt>
                <c:pt idx="903">
                  <c:v>-3.9368464219806882E-3</c:v>
                </c:pt>
                <c:pt idx="904">
                  <c:v>0</c:v>
                </c:pt>
                <c:pt idx="905">
                  <c:v>-3.2012318664397807E-3</c:v>
                </c:pt>
                <c:pt idx="906">
                  <c:v>-4.6194991490396669E-3</c:v>
                </c:pt>
                <c:pt idx="907">
                  <c:v>-2.9621525245157775E-2</c:v>
                </c:pt>
                <c:pt idx="908">
                  <c:v>-2.4515763027798038E-2</c:v>
                </c:pt>
                <c:pt idx="909">
                  <c:v>-2.1111921549558457E-2</c:v>
                </c:pt>
                <c:pt idx="910">
                  <c:v>-4.6316557257476368E-2</c:v>
                </c:pt>
                <c:pt idx="911">
                  <c:v>-3.6469730123997082E-2</c:v>
                </c:pt>
                <c:pt idx="912">
                  <c:v>-2.0342005024718481E-2</c:v>
                </c:pt>
                <c:pt idx="913">
                  <c:v>-1.1872923251479123E-2</c:v>
                </c:pt>
                <c:pt idx="914">
                  <c:v>-8.8743009968393263E-3</c:v>
                </c:pt>
                <c:pt idx="915">
                  <c:v>-2.2692276521598182E-2</c:v>
                </c:pt>
                <c:pt idx="916">
                  <c:v>-2.7919604506037803E-2</c:v>
                </c:pt>
                <c:pt idx="917">
                  <c:v>-2.7473863360077875E-2</c:v>
                </c:pt>
                <c:pt idx="918">
                  <c:v>-1.5195720884998784E-2</c:v>
                </c:pt>
                <c:pt idx="919">
                  <c:v>0</c:v>
                </c:pt>
                <c:pt idx="920">
                  <c:v>0</c:v>
                </c:pt>
                <c:pt idx="921">
                  <c:v>-1.1196895589959283E-2</c:v>
                </c:pt>
                <c:pt idx="922">
                  <c:v>-6.1845668782085699E-3</c:v>
                </c:pt>
                <c:pt idx="923">
                  <c:v>0</c:v>
                </c:pt>
                <c:pt idx="924">
                  <c:v>0</c:v>
                </c:pt>
                <c:pt idx="925">
                  <c:v>-1.311553594849063E-3</c:v>
                </c:pt>
                <c:pt idx="926">
                  <c:v>-1.3512976431779341E-2</c:v>
                </c:pt>
                <c:pt idx="927">
                  <c:v>0</c:v>
                </c:pt>
                <c:pt idx="928">
                  <c:v>-9.9198476311403855E-4</c:v>
                </c:pt>
                <c:pt idx="929">
                  <c:v>-6.9835727323227957E-3</c:v>
                </c:pt>
                <c:pt idx="930">
                  <c:v>0</c:v>
                </c:pt>
                <c:pt idx="931">
                  <c:v>-1.4585879291993536E-2</c:v>
                </c:pt>
                <c:pt idx="932">
                  <c:v>-1.3403240430480547E-2</c:v>
                </c:pt>
                <c:pt idx="933">
                  <c:v>-6.7016202152402737E-3</c:v>
                </c:pt>
                <c:pt idx="934">
                  <c:v>-1.0801434935151826E-2</c:v>
                </c:pt>
                <c:pt idx="935">
                  <c:v>-6.7804628060077338E-3</c:v>
                </c:pt>
                <c:pt idx="936">
                  <c:v>-6.9775692829265662E-3</c:v>
                </c:pt>
                <c:pt idx="937">
                  <c:v>0</c:v>
                </c:pt>
                <c:pt idx="938">
                  <c:v>0</c:v>
                </c:pt>
                <c:pt idx="939">
                  <c:v>-6.3051214606218969E-3</c:v>
                </c:pt>
                <c:pt idx="940">
                  <c:v>-3.9842178554849632E-3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-8.425704014379868E-3</c:v>
                </c:pt>
                <c:pt idx="947">
                  <c:v>0</c:v>
                </c:pt>
                <c:pt idx="948">
                  <c:v>-7.6162030987493336E-3</c:v>
                </c:pt>
                <c:pt idx="949">
                  <c:v>-4.1441105096135557E-3</c:v>
                </c:pt>
                <c:pt idx="950">
                  <c:v>-9.146910584282247E-3</c:v>
                </c:pt>
                <c:pt idx="951">
                  <c:v>-2.0533880903490759E-2</c:v>
                </c:pt>
                <c:pt idx="952">
                  <c:v>-2.4043307821541942E-2</c:v>
                </c:pt>
                <c:pt idx="953">
                  <c:v>-1.9077842075788654E-2</c:v>
                </c:pt>
                <c:pt idx="954">
                  <c:v>-9.2589135710286295E-3</c:v>
                </c:pt>
                <c:pt idx="955">
                  <c:v>-4.2934478252753408E-3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-1.1028608866564819E-2</c:v>
                </c:pt>
                <c:pt idx="961">
                  <c:v>-3.9673873480381783E-3</c:v>
                </c:pt>
                <c:pt idx="962">
                  <c:v>-1.3831258644537315E-3</c:v>
                </c:pt>
                <c:pt idx="963">
                  <c:v>0</c:v>
                </c:pt>
                <c:pt idx="964">
                  <c:v>0</c:v>
                </c:pt>
                <c:pt idx="965">
                  <c:v>-1.8387603541845186E-2</c:v>
                </c:pt>
                <c:pt idx="966">
                  <c:v>-1.9494430162810755E-2</c:v>
                </c:pt>
                <c:pt idx="967">
                  <c:v>-1.8244787203656226E-2</c:v>
                </c:pt>
                <c:pt idx="968">
                  <c:v>-4.4451585261353899E-2</c:v>
                </c:pt>
                <c:pt idx="969">
                  <c:v>-3.3918880319908598E-2</c:v>
                </c:pt>
                <c:pt idx="970">
                  <c:v>-6.5374178806055533E-2</c:v>
                </c:pt>
                <c:pt idx="971">
                  <c:v>-6.9444444444444434E-2</c:v>
                </c:pt>
                <c:pt idx="972">
                  <c:v>-7.6513853184804401E-2</c:v>
                </c:pt>
                <c:pt idx="973">
                  <c:v>-8.1369608683233383E-2</c:v>
                </c:pt>
                <c:pt idx="974">
                  <c:v>-6.6481005427020942E-2</c:v>
                </c:pt>
                <c:pt idx="975">
                  <c:v>-6.0625535561268269E-2</c:v>
                </c:pt>
                <c:pt idx="976">
                  <c:v>-5.3234790059982988E-2</c:v>
                </c:pt>
                <c:pt idx="977">
                  <c:v>-4.4951442445015741E-2</c:v>
                </c:pt>
                <c:pt idx="978">
                  <c:v>-6.5088546129677294E-2</c:v>
                </c:pt>
                <c:pt idx="979">
                  <c:v>-6.408883176235361E-2</c:v>
                </c:pt>
                <c:pt idx="980">
                  <c:v>-5.3020565552699225E-2</c:v>
                </c:pt>
                <c:pt idx="981">
                  <c:v>-5.5091402456441077E-2</c:v>
                </c:pt>
                <c:pt idx="982">
                  <c:v>-5.1735218508997462E-2</c:v>
                </c:pt>
                <c:pt idx="983">
                  <c:v>-4.8736075407026562E-2</c:v>
                </c:pt>
                <c:pt idx="984">
                  <c:v>-5.8804627249357422E-2</c:v>
                </c:pt>
                <c:pt idx="985">
                  <c:v>-4.5522707797772059E-2</c:v>
                </c:pt>
                <c:pt idx="986">
                  <c:v>-3.3990288489003234E-2</c:v>
                </c:pt>
                <c:pt idx="987">
                  <c:v>-2.1172522136532482E-2</c:v>
                </c:pt>
                <c:pt idx="988">
                  <c:v>-3.7739217366466821E-2</c:v>
                </c:pt>
                <c:pt idx="989">
                  <c:v>-5.1342473578977497E-2</c:v>
                </c:pt>
                <c:pt idx="990">
                  <c:v>-5.3984575835475675E-2</c:v>
                </c:pt>
                <c:pt idx="991">
                  <c:v>-5.7126535275635527E-2</c:v>
                </c:pt>
                <c:pt idx="992">
                  <c:v>-7.3121965152813537E-2</c:v>
                </c:pt>
                <c:pt idx="993">
                  <c:v>-6.6159668666095461E-2</c:v>
                </c:pt>
                <c:pt idx="994">
                  <c:v>-5.7305055698371889E-2</c:v>
                </c:pt>
                <c:pt idx="995">
                  <c:v>-6.5231362467866413E-2</c:v>
                </c:pt>
                <c:pt idx="996">
                  <c:v>-4.7057983433304834E-2</c:v>
                </c:pt>
                <c:pt idx="997">
                  <c:v>-5.4770065695515596E-2</c:v>
                </c:pt>
                <c:pt idx="998">
                  <c:v>-4.8343330477006598E-2</c:v>
                </c:pt>
                <c:pt idx="999">
                  <c:v>-4.5844044558697547E-2</c:v>
                </c:pt>
                <c:pt idx="1000">
                  <c:v>-3.9274493001999429E-2</c:v>
                </c:pt>
                <c:pt idx="1001">
                  <c:v>-4.3630391316766735E-2</c:v>
                </c:pt>
                <c:pt idx="1002">
                  <c:v>-4.2309340188517564E-2</c:v>
                </c:pt>
                <c:pt idx="1003">
                  <c:v>-2.9634390174235931E-2</c:v>
                </c:pt>
                <c:pt idx="1004">
                  <c:v>-1.7816338189088864E-2</c:v>
                </c:pt>
                <c:pt idx="1005">
                  <c:v>-5.4270208511854731E-3</c:v>
                </c:pt>
                <c:pt idx="1006">
                  <c:v>-1.2139388746072875E-3</c:v>
                </c:pt>
                <c:pt idx="1007">
                  <c:v>-8.0334190231362464E-3</c:v>
                </c:pt>
                <c:pt idx="1008">
                  <c:v>-1.728077692087978E-2</c:v>
                </c:pt>
                <c:pt idx="1009">
                  <c:v>-7.0694087403599618E-3</c:v>
                </c:pt>
                <c:pt idx="1010">
                  <c:v>-6.8908883176236006E-3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-5.6342896647079786E-3</c:v>
                </c:pt>
                <c:pt idx="1016">
                  <c:v>0</c:v>
                </c:pt>
                <c:pt idx="1017">
                  <c:v>-6.1341330425306083E-4</c:v>
                </c:pt>
                <c:pt idx="1018">
                  <c:v>-1.9424754634679228E-3</c:v>
                </c:pt>
                <c:pt idx="1019">
                  <c:v>0</c:v>
                </c:pt>
                <c:pt idx="1020">
                  <c:v>0</c:v>
                </c:pt>
                <c:pt idx="1021">
                  <c:v>-4.3743641912513025E-3</c:v>
                </c:pt>
                <c:pt idx="1022">
                  <c:v>0</c:v>
                </c:pt>
                <c:pt idx="1023">
                  <c:v>-2.1650147153344243E-3</c:v>
                </c:pt>
                <c:pt idx="1024">
                  <c:v>-1.6948005818477017E-2</c:v>
                </c:pt>
                <c:pt idx="1025">
                  <c:v>-1.2956259937079167E-2</c:v>
                </c:pt>
                <c:pt idx="1026">
                  <c:v>-2.0364669666114076E-2</c:v>
                </c:pt>
                <c:pt idx="1027">
                  <c:v>-1.8605595209904943E-2</c:v>
                </c:pt>
                <c:pt idx="1028">
                  <c:v>-1.2009065999120463E-2</c:v>
                </c:pt>
                <c:pt idx="1029">
                  <c:v>-1.0182334833057038E-2</c:v>
                </c:pt>
                <c:pt idx="1030">
                  <c:v>-9.9793647034944685E-3</c:v>
                </c:pt>
                <c:pt idx="1031">
                  <c:v>-1.9180677243665581E-2</c:v>
                </c:pt>
                <c:pt idx="1032">
                  <c:v>-1.1907580934339102E-2</c:v>
                </c:pt>
                <c:pt idx="1033">
                  <c:v>-3.1460370082201979E-3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-8.8887441799889878E-3</c:v>
                </c:pt>
                <c:pt idx="1040">
                  <c:v>-1.0321362289584303E-2</c:v>
                </c:pt>
                <c:pt idx="1041">
                  <c:v>-1.1070230846872659E-2</c:v>
                </c:pt>
                <c:pt idx="1042">
                  <c:v>0</c:v>
                </c:pt>
                <c:pt idx="1043">
                  <c:v>0</c:v>
                </c:pt>
                <c:pt idx="1044">
                  <c:v>-1.3649493699013368E-3</c:v>
                </c:pt>
                <c:pt idx="1045">
                  <c:v>0</c:v>
                </c:pt>
                <c:pt idx="1046">
                  <c:v>-1.4054702798307121E-2</c:v>
                </c:pt>
                <c:pt idx="1047">
                  <c:v>-6.0830017055144944E-2</c:v>
                </c:pt>
                <c:pt idx="1048">
                  <c:v>-5.5587139157349509E-2</c:v>
                </c:pt>
                <c:pt idx="1049">
                  <c:v>-2.7414566357147285E-2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-1.7224768633404637E-3</c:v>
                </c:pt>
                <c:pt idx="1056">
                  <c:v>-3.8303214316994211E-2</c:v>
                </c:pt>
                <c:pt idx="1057">
                  <c:v>-2.2392199223425766E-2</c:v>
                </c:pt>
                <c:pt idx="1058">
                  <c:v>-2.6946544828190283E-2</c:v>
                </c:pt>
                <c:pt idx="1059">
                  <c:v>-2.677137768954552E-2</c:v>
                </c:pt>
                <c:pt idx="1060">
                  <c:v>-3.1004583540127952E-2</c:v>
                </c:pt>
                <c:pt idx="1061">
                  <c:v>-5.9294076431261597E-2</c:v>
                </c:pt>
                <c:pt idx="1062">
                  <c:v>-3.0070358800688989E-2</c:v>
                </c:pt>
                <c:pt idx="1063">
                  <c:v>-7.2986307768662599E-4</c:v>
                </c:pt>
                <c:pt idx="1064">
                  <c:v>-9.7509707178933501E-3</c:v>
                </c:pt>
                <c:pt idx="1065">
                  <c:v>-3.4829066067205844E-2</c:v>
                </c:pt>
                <c:pt idx="1066">
                  <c:v>-5.760079409102857E-2</c:v>
                </c:pt>
                <c:pt idx="1067">
                  <c:v>-5.182027851575044E-2</c:v>
                </c:pt>
                <c:pt idx="1068">
                  <c:v>-6.9191019764692135E-2</c:v>
                </c:pt>
                <c:pt idx="1069">
                  <c:v>-5.8009517414533113E-2</c:v>
                </c:pt>
                <c:pt idx="1070">
                  <c:v>-4.7849823373135224E-2</c:v>
                </c:pt>
                <c:pt idx="1071">
                  <c:v>-3.290222754211318E-2</c:v>
                </c:pt>
                <c:pt idx="1072">
                  <c:v>-2.4348232271625869E-2</c:v>
                </c:pt>
                <c:pt idx="1073">
                  <c:v>-2.9690830000292025E-2</c:v>
                </c:pt>
                <c:pt idx="1074">
                  <c:v>-1.606574606603807E-2</c:v>
                </c:pt>
                <c:pt idx="1075">
                  <c:v>-3.258108778793109E-2</c:v>
                </c:pt>
                <c:pt idx="1076">
                  <c:v>-3.4157592035734097E-2</c:v>
                </c:pt>
                <c:pt idx="1077">
                  <c:v>-2.3764341809476567E-2</c:v>
                </c:pt>
                <c:pt idx="1078">
                  <c:v>-8.2036609931977825E-3</c:v>
                </c:pt>
                <c:pt idx="1079">
                  <c:v>-1.4071760137798229E-2</c:v>
                </c:pt>
                <c:pt idx="1080">
                  <c:v>-7.6197705310484809E-3</c:v>
                </c:pt>
                <c:pt idx="1081">
                  <c:v>-1.4655650599947528E-2</c:v>
                </c:pt>
                <c:pt idx="1082">
                  <c:v>-2.0552944267655412E-2</c:v>
                </c:pt>
                <c:pt idx="1083">
                  <c:v>-2.3910314425013894E-2</c:v>
                </c:pt>
                <c:pt idx="1084">
                  <c:v>-2.3822730855691577E-2</c:v>
                </c:pt>
                <c:pt idx="1085">
                  <c:v>-6.6855457916095203E-3</c:v>
                </c:pt>
                <c:pt idx="1086">
                  <c:v>-2.3355618485972032E-3</c:v>
                </c:pt>
                <c:pt idx="1087">
                  <c:v>-5.3717922517735935E-3</c:v>
                </c:pt>
                <c:pt idx="1088">
                  <c:v>-5.0214579744840664E-3</c:v>
                </c:pt>
                <c:pt idx="1089">
                  <c:v>-1.3049951829036951E-2</c:v>
                </c:pt>
                <c:pt idx="1090">
                  <c:v>-3.074183283216074E-2</c:v>
                </c:pt>
                <c:pt idx="1091">
                  <c:v>-2.8114325752488886E-2</c:v>
                </c:pt>
                <c:pt idx="1092">
                  <c:v>-2.6683794120223071E-2</c:v>
                </c:pt>
                <c:pt idx="1093">
                  <c:v>-3.4332759174378988E-2</c:v>
                </c:pt>
                <c:pt idx="1094">
                  <c:v>-2.2041864946136105E-2</c:v>
                </c:pt>
                <c:pt idx="1095">
                  <c:v>-1.9151607158497171E-2</c:v>
                </c:pt>
                <c:pt idx="1096">
                  <c:v>-2.4056287040551218E-2</c:v>
                </c:pt>
                <c:pt idx="1097">
                  <c:v>-2.4085481563658657E-2</c:v>
                </c:pt>
                <c:pt idx="1098">
                  <c:v>-3.1646863048492131E-2</c:v>
                </c:pt>
                <c:pt idx="1099">
                  <c:v>-3.0449887601086089E-2</c:v>
                </c:pt>
                <c:pt idx="1100">
                  <c:v>-2.9077745015035284E-2</c:v>
                </c:pt>
                <c:pt idx="1101">
                  <c:v>-1.9326774297141934E-2</c:v>
                </c:pt>
                <c:pt idx="1102">
                  <c:v>-2.5866347473214129E-2</c:v>
                </c:pt>
                <c:pt idx="1103">
                  <c:v>-1.9326774297141934E-2</c:v>
                </c:pt>
                <c:pt idx="1104">
                  <c:v>-2.3355618485972032E-2</c:v>
                </c:pt>
                <c:pt idx="1105">
                  <c:v>0</c:v>
                </c:pt>
                <c:pt idx="1106">
                  <c:v>0</c:v>
                </c:pt>
                <c:pt idx="1107">
                  <c:v>-1.3335998629276449E-2</c:v>
                </c:pt>
                <c:pt idx="1108">
                  <c:v>-2.0189616768519124E-2</c:v>
                </c:pt>
                <c:pt idx="1109">
                  <c:v>-4.2206865040836192E-2</c:v>
                </c:pt>
                <c:pt idx="1110">
                  <c:v>-3.8123250899537379E-2</c:v>
                </c:pt>
                <c:pt idx="1111">
                  <c:v>-4.2549545947798272E-2</c:v>
                </c:pt>
                <c:pt idx="1112">
                  <c:v>-4.3748929122165818E-2</c:v>
                </c:pt>
                <c:pt idx="1113">
                  <c:v>-2.1531783654120763E-2</c:v>
                </c:pt>
                <c:pt idx="1114">
                  <c:v>-1.9161574047632749E-2</c:v>
                </c:pt>
                <c:pt idx="1115">
                  <c:v>-1.9532811696841651E-2</c:v>
                </c:pt>
                <c:pt idx="1116">
                  <c:v>-1.3735793020732297E-2</c:v>
                </c:pt>
                <c:pt idx="1117">
                  <c:v>-2.7728596721686094E-2</c:v>
                </c:pt>
                <c:pt idx="1118">
                  <c:v>-2.9356331029756176E-2</c:v>
                </c:pt>
                <c:pt idx="1119">
                  <c:v>-2.6700554000799587E-2</c:v>
                </c:pt>
                <c:pt idx="1120">
                  <c:v>-3.3868296304757656E-2</c:v>
                </c:pt>
                <c:pt idx="1121">
                  <c:v>-3.5353246901593513E-2</c:v>
                </c:pt>
                <c:pt idx="1122">
                  <c:v>-4.0864698155234552E-2</c:v>
                </c:pt>
                <c:pt idx="1123">
                  <c:v>-3.2354788965674848E-2</c:v>
                </c:pt>
                <c:pt idx="1124">
                  <c:v>-3.4325204180707142E-2</c:v>
                </c:pt>
                <c:pt idx="1125">
                  <c:v>-2.7671483237192325E-2</c:v>
                </c:pt>
                <c:pt idx="1126">
                  <c:v>-2.3330858415672017E-2</c:v>
                </c:pt>
                <c:pt idx="1127">
                  <c:v>-1.8876006625164303E-2</c:v>
                </c:pt>
                <c:pt idx="1128">
                  <c:v>-7.8531041178822314E-3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-7.9218814468436753E-3</c:v>
                </c:pt>
                <c:pt idx="1133">
                  <c:v>0</c:v>
                </c:pt>
                <c:pt idx="1134">
                  <c:v>0</c:v>
                </c:pt>
                <c:pt idx="1135">
                  <c:v>-5.4315354950795208E-5</c:v>
                </c:pt>
                <c:pt idx="1136">
                  <c:v>-2.3355602628862934E-3</c:v>
                </c:pt>
                <c:pt idx="1137">
                  <c:v>0</c:v>
                </c:pt>
                <c:pt idx="1138">
                  <c:v>0</c:v>
                </c:pt>
                <c:pt idx="1139">
                  <c:v>-1.9596789347936234E-3</c:v>
                </c:pt>
                <c:pt idx="1140">
                  <c:v>-1.2563421116211572E-2</c:v>
                </c:pt>
                <c:pt idx="1141">
                  <c:v>0</c:v>
                </c:pt>
                <c:pt idx="1142">
                  <c:v>0</c:v>
                </c:pt>
                <c:pt idx="1143">
                  <c:v>-1.2730811720763872E-2</c:v>
                </c:pt>
                <c:pt idx="1144">
                  <c:v>-1.1915408490714971E-2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-7.5432969852469766E-3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-2.4051099373541357E-2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-5.7416158186906291E-2</c:v>
                </c:pt>
                <c:pt idx="1159">
                  <c:v>-6.7440473459650319E-2</c:v>
                </c:pt>
                <c:pt idx="1160">
                  <c:v>-4.9043446345827246E-2</c:v>
                </c:pt>
                <c:pt idx="1161">
                  <c:v>-8.1180896453640336E-2</c:v>
                </c:pt>
                <c:pt idx="1162">
                  <c:v>-8.9622425104372128E-2</c:v>
                </c:pt>
                <c:pt idx="1163">
                  <c:v>-8.5608111207964369E-2</c:v>
                </c:pt>
                <c:pt idx="1164">
                  <c:v>-7.8795247052346556E-2</c:v>
                </c:pt>
                <c:pt idx="1165">
                  <c:v>-7.9231086846813709E-2</c:v>
                </c:pt>
                <c:pt idx="1166">
                  <c:v>-9.1503417901546008E-2</c:v>
                </c:pt>
                <c:pt idx="1167">
                  <c:v>-8.4071202459053904E-2</c:v>
                </c:pt>
                <c:pt idx="1168">
                  <c:v>-8.4507042253521056E-2</c:v>
                </c:pt>
                <c:pt idx="1169">
                  <c:v>-5.445703537184008E-2</c:v>
                </c:pt>
                <c:pt idx="1170">
                  <c:v>-5.5764554755241426E-2</c:v>
                </c:pt>
                <c:pt idx="1171">
                  <c:v>-3.344496949121422E-2</c:v>
                </c:pt>
                <c:pt idx="1172">
                  <c:v>-3.7826306372436495E-2</c:v>
                </c:pt>
                <c:pt idx="1173">
                  <c:v>-5.7255585631050022E-2</c:v>
                </c:pt>
                <c:pt idx="1174">
                  <c:v>-5.9113639491673128E-2</c:v>
                </c:pt>
                <c:pt idx="1175">
                  <c:v>-5.5328714960774385E-2</c:v>
                </c:pt>
                <c:pt idx="1176">
                  <c:v>-6.0489975684727221E-2</c:v>
                </c:pt>
                <c:pt idx="1177">
                  <c:v>-5.6498600724870236E-2</c:v>
                </c:pt>
                <c:pt idx="1178">
                  <c:v>-4.5786117355599273E-2</c:v>
                </c:pt>
                <c:pt idx="1179">
                  <c:v>-3.6037069321466136E-2</c:v>
                </c:pt>
                <c:pt idx="1180">
                  <c:v>-1.9406340322062544E-2</c:v>
                </c:pt>
                <c:pt idx="1181">
                  <c:v>-3.1793366059549355E-2</c:v>
                </c:pt>
                <c:pt idx="1182">
                  <c:v>-2.9109510483093924E-2</c:v>
                </c:pt>
                <c:pt idx="1183">
                  <c:v>-2.6700922145249266E-2</c:v>
                </c:pt>
                <c:pt idx="1184">
                  <c:v>-3.2504473092627384E-2</c:v>
                </c:pt>
                <c:pt idx="1185">
                  <c:v>-2.8260769830710609E-2</c:v>
                </c:pt>
                <c:pt idx="1186">
                  <c:v>-3.0898747534064283E-2</c:v>
                </c:pt>
                <c:pt idx="1187">
                  <c:v>-1.0643666559618214E-2</c:v>
                </c:pt>
                <c:pt idx="1188">
                  <c:v>-5.5512226453181216E-3</c:v>
                </c:pt>
                <c:pt idx="1189">
                  <c:v>-6.2164518052941816E-3</c:v>
                </c:pt>
                <c:pt idx="1190">
                  <c:v>0</c:v>
                </c:pt>
                <c:pt idx="1191">
                  <c:v>-2.1491117766751955E-3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-4.428492545554942E-2</c:v>
                </c:pt>
                <c:pt idx="1196">
                  <c:v>-3.1187189398122542E-2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3-4FD9-93D6-8FF340F0E4E1}"/>
            </c:ext>
          </c:extLst>
        </c:ser>
        <c:ser>
          <c:idx val="1"/>
          <c:order val="1"/>
          <c:tx>
            <c:strRef>
              <c:f>Analysis!$L$1</c:f>
              <c:strCache>
                <c:ptCount val="1"/>
                <c:pt idx="0">
                  <c:v>Silver Drawdown to Date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Analysis!$L$2:$L$1328</c:f>
              <c:numCache>
                <c:formatCode>0.00%</c:formatCode>
                <c:ptCount val="13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-1.2287283205567285E-2</c:v>
                </c:pt>
                <c:pt idx="4">
                  <c:v>-2.4846408959930448E-2</c:v>
                </c:pt>
                <c:pt idx="5">
                  <c:v>-2.1584298374381666E-2</c:v>
                </c:pt>
                <c:pt idx="6">
                  <c:v>-3.5393899853205013E-2</c:v>
                </c:pt>
                <c:pt idx="7">
                  <c:v>-2.2019246452454799E-2</c:v>
                </c:pt>
                <c:pt idx="8">
                  <c:v>-2.4683303430653E-2</c:v>
                </c:pt>
                <c:pt idx="9">
                  <c:v>-3.1805578209101334E-2</c:v>
                </c:pt>
                <c:pt idx="10">
                  <c:v>-3.0718208013918408E-2</c:v>
                </c:pt>
                <c:pt idx="11">
                  <c:v>-3.0663839504159192E-2</c:v>
                </c:pt>
                <c:pt idx="12">
                  <c:v>-1.8322187788832694E-2</c:v>
                </c:pt>
                <c:pt idx="13">
                  <c:v>-5.0834556624803039E-2</c:v>
                </c:pt>
                <c:pt idx="14">
                  <c:v>-4.925786984178776E-2</c:v>
                </c:pt>
                <c:pt idx="15">
                  <c:v>-1.9627032023052281E-2</c:v>
                </c:pt>
                <c:pt idx="16">
                  <c:v>-3.7024955145979498E-2</c:v>
                </c:pt>
                <c:pt idx="17">
                  <c:v>-4.3114228239003925E-2</c:v>
                </c:pt>
                <c:pt idx="18">
                  <c:v>-4.0776382319360628E-2</c:v>
                </c:pt>
                <c:pt idx="19">
                  <c:v>-2.9141521230903134E-2</c:v>
                </c:pt>
                <c:pt idx="20">
                  <c:v>-3.082694503343664E-2</c:v>
                </c:pt>
                <c:pt idx="21">
                  <c:v>-4.1048224868156305E-2</c:v>
                </c:pt>
                <c:pt idx="22">
                  <c:v>-4.6539444353830346E-2</c:v>
                </c:pt>
                <c:pt idx="23">
                  <c:v>-3.9852117653455144E-2</c:v>
                </c:pt>
                <c:pt idx="24">
                  <c:v>-1.0928070461588675E-2</c:v>
                </c:pt>
                <c:pt idx="25">
                  <c:v>-1.8485293318109563E-3</c:v>
                </c:pt>
                <c:pt idx="26">
                  <c:v>-1.4135812537378243E-3</c:v>
                </c:pt>
                <c:pt idx="27">
                  <c:v>0</c:v>
                </c:pt>
                <c:pt idx="28">
                  <c:v>-3.66749458331131E-2</c:v>
                </c:pt>
                <c:pt idx="29">
                  <c:v>-5.5435184695872726E-2</c:v>
                </c:pt>
                <c:pt idx="30">
                  <c:v>-6.27807430111504E-2</c:v>
                </c:pt>
                <c:pt idx="31">
                  <c:v>-0.11541510331342798</c:v>
                </c:pt>
                <c:pt idx="32">
                  <c:v>-9.1687364582782829E-2</c:v>
                </c:pt>
                <c:pt idx="33">
                  <c:v>-8.8622311472810855E-2</c:v>
                </c:pt>
                <c:pt idx="34">
                  <c:v>-8.0853987211330011E-2</c:v>
                </c:pt>
                <c:pt idx="35">
                  <c:v>-9.8768694181683658E-2</c:v>
                </c:pt>
                <c:pt idx="36">
                  <c:v>-0.1040004227659462</c:v>
                </c:pt>
                <c:pt idx="37">
                  <c:v>-0.11345981081223901</c:v>
                </c:pt>
                <c:pt idx="38">
                  <c:v>-0.15420387887755638</c:v>
                </c:pt>
                <c:pt idx="39">
                  <c:v>-0.3227289541827405</c:v>
                </c:pt>
                <c:pt idx="40">
                  <c:v>-0.33969243777413727</c:v>
                </c:pt>
                <c:pt idx="41">
                  <c:v>-0.37789991016223634</c:v>
                </c:pt>
                <c:pt idx="42">
                  <c:v>-0.35876975109654907</c:v>
                </c:pt>
                <c:pt idx="43">
                  <c:v>-0.29921259842519682</c:v>
                </c:pt>
                <c:pt idx="44">
                  <c:v>-0.24657823812291915</c:v>
                </c:pt>
                <c:pt idx="45">
                  <c:v>-0.21402526026528559</c:v>
                </c:pt>
                <c:pt idx="46">
                  <c:v>-0.22443587169053525</c:v>
                </c:pt>
                <c:pt idx="47">
                  <c:v>-0.25191565819373241</c:v>
                </c:pt>
                <c:pt idx="48">
                  <c:v>-0.25064736035512336</c:v>
                </c:pt>
                <c:pt idx="49">
                  <c:v>-0.25973682819848859</c:v>
                </c:pt>
                <c:pt idx="50">
                  <c:v>-0.22433018020398446</c:v>
                </c:pt>
                <c:pt idx="51">
                  <c:v>-0.19711462241716424</c:v>
                </c:pt>
                <c:pt idx="52">
                  <c:v>-0.18067959625852131</c:v>
                </c:pt>
                <c:pt idx="53">
                  <c:v>-0.19521217565925061</c:v>
                </c:pt>
                <c:pt idx="54">
                  <c:v>-0.17766738889182468</c:v>
                </c:pt>
                <c:pt idx="55">
                  <c:v>-0.14632986312952484</c:v>
                </c:pt>
                <c:pt idx="56">
                  <c:v>-0.17935845267663683</c:v>
                </c:pt>
                <c:pt idx="57">
                  <c:v>-0.17317550071341742</c:v>
                </c:pt>
                <c:pt idx="58">
                  <c:v>-0.1735982666596205</c:v>
                </c:pt>
                <c:pt idx="59">
                  <c:v>-0.21259842519685029</c:v>
                </c:pt>
                <c:pt idx="60">
                  <c:v>-0.18834222903345127</c:v>
                </c:pt>
                <c:pt idx="61">
                  <c:v>-0.18717962268139293</c:v>
                </c:pt>
                <c:pt idx="62">
                  <c:v>-0.19151297362997405</c:v>
                </c:pt>
                <c:pt idx="63">
                  <c:v>-0.19357395761771384</c:v>
                </c:pt>
                <c:pt idx="64">
                  <c:v>-0.190667441737568</c:v>
                </c:pt>
                <c:pt idx="65">
                  <c:v>-0.20874068593774761</c:v>
                </c:pt>
                <c:pt idx="66">
                  <c:v>-0.21809438249748977</c:v>
                </c:pt>
                <c:pt idx="67">
                  <c:v>-0.20150081910902073</c:v>
                </c:pt>
                <c:pt idx="68">
                  <c:v>-0.2065211647201817</c:v>
                </c:pt>
                <c:pt idx="69">
                  <c:v>-0.1761348623368387</c:v>
                </c:pt>
                <c:pt idx="70">
                  <c:v>-0.17137874544205459</c:v>
                </c:pt>
                <c:pt idx="71">
                  <c:v>-0.16984621888706858</c:v>
                </c:pt>
                <c:pt idx="72">
                  <c:v>-0.17185435713153302</c:v>
                </c:pt>
                <c:pt idx="73">
                  <c:v>-0.14622417164297413</c:v>
                </c:pt>
                <c:pt idx="74">
                  <c:v>-7.6890556465676607E-2</c:v>
                </c:pt>
                <c:pt idx="75">
                  <c:v>-5.4008349627437433E-2</c:v>
                </c:pt>
                <c:pt idx="76">
                  <c:v>-4.7138403001638192E-2</c:v>
                </c:pt>
                <c:pt idx="77">
                  <c:v>-8.2386513766316005E-2</c:v>
                </c:pt>
                <c:pt idx="78">
                  <c:v>-7.0179147069703504E-2</c:v>
                </c:pt>
                <c:pt idx="79">
                  <c:v>-6.1618136659091945E-2</c:v>
                </c:pt>
                <c:pt idx="80">
                  <c:v>-4.8301009353696453E-2</c:v>
                </c:pt>
                <c:pt idx="81">
                  <c:v>-2.8536701368703957E-3</c:v>
                </c:pt>
                <c:pt idx="82">
                  <c:v>-3.2130211911430381E-2</c:v>
                </c:pt>
                <c:pt idx="83">
                  <c:v>-4.8089626380594865E-2</c:v>
                </c:pt>
                <c:pt idx="84">
                  <c:v>-4.2646514823230917E-2</c:v>
                </c:pt>
                <c:pt idx="85">
                  <c:v>-4.9040849759551731E-2</c:v>
                </c:pt>
                <c:pt idx="86">
                  <c:v>-5.4272578343814278E-2</c:v>
                </c:pt>
                <c:pt idx="87">
                  <c:v>-5.4906727263118849E-2</c:v>
                </c:pt>
                <c:pt idx="88">
                  <c:v>-5.0361993341436317E-2</c:v>
                </c:pt>
                <c:pt idx="89">
                  <c:v>-7.6045024573270448E-2</c:v>
                </c:pt>
                <c:pt idx="90">
                  <c:v>-6.27807430111504E-2</c:v>
                </c:pt>
                <c:pt idx="91">
                  <c:v>-5.6175025101727998E-2</c:v>
                </c:pt>
                <c:pt idx="92">
                  <c:v>-6.9862072610051229E-2</c:v>
                </c:pt>
                <c:pt idx="93">
                  <c:v>-4.9199386989377869E-2</c:v>
                </c:pt>
                <c:pt idx="94">
                  <c:v>-4.0585530835491053E-2</c:v>
                </c:pt>
                <c:pt idx="95">
                  <c:v>-6.2833588754425657E-2</c:v>
                </c:pt>
                <c:pt idx="96">
                  <c:v>-5.0467684827987018E-2</c:v>
                </c:pt>
                <c:pt idx="97">
                  <c:v>-4.5394493473550616E-2</c:v>
                </c:pt>
                <c:pt idx="98">
                  <c:v>-1.5113882576758327E-2</c:v>
                </c:pt>
                <c:pt idx="99">
                  <c:v>-3.7256249009142227E-2</c:v>
                </c:pt>
                <c:pt idx="100">
                  <c:v>-3.1760291708502836E-2</c:v>
                </c:pt>
                <c:pt idx="101">
                  <c:v>-1.8020398456904167E-2</c:v>
                </c:pt>
                <c:pt idx="102">
                  <c:v>-1.1837446493684758E-2</c:v>
                </c:pt>
                <c:pt idx="103">
                  <c:v>0</c:v>
                </c:pt>
                <c:pt idx="104">
                  <c:v>-1.0385679244298398E-2</c:v>
                </c:pt>
                <c:pt idx="105">
                  <c:v>0</c:v>
                </c:pt>
                <c:pt idx="106">
                  <c:v>-1.3038204972710689E-2</c:v>
                </c:pt>
                <c:pt idx="107">
                  <c:v>-1.3644633110976867E-3</c:v>
                </c:pt>
                <c:pt idx="108">
                  <c:v>-1.0865170810592271E-2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-6.7404078810922403E-3</c:v>
                </c:pt>
                <c:pt idx="113">
                  <c:v>0</c:v>
                </c:pt>
                <c:pt idx="114">
                  <c:v>-8.2037467858454959E-3</c:v>
                </c:pt>
                <c:pt idx="115">
                  <c:v>-7.3466389126974289E-3</c:v>
                </c:pt>
                <c:pt idx="116">
                  <c:v>-4.2896208318027915E-2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-0.1095493159564668</c:v>
                </c:pt>
                <c:pt idx="123">
                  <c:v>-0.11217631605881752</c:v>
                </c:pt>
                <c:pt idx="124">
                  <c:v>-5.2847054007028063E-2</c:v>
                </c:pt>
                <c:pt idx="125">
                  <c:v>-5.4382313807103178E-2</c:v>
                </c:pt>
                <c:pt idx="126">
                  <c:v>-4.0803793797550461E-2</c:v>
                </c:pt>
                <c:pt idx="127">
                  <c:v>-6.5709119443212394E-2</c:v>
                </c:pt>
                <c:pt idx="128">
                  <c:v>-7.2293678141312129E-2</c:v>
                </c:pt>
                <c:pt idx="129">
                  <c:v>-9.0409743782197766E-2</c:v>
                </c:pt>
                <c:pt idx="130">
                  <c:v>-0.10177066630275325</c:v>
                </c:pt>
                <c:pt idx="131">
                  <c:v>-6.1308041349663972E-2</c:v>
                </c:pt>
                <c:pt idx="132">
                  <c:v>-7.5773600354815604E-2</c:v>
                </c:pt>
                <c:pt idx="133">
                  <c:v>-2.6645286752413729E-2</c:v>
                </c:pt>
                <c:pt idx="134">
                  <c:v>-2.5110026952338736E-2</c:v>
                </c:pt>
                <c:pt idx="135">
                  <c:v>-6.7142028589949165E-2</c:v>
                </c:pt>
                <c:pt idx="136">
                  <c:v>-8.4712224079697057E-2</c:v>
                </c:pt>
                <c:pt idx="137">
                  <c:v>-8.0652314830609695E-2</c:v>
                </c:pt>
                <c:pt idx="138">
                  <c:v>-7.7445327692675092E-2</c:v>
                </c:pt>
                <c:pt idx="139">
                  <c:v>-7.0349015727883768E-2</c:v>
                </c:pt>
                <c:pt idx="140">
                  <c:v>-6.8267885776670922E-2</c:v>
                </c:pt>
                <c:pt idx="141">
                  <c:v>-6.4207976527583546E-2</c:v>
                </c:pt>
                <c:pt idx="142">
                  <c:v>-6.3730340145337877E-2</c:v>
                </c:pt>
                <c:pt idx="143">
                  <c:v>-7.6592405581522333E-2</c:v>
                </c:pt>
                <c:pt idx="144">
                  <c:v>-0.16904916243048679</c:v>
                </c:pt>
                <c:pt idx="145">
                  <c:v>-0.16454573368360004</c:v>
                </c:pt>
                <c:pt idx="146">
                  <c:v>-0.21295759271263351</c:v>
                </c:pt>
                <c:pt idx="147">
                  <c:v>-0.20978472245914506</c:v>
                </c:pt>
                <c:pt idx="148">
                  <c:v>-0.19579679983623899</c:v>
                </c:pt>
                <c:pt idx="149">
                  <c:v>-0.16601275971478283</c:v>
                </c:pt>
                <c:pt idx="150">
                  <c:v>-0.19845791682303573</c:v>
                </c:pt>
                <c:pt idx="151">
                  <c:v>-0.17252908464399028</c:v>
                </c:pt>
                <c:pt idx="152">
                  <c:v>-0.16208931800347998</c:v>
                </c:pt>
                <c:pt idx="153">
                  <c:v>-0.18389000716454576</c:v>
                </c:pt>
                <c:pt idx="154">
                  <c:v>-0.18474292927569852</c:v>
                </c:pt>
                <c:pt idx="155">
                  <c:v>-0.18542526696462075</c:v>
                </c:pt>
                <c:pt idx="156">
                  <c:v>-0.13783221316229399</c:v>
                </c:pt>
                <c:pt idx="157">
                  <c:v>-0.17679369519975432</c:v>
                </c:pt>
                <c:pt idx="158">
                  <c:v>-0.16771860393708848</c:v>
                </c:pt>
                <c:pt idx="159">
                  <c:v>-0.17355259117737368</c:v>
                </c:pt>
                <c:pt idx="160">
                  <c:v>-0.1573811879499164</c:v>
                </c:pt>
                <c:pt idx="161">
                  <c:v>-0.1477602265361127</c:v>
                </c:pt>
                <c:pt idx="162">
                  <c:v>-0.13885571969567739</c:v>
                </c:pt>
                <c:pt idx="163">
                  <c:v>-0.15700590222100919</c:v>
                </c:pt>
                <c:pt idx="164">
                  <c:v>-0.16686568182593559</c:v>
                </c:pt>
                <c:pt idx="165">
                  <c:v>-0.16174814915901878</c:v>
                </c:pt>
                <c:pt idx="166">
                  <c:v>-0.20306369622326084</c:v>
                </c:pt>
                <c:pt idx="167">
                  <c:v>-0.20139196888540134</c:v>
                </c:pt>
                <c:pt idx="168">
                  <c:v>-0.17870424072873664</c:v>
                </c:pt>
                <c:pt idx="169">
                  <c:v>-0.16843505851045687</c:v>
                </c:pt>
                <c:pt idx="170">
                  <c:v>-0.18348060455119239</c:v>
                </c:pt>
                <c:pt idx="171">
                  <c:v>-0.13916277165569244</c:v>
                </c:pt>
                <c:pt idx="172">
                  <c:v>-0.1902016307870765</c:v>
                </c:pt>
                <c:pt idx="173">
                  <c:v>-0.16406809730135447</c:v>
                </c:pt>
                <c:pt idx="174">
                  <c:v>-0.17075500665279245</c:v>
                </c:pt>
                <c:pt idx="175">
                  <c:v>-0.16925386373716347</c:v>
                </c:pt>
                <c:pt idx="176">
                  <c:v>-0.15263894101190681</c:v>
                </c:pt>
                <c:pt idx="177">
                  <c:v>-0.15779059056326977</c:v>
                </c:pt>
                <c:pt idx="178">
                  <c:v>-0.1648186687591689</c:v>
                </c:pt>
                <c:pt idx="179">
                  <c:v>-0.17829483811538327</c:v>
                </c:pt>
                <c:pt idx="180">
                  <c:v>-0.19228276073828934</c:v>
                </c:pt>
                <c:pt idx="181">
                  <c:v>-0.2040530858721982</c:v>
                </c:pt>
                <c:pt idx="182">
                  <c:v>-0.20210842345876973</c:v>
                </c:pt>
                <c:pt idx="183">
                  <c:v>-0.22953839855344416</c:v>
                </c:pt>
                <c:pt idx="184">
                  <c:v>-0.17846542253761391</c:v>
                </c:pt>
                <c:pt idx="185">
                  <c:v>-0.17894305891985948</c:v>
                </c:pt>
                <c:pt idx="186">
                  <c:v>-0.17710074715976934</c:v>
                </c:pt>
                <c:pt idx="187">
                  <c:v>-0.15472007096311965</c:v>
                </c:pt>
                <c:pt idx="188">
                  <c:v>-0.15693766845211701</c:v>
                </c:pt>
                <c:pt idx="189">
                  <c:v>-0.18245709801780899</c:v>
                </c:pt>
                <c:pt idx="190">
                  <c:v>-0.17870424072873664</c:v>
                </c:pt>
                <c:pt idx="191">
                  <c:v>-0.18044420183548843</c:v>
                </c:pt>
                <c:pt idx="192">
                  <c:v>-0.16024700624338983</c:v>
                </c:pt>
                <c:pt idx="193">
                  <c:v>-0.14646378492716042</c:v>
                </c:pt>
                <c:pt idx="194">
                  <c:v>-0.10784347173416128</c:v>
                </c:pt>
                <c:pt idx="195">
                  <c:v>-0.10136126368939989</c:v>
                </c:pt>
                <c:pt idx="196">
                  <c:v>-0.13001944662413428</c:v>
                </c:pt>
                <c:pt idx="197">
                  <c:v>-0.11688444611238097</c:v>
                </c:pt>
                <c:pt idx="198">
                  <c:v>-9.5561393333560729E-2</c:v>
                </c:pt>
                <c:pt idx="199">
                  <c:v>-0.10671761454743953</c:v>
                </c:pt>
                <c:pt idx="200">
                  <c:v>-9.3412029613455683E-2</c:v>
                </c:pt>
                <c:pt idx="201">
                  <c:v>-6.642557401658078E-2</c:v>
                </c:pt>
                <c:pt idx="202">
                  <c:v>-5.7009313909453768E-2</c:v>
                </c:pt>
                <c:pt idx="203">
                  <c:v>-7.7411210808228936E-2</c:v>
                </c:pt>
                <c:pt idx="204">
                  <c:v>-6.9939613114530411E-2</c:v>
                </c:pt>
                <c:pt idx="205">
                  <c:v>-0.1373886936644946</c:v>
                </c:pt>
                <c:pt idx="206">
                  <c:v>-0.13223704411313164</c:v>
                </c:pt>
                <c:pt idx="207">
                  <c:v>-0.12756303094401422</c:v>
                </c:pt>
                <c:pt idx="208">
                  <c:v>-0.11971614752140836</c:v>
                </c:pt>
                <c:pt idx="209">
                  <c:v>-0.13616048582443449</c:v>
                </c:pt>
                <c:pt idx="210">
                  <c:v>-0.12094435536146846</c:v>
                </c:pt>
                <c:pt idx="211">
                  <c:v>-0.11794206953021052</c:v>
                </c:pt>
                <c:pt idx="212">
                  <c:v>-0.13056531677527203</c:v>
                </c:pt>
                <c:pt idx="213">
                  <c:v>-0.128723005015182</c:v>
                </c:pt>
                <c:pt idx="214">
                  <c:v>-0.13380642079765279</c:v>
                </c:pt>
                <c:pt idx="215">
                  <c:v>-0.11483743304561427</c:v>
                </c:pt>
                <c:pt idx="216">
                  <c:v>0</c:v>
                </c:pt>
                <c:pt idx="217">
                  <c:v>-0.10240820624299449</c:v>
                </c:pt>
                <c:pt idx="218">
                  <c:v>-8.5832682313780023E-2</c:v>
                </c:pt>
                <c:pt idx="219">
                  <c:v>-0.10801263544037226</c:v>
                </c:pt>
                <c:pt idx="220">
                  <c:v>-6.2905471960870901E-2</c:v>
                </c:pt>
                <c:pt idx="221">
                  <c:v>-6.8408002445569091E-2</c:v>
                </c:pt>
                <c:pt idx="222">
                  <c:v>-7.9243232227166144E-2</c:v>
                </c:pt>
                <c:pt idx="223">
                  <c:v>-8.0466016779321345E-2</c:v>
                </c:pt>
                <c:pt idx="224">
                  <c:v>-7.1329098875717464E-2</c:v>
                </c:pt>
                <c:pt idx="225">
                  <c:v>-7.1532896301076662E-2</c:v>
                </c:pt>
                <c:pt idx="226">
                  <c:v>-7.9582894602764853E-2</c:v>
                </c:pt>
                <c:pt idx="227">
                  <c:v>-4.5175095954621047E-2</c:v>
                </c:pt>
                <c:pt idx="228">
                  <c:v>-5.8557793553208122E-2</c:v>
                </c:pt>
                <c:pt idx="229">
                  <c:v>-5.2545769505111938E-2</c:v>
                </c:pt>
                <c:pt idx="230">
                  <c:v>-5.9644713155123819E-2</c:v>
                </c:pt>
                <c:pt idx="231">
                  <c:v>-9.3848714377908302E-2</c:v>
                </c:pt>
                <c:pt idx="232">
                  <c:v>-8.7021500628375312E-2</c:v>
                </c:pt>
                <c:pt idx="233">
                  <c:v>-0.10373288950782918</c:v>
                </c:pt>
                <c:pt idx="234">
                  <c:v>-0.13518562548826468</c:v>
                </c:pt>
                <c:pt idx="235">
                  <c:v>-0.14170714309975888</c:v>
                </c:pt>
                <c:pt idx="236">
                  <c:v>-0.11066200197004175</c:v>
                </c:pt>
                <c:pt idx="237">
                  <c:v>-0.11246221256071465</c:v>
                </c:pt>
                <c:pt idx="238">
                  <c:v>-0.11032233959444304</c:v>
                </c:pt>
                <c:pt idx="239">
                  <c:v>-0.10709554702625586</c:v>
                </c:pt>
                <c:pt idx="240">
                  <c:v>-0.11677592473081753</c:v>
                </c:pt>
                <c:pt idx="241">
                  <c:v>-0.11490778166502494</c:v>
                </c:pt>
                <c:pt idx="242">
                  <c:v>-0.10495567405998438</c:v>
                </c:pt>
                <c:pt idx="243">
                  <c:v>-0.12472402431982611</c:v>
                </c:pt>
                <c:pt idx="244">
                  <c:v>-0.14313372507727315</c:v>
                </c:pt>
                <c:pt idx="245">
                  <c:v>-0.14299786012703364</c:v>
                </c:pt>
                <c:pt idx="246">
                  <c:v>-0.14924764783804892</c:v>
                </c:pt>
                <c:pt idx="247">
                  <c:v>-0.1586223294045718</c:v>
                </c:pt>
                <c:pt idx="248">
                  <c:v>-0.17947759926632925</c:v>
                </c:pt>
                <c:pt idx="249">
                  <c:v>-0.16606093543018238</c:v>
                </c:pt>
                <c:pt idx="250">
                  <c:v>-0.15760334227777592</c:v>
                </c:pt>
                <c:pt idx="251">
                  <c:v>-0.14245440032607584</c:v>
                </c:pt>
                <c:pt idx="252">
                  <c:v>-0.14177507557487856</c:v>
                </c:pt>
                <c:pt idx="253">
                  <c:v>-0.1303284535172039</c:v>
                </c:pt>
                <c:pt idx="254">
                  <c:v>-0.15485207703542669</c:v>
                </c:pt>
                <c:pt idx="255">
                  <c:v>-0.13583098400190208</c:v>
                </c:pt>
                <c:pt idx="256">
                  <c:v>-0.13253625895859508</c:v>
                </c:pt>
                <c:pt idx="257">
                  <c:v>-0.11759111443225434</c:v>
                </c:pt>
                <c:pt idx="258">
                  <c:v>-0.12190482660235721</c:v>
                </c:pt>
                <c:pt idx="259">
                  <c:v>-0.12183689412723753</c:v>
                </c:pt>
                <c:pt idx="260">
                  <c:v>-9.6973608233415998E-2</c:v>
                </c:pt>
                <c:pt idx="261">
                  <c:v>-0.11008457593152406</c:v>
                </c:pt>
                <c:pt idx="262">
                  <c:v>-0.10913352127984775</c:v>
                </c:pt>
                <c:pt idx="263">
                  <c:v>-0.10227234129275498</c:v>
                </c:pt>
                <c:pt idx="264">
                  <c:v>-0.11341326721239084</c:v>
                </c:pt>
                <c:pt idx="265">
                  <c:v>-0.11399069325090853</c:v>
                </c:pt>
                <c:pt idx="266">
                  <c:v>-8.4270235386026224E-2</c:v>
                </c:pt>
                <c:pt idx="267">
                  <c:v>-9.792466288509219E-2</c:v>
                </c:pt>
                <c:pt idx="268">
                  <c:v>-9.9147447437247391E-2</c:v>
                </c:pt>
                <c:pt idx="269">
                  <c:v>-6.670969056757578E-2</c:v>
                </c:pt>
                <c:pt idx="270">
                  <c:v>-6.6200197004177785E-2</c:v>
                </c:pt>
                <c:pt idx="271">
                  <c:v>-6.0256105431201301E-2</c:v>
                </c:pt>
                <c:pt idx="272">
                  <c:v>-7.462382391902446E-2</c:v>
                </c:pt>
                <c:pt idx="273">
                  <c:v>-8.0907577867599542E-2</c:v>
                </c:pt>
                <c:pt idx="274">
                  <c:v>-3.9638599232362966E-2</c:v>
                </c:pt>
                <c:pt idx="275">
                  <c:v>-3.763459121633099E-2</c:v>
                </c:pt>
                <c:pt idx="276">
                  <c:v>-4.8096192384769552E-2</c:v>
                </c:pt>
                <c:pt idx="277">
                  <c:v>-4.6669610407255147E-2</c:v>
                </c:pt>
                <c:pt idx="278">
                  <c:v>-5.2172140891953322E-2</c:v>
                </c:pt>
                <c:pt idx="279">
                  <c:v>-4.7043239020413644E-2</c:v>
                </c:pt>
                <c:pt idx="280">
                  <c:v>-5.3123195543629639E-2</c:v>
                </c:pt>
                <c:pt idx="281">
                  <c:v>-5.047382901396015E-2</c:v>
                </c:pt>
                <c:pt idx="282">
                  <c:v>-4.4903366054142156E-2</c:v>
                </c:pt>
                <c:pt idx="283">
                  <c:v>-4.1472776060595774E-2</c:v>
                </c:pt>
                <c:pt idx="284">
                  <c:v>-6.6200197004177785E-2</c:v>
                </c:pt>
                <c:pt idx="285">
                  <c:v>-4.7824462484290536E-2</c:v>
                </c:pt>
                <c:pt idx="286">
                  <c:v>-5.7538806426412119E-2</c:v>
                </c:pt>
                <c:pt idx="287">
                  <c:v>-4.8367922285248451E-2</c:v>
                </c:pt>
                <c:pt idx="288">
                  <c:v>-4.7348935158452447E-2</c:v>
                </c:pt>
                <c:pt idx="289">
                  <c:v>-4.7111171495533455E-2</c:v>
                </c:pt>
                <c:pt idx="290">
                  <c:v>-5.8795557216127108E-2</c:v>
                </c:pt>
                <c:pt idx="291">
                  <c:v>-5.4787541184063031E-2</c:v>
                </c:pt>
                <c:pt idx="292">
                  <c:v>-0.12119153561360001</c:v>
                </c:pt>
                <c:pt idx="293">
                  <c:v>-0.11541727522842295</c:v>
                </c:pt>
                <c:pt idx="294">
                  <c:v>-0.12108963690092041</c:v>
                </c:pt>
                <c:pt idx="295">
                  <c:v>-0.11239428008559484</c:v>
                </c:pt>
                <c:pt idx="296">
                  <c:v>-0.11453415305186644</c:v>
                </c:pt>
                <c:pt idx="297">
                  <c:v>-0.10875989266668926</c:v>
                </c:pt>
                <c:pt idx="298">
                  <c:v>-0.12024048096192383</c:v>
                </c:pt>
                <c:pt idx="299">
                  <c:v>-0.11028837335688325</c:v>
                </c:pt>
                <c:pt idx="300">
                  <c:v>-0.11348119968751054</c:v>
                </c:pt>
                <c:pt idx="301">
                  <c:v>-0.11096769810808055</c:v>
                </c:pt>
                <c:pt idx="302">
                  <c:v>-0.11249617879827443</c:v>
                </c:pt>
                <c:pt idx="303">
                  <c:v>-0.11731938453177544</c:v>
                </c:pt>
                <c:pt idx="304">
                  <c:v>-0.10875989266668926</c:v>
                </c:pt>
                <c:pt idx="305">
                  <c:v>-0.11212255018511594</c:v>
                </c:pt>
                <c:pt idx="306">
                  <c:v>-0.10767297306477355</c:v>
                </c:pt>
                <c:pt idx="307">
                  <c:v>-0.10349512584491018</c:v>
                </c:pt>
                <c:pt idx="308">
                  <c:v>-0.14595292279474206</c:v>
                </c:pt>
                <c:pt idx="309">
                  <c:v>-0.15101389219116193</c:v>
                </c:pt>
                <c:pt idx="310">
                  <c:v>-0.14218267042559696</c:v>
                </c:pt>
                <c:pt idx="311">
                  <c:v>-0.13790292449305386</c:v>
                </c:pt>
                <c:pt idx="312">
                  <c:v>-0.14004279745932535</c:v>
                </c:pt>
                <c:pt idx="313">
                  <c:v>-0.16276621038687539</c:v>
                </c:pt>
                <c:pt idx="314">
                  <c:v>-0.15502190822322612</c:v>
                </c:pt>
                <c:pt idx="315">
                  <c:v>-0.12370503719303011</c:v>
                </c:pt>
                <c:pt idx="316">
                  <c:v>-0.13080398084304198</c:v>
                </c:pt>
                <c:pt idx="317">
                  <c:v>-0.1306341496552427</c:v>
                </c:pt>
                <c:pt idx="318">
                  <c:v>-0.13474406439998637</c:v>
                </c:pt>
                <c:pt idx="319">
                  <c:v>-0.14055229102272335</c:v>
                </c:pt>
                <c:pt idx="320">
                  <c:v>-0.20929995584389113</c:v>
                </c:pt>
                <c:pt idx="321">
                  <c:v>-0.20512210862402766</c:v>
                </c:pt>
                <c:pt idx="322">
                  <c:v>-0.20192928229340038</c:v>
                </c:pt>
                <c:pt idx="323">
                  <c:v>-0.21463265514079002</c:v>
                </c:pt>
                <c:pt idx="324">
                  <c:v>-0.1916375123127611</c:v>
                </c:pt>
                <c:pt idx="325">
                  <c:v>-0.19615502190822318</c:v>
                </c:pt>
                <c:pt idx="326">
                  <c:v>-0.20417105397235147</c:v>
                </c:pt>
                <c:pt idx="327">
                  <c:v>-0.21065860534628575</c:v>
                </c:pt>
                <c:pt idx="328">
                  <c:v>-0.19615502190822318</c:v>
                </c:pt>
                <c:pt idx="329">
                  <c:v>-0.18790122618117591</c:v>
                </c:pt>
                <c:pt idx="330">
                  <c:v>-0.19177337726300048</c:v>
                </c:pt>
                <c:pt idx="331">
                  <c:v>-0.19951767942664989</c:v>
                </c:pt>
                <c:pt idx="332">
                  <c:v>-0.18508202846370703</c:v>
                </c:pt>
                <c:pt idx="333">
                  <c:v>-0.18511599470126691</c:v>
                </c:pt>
                <c:pt idx="334">
                  <c:v>-0.17798308481369515</c:v>
                </c:pt>
                <c:pt idx="335">
                  <c:v>-0.18820692231921471</c:v>
                </c:pt>
                <c:pt idx="336">
                  <c:v>-0.17268435175435617</c:v>
                </c:pt>
                <c:pt idx="337">
                  <c:v>-0.18358751401107293</c:v>
                </c:pt>
                <c:pt idx="338">
                  <c:v>-0.17951156550388914</c:v>
                </c:pt>
                <c:pt idx="339">
                  <c:v>-0.1924527020141979</c:v>
                </c:pt>
                <c:pt idx="340">
                  <c:v>-0.1894636731089297</c:v>
                </c:pt>
                <c:pt idx="341">
                  <c:v>-0.19231683706395841</c:v>
                </c:pt>
                <c:pt idx="342">
                  <c:v>-0.2264529058116232</c:v>
                </c:pt>
                <c:pt idx="343">
                  <c:v>-0.24645901973438403</c:v>
                </c:pt>
                <c:pt idx="344">
                  <c:v>-0.23260079480995888</c:v>
                </c:pt>
                <c:pt idx="345">
                  <c:v>-0.2225128222546788</c:v>
                </c:pt>
                <c:pt idx="346">
                  <c:v>-0.23022315818076827</c:v>
                </c:pt>
                <c:pt idx="347">
                  <c:v>-0.22947590095445128</c:v>
                </c:pt>
                <c:pt idx="348">
                  <c:v>-0.23711830440542095</c:v>
                </c:pt>
                <c:pt idx="349">
                  <c:v>-0.27023538602628988</c:v>
                </c:pt>
                <c:pt idx="350">
                  <c:v>-0.25114636051764544</c:v>
                </c:pt>
                <c:pt idx="351">
                  <c:v>-0.23086851669440578</c:v>
                </c:pt>
                <c:pt idx="352">
                  <c:v>-0.23209130124656088</c:v>
                </c:pt>
                <c:pt idx="353">
                  <c:v>-0.23467273530111066</c:v>
                </c:pt>
                <c:pt idx="354">
                  <c:v>-0.23039298936856759</c:v>
                </c:pt>
                <c:pt idx="355">
                  <c:v>-0.23015522570564859</c:v>
                </c:pt>
                <c:pt idx="356">
                  <c:v>-0.23528412757718828</c:v>
                </c:pt>
                <c:pt idx="357">
                  <c:v>-0.21300227573791641</c:v>
                </c:pt>
                <c:pt idx="358">
                  <c:v>-0.20257464080703777</c:v>
                </c:pt>
                <c:pt idx="359">
                  <c:v>-0.20980944940728916</c:v>
                </c:pt>
                <c:pt idx="360">
                  <c:v>-0.18878434835773242</c:v>
                </c:pt>
                <c:pt idx="361">
                  <c:v>-0.16969532284908798</c:v>
                </c:pt>
                <c:pt idx="362">
                  <c:v>-0.17903603817805094</c:v>
                </c:pt>
                <c:pt idx="363">
                  <c:v>-0.16470228592778779</c:v>
                </c:pt>
                <c:pt idx="364">
                  <c:v>-0.18182126965795992</c:v>
                </c:pt>
                <c:pt idx="365">
                  <c:v>-0.17832274718929386</c:v>
                </c:pt>
                <c:pt idx="366">
                  <c:v>-0.18008899154240685</c:v>
                </c:pt>
                <c:pt idx="367">
                  <c:v>-0.18171937094528032</c:v>
                </c:pt>
                <c:pt idx="368">
                  <c:v>-0.20097822764172407</c:v>
                </c:pt>
                <c:pt idx="369">
                  <c:v>-0.21025101049556733</c:v>
                </c:pt>
                <c:pt idx="370">
                  <c:v>-0.18718793519241872</c:v>
                </c:pt>
                <c:pt idx="371">
                  <c:v>-0.16575523929214359</c:v>
                </c:pt>
                <c:pt idx="372">
                  <c:v>-0.17336367650555345</c:v>
                </c:pt>
                <c:pt idx="373">
                  <c:v>-0.15794300465337449</c:v>
                </c:pt>
                <c:pt idx="374">
                  <c:v>-0.13997486498420567</c:v>
                </c:pt>
                <c:pt idx="375">
                  <c:v>-0.14663224754593934</c:v>
                </c:pt>
                <c:pt idx="376">
                  <c:v>-0.15210081179307761</c:v>
                </c:pt>
                <c:pt idx="377">
                  <c:v>-0.14456030705478756</c:v>
                </c:pt>
                <c:pt idx="378">
                  <c:v>-0.15359532624571171</c:v>
                </c:pt>
                <c:pt idx="379">
                  <c:v>-0.17400903501919085</c:v>
                </c:pt>
                <c:pt idx="380">
                  <c:v>-0.20342379674603436</c:v>
                </c:pt>
                <c:pt idx="381">
                  <c:v>-0.20131789001732278</c:v>
                </c:pt>
                <c:pt idx="382">
                  <c:v>-0.22434699908291161</c:v>
                </c:pt>
                <c:pt idx="383">
                  <c:v>-0.2256037498726266</c:v>
                </c:pt>
                <c:pt idx="384">
                  <c:v>-0.24173771271356265</c:v>
                </c:pt>
                <c:pt idx="385">
                  <c:v>-0.24241703746476007</c:v>
                </c:pt>
                <c:pt idx="386">
                  <c:v>-0.24418328181787305</c:v>
                </c:pt>
                <c:pt idx="387">
                  <c:v>-0.23535206005230797</c:v>
                </c:pt>
                <c:pt idx="388">
                  <c:v>-0.23840902143269585</c:v>
                </c:pt>
                <c:pt idx="389">
                  <c:v>-0.2527088074453992</c:v>
                </c:pt>
                <c:pt idx="390">
                  <c:v>-0.24204340885160144</c:v>
                </c:pt>
                <c:pt idx="391">
                  <c:v>-0.25583370130090693</c:v>
                </c:pt>
                <c:pt idx="392">
                  <c:v>-0.26870690533609587</c:v>
                </c:pt>
                <c:pt idx="393">
                  <c:v>-0.23674467579226247</c:v>
                </c:pt>
                <c:pt idx="394">
                  <c:v>-0.24319826092863694</c:v>
                </c:pt>
                <c:pt idx="395">
                  <c:v>-0.23531809381474805</c:v>
                </c:pt>
                <c:pt idx="396">
                  <c:v>-0.22543391868482732</c:v>
                </c:pt>
                <c:pt idx="397">
                  <c:v>-0.21942189463673101</c:v>
                </c:pt>
                <c:pt idx="398">
                  <c:v>-0.21493835127882882</c:v>
                </c:pt>
                <c:pt idx="399">
                  <c:v>-0.22387147175707339</c:v>
                </c:pt>
                <c:pt idx="400">
                  <c:v>-0.21673856186950174</c:v>
                </c:pt>
                <c:pt idx="401">
                  <c:v>-0.22523012125946809</c:v>
                </c:pt>
                <c:pt idx="402">
                  <c:v>-0.21687442681974112</c:v>
                </c:pt>
                <c:pt idx="403">
                  <c:v>-0.21300227573791641</c:v>
                </c:pt>
                <c:pt idx="404">
                  <c:v>-0.24628918854658463</c:v>
                </c:pt>
                <c:pt idx="405">
                  <c:v>-0.23705037193030126</c:v>
                </c:pt>
                <c:pt idx="406">
                  <c:v>-0.22516218878434829</c:v>
                </c:pt>
                <c:pt idx="407">
                  <c:v>-0.21174552494820142</c:v>
                </c:pt>
                <c:pt idx="408">
                  <c:v>-0.21327400563839544</c:v>
                </c:pt>
                <c:pt idx="409">
                  <c:v>-0.20206514724363978</c:v>
                </c:pt>
                <c:pt idx="410">
                  <c:v>-0.17696409768689914</c:v>
                </c:pt>
                <c:pt idx="411">
                  <c:v>-0.16049047247036438</c:v>
                </c:pt>
                <c:pt idx="412">
                  <c:v>-0.19160354607520119</c:v>
                </c:pt>
                <c:pt idx="413">
                  <c:v>-0.18834278726945411</c:v>
                </c:pt>
                <c:pt idx="414">
                  <c:v>-0.19136578241228222</c:v>
                </c:pt>
                <c:pt idx="415">
                  <c:v>-0.2297815970924901</c:v>
                </c:pt>
                <c:pt idx="416">
                  <c:v>-0.23851092014537545</c:v>
                </c:pt>
                <c:pt idx="417">
                  <c:v>-0.23175163887096228</c:v>
                </c:pt>
                <c:pt idx="418">
                  <c:v>-0.22794742026425729</c:v>
                </c:pt>
                <c:pt idx="419">
                  <c:v>-0.23925817737169255</c:v>
                </c:pt>
                <c:pt idx="420">
                  <c:v>-0.21544784484222684</c:v>
                </c:pt>
                <c:pt idx="421">
                  <c:v>-0.21126999762236334</c:v>
                </c:pt>
                <c:pt idx="422">
                  <c:v>-0.20648075812642236</c:v>
                </c:pt>
                <c:pt idx="423">
                  <c:v>-0.20026493665296685</c:v>
                </c:pt>
                <c:pt idx="424">
                  <c:v>-0.18898814578309162</c:v>
                </c:pt>
                <c:pt idx="425">
                  <c:v>-0.20624299446350325</c:v>
                </c:pt>
                <c:pt idx="426">
                  <c:v>-0.19727590774769879</c:v>
                </c:pt>
                <c:pt idx="427">
                  <c:v>-0.18810502360653511</c:v>
                </c:pt>
                <c:pt idx="428">
                  <c:v>-0.17356747393091265</c:v>
                </c:pt>
                <c:pt idx="429">
                  <c:v>-0.16531367820386528</c:v>
                </c:pt>
                <c:pt idx="430">
                  <c:v>-0.16113583098400189</c:v>
                </c:pt>
                <c:pt idx="431">
                  <c:v>-0.17237865561631735</c:v>
                </c:pt>
                <c:pt idx="432">
                  <c:v>-0.13246832648347537</c:v>
                </c:pt>
                <c:pt idx="433">
                  <c:v>-0.14439047586698814</c:v>
                </c:pt>
                <c:pt idx="434">
                  <c:v>-0.14364321864067114</c:v>
                </c:pt>
                <c:pt idx="435">
                  <c:v>-0.12638836996025951</c:v>
                </c:pt>
                <c:pt idx="436">
                  <c:v>-8.6478040827417529E-2</c:v>
                </c:pt>
                <c:pt idx="437">
                  <c:v>-0.12312761115451241</c:v>
                </c:pt>
                <c:pt idx="438">
                  <c:v>-0.10818246662817156</c:v>
                </c:pt>
                <c:pt idx="439">
                  <c:v>-0.14072212221052277</c:v>
                </c:pt>
                <c:pt idx="440">
                  <c:v>-0.14547739546890384</c:v>
                </c:pt>
                <c:pt idx="441">
                  <c:v>-0.16069426989572358</c:v>
                </c:pt>
                <c:pt idx="442">
                  <c:v>-0.12992085866648551</c:v>
                </c:pt>
                <c:pt idx="443">
                  <c:v>-0.14021262864712478</c:v>
                </c:pt>
                <c:pt idx="444">
                  <c:v>-0.15410481980910973</c:v>
                </c:pt>
                <c:pt idx="445">
                  <c:v>-0.14442444210454805</c:v>
                </c:pt>
                <c:pt idx="446">
                  <c:v>-0.11959512244828631</c:v>
                </c:pt>
                <c:pt idx="447">
                  <c:v>-0.14418667844162894</c:v>
                </c:pt>
                <c:pt idx="448">
                  <c:v>-0.1598111477191671</c:v>
                </c:pt>
                <c:pt idx="449">
                  <c:v>-0.14588499031962224</c:v>
                </c:pt>
                <c:pt idx="450">
                  <c:v>-0.14547739546890384</c:v>
                </c:pt>
                <c:pt idx="451">
                  <c:v>-0.1632077714751537</c:v>
                </c:pt>
                <c:pt idx="452">
                  <c:v>-0.16483815087802717</c:v>
                </c:pt>
                <c:pt idx="453">
                  <c:v>-0.16752148364525657</c:v>
                </c:pt>
                <c:pt idx="454">
                  <c:v>-0.15814680207873372</c:v>
                </c:pt>
                <c:pt idx="455">
                  <c:v>-0.15009680377704565</c:v>
                </c:pt>
                <c:pt idx="456">
                  <c:v>-0.12472402431982611</c:v>
                </c:pt>
                <c:pt idx="457">
                  <c:v>-0.11483984918990525</c:v>
                </c:pt>
                <c:pt idx="458">
                  <c:v>-0.11072993444516145</c:v>
                </c:pt>
                <c:pt idx="459">
                  <c:v>-0.13637444380285998</c:v>
                </c:pt>
                <c:pt idx="460">
                  <c:v>-0.14055229102272335</c:v>
                </c:pt>
                <c:pt idx="461">
                  <c:v>-0.1624944804863965</c:v>
                </c:pt>
                <c:pt idx="462">
                  <c:v>-0.1950681023063075</c:v>
                </c:pt>
                <c:pt idx="463">
                  <c:v>-0.19934784823885057</c:v>
                </c:pt>
                <c:pt idx="464">
                  <c:v>-0.20237084338167857</c:v>
                </c:pt>
                <c:pt idx="465">
                  <c:v>-0.21262864712475793</c:v>
                </c:pt>
                <c:pt idx="466">
                  <c:v>-0.23290649094799767</c:v>
                </c:pt>
                <c:pt idx="467">
                  <c:v>-0.23015522570564859</c:v>
                </c:pt>
                <c:pt idx="468">
                  <c:v>-0.23908834618389316</c:v>
                </c:pt>
                <c:pt idx="469">
                  <c:v>-0.23769573044393866</c:v>
                </c:pt>
                <c:pt idx="470">
                  <c:v>-0.25885669644373488</c:v>
                </c:pt>
                <c:pt idx="471">
                  <c:v>-0.27230732651744166</c:v>
                </c:pt>
                <c:pt idx="472">
                  <c:v>-0.26717842464590197</c:v>
                </c:pt>
                <c:pt idx="473">
                  <c:v>-0.2944193471689141</c:v>
                </c:pt>
                <c:pt idx="474">
                  <c:v>-0.26799361434733876</c:v>
                </c:pt>
                <c:pt idx="475">
                  <c:v>-0.26123433307292548</c:v>
                </c:pt>
                <c:pt idx="476">
                  <c:v>-0.26823137801025776</c:v>
                </c:pt>
                <c:pt idx="477">
                  <c:v>-0.25586766753846668</c:v>
                </c:pt>
                <c:pt idx="478">
                  <c:v>-0.2621514214870419</c:v>
                </c:pt>
                <c:pt idx="479">
                  <c:v>-0.25060290071668762</c:v>
                </c:pt>
                <c:pt idx="480">
                  <c:v>-0.25715838456574158</c:v>
                </c:pt>
                <c:pt idx="481">
                  <c:v>-0.25393159199755438</c:v>
                </c:pt>
                <c:pt idx="482">
                  <c:v>-0.26167589416120379</c:v>
                </c:pt>
                <c:pt idx="483">
                  <c:v>-0.25403349071023401</c:v>
                </c:pt>
                <c:pt idx="484">
                  <c:v>-0.24153391528820356</c:v>
                </c:pt>
                <c:pt idx="485">
                  <c:v>-0.24774973676165893</c:v>
                </c:pt>
                <c:pt idx="486">
                  <c:v>-0.24482864033151044</c:v>
                </c:pt>
                <c:pt idx="487">
                  <c:v>-0.24771577052409902</c:v>
                </c:pt>
                <c:pt idx="488">
                  <c:v>-0.25736218199110078</c:v>
                </c:pt>
                <c:pt idx="489">
                  <c:v>-0.27634930878706565</c:v>
                </c:pt>
                <c:pt idx="490">
                  <c:v>-0.28670901124282461</c:v>
                </c:pt>
                <c:pt idx="491">
                  <c:v>-0.27098264325260685</c:v>
                </c:pt>
                <c:pt idx="492">
                  <c:v>-0.25518834278726937</c:v>
                </c:pt>
                <c:pt idx="493">
                  <c:v>-0.25909446010665399</c:v>
                </c:pt>
                <c:pt idx="494">
                  <c:v>-0.27091471077748713</c:v>
                </c:pt>
                <c:pt idx="495">
                  <c:v>-0.28480690193947211</c:v>
                </c:pt>
                <c:pt idx="496">
                  <c:v>-0.2806630209571685</c:v>
                </c:pt>
                <c:pt idx="497">
                  <c:v>-0.29217757548996298</c:v>
                </c:pt>
                <c:pt idx="498">
                  <c:v>-0.29560816548350938</c:v>
                </c:pt>
                <c:pt idx="499">
                  <c:v>-0.30871913318161742</c:v>
                </c:pt>
                <c:pt idx="500">
                  <c:v>-0.3505315716178119</c:v>
                </c:pt>
                <c:pt idx="501">
                  <c:v>-0.349240854590537</c:v>
                </c:pt>
                <c:pt idx="502">
                  <c:v>-0.34825583370130092</c:v>
                </c:pt>
                <c:pt idx="503">
                  <c:v>-0.3501579430046533</c:v>
                </c:pt>
                <c:pt idx="504">
                  <c:v>-0.35606806834006999</c:v>
                </c:pt>
                <c:pt idx="505">
                  <c:v>-0.34805203627594172</c:v>
                </c:pt>
                <c:pt idx="506">
                  <c:v>-0.38096532047145132</c:v>
                </c:pt>
                <c:pt idx="507">
                  <c:v>-0.36007608437213406</c:v>
                </c:pt>
                <c:pt idx="508">
                  <c:v>-0.36438979654223697</c:v>
                </c:pt>
                <c:pt idx="509">
                  <c:v>-0.36591827723243098</c:v>
                </c:pt>
                <c:pt idx="510">
                  <c:v>-0.36418599911687777</c:v>
                </c:pt>
                <c:pt idx="511">
                  <c:v>-0.37746679800278521</c:v>
                </c:pt>
                <c:pt idx="512">
                  <c:v>-0.37043578682789302</c:v>
                </c:pt>
                <c:pt idx="513">
                  <c:v>-0.36822798138650176</c:v>
                </c:pt>
                <c:pt idx="514">
                  <c:v>-0.32346048028259911</c:v>
                </c:pt>
                <c:pt idx="515">
                  <c:v>-0.30668115892802555</c:v>
                </c:pt>
                <c:pt idx="516">
                  <c:v>-0.31425562990387551</c:v>
                </c:pt>
                <c:pt idx="517">
                  <c:v>-0.32247545939336303</c:v>
                </c:pt>
                <c:pt idx="518">
                  <c:v>-0.31479908970483345</c:v>
                </c:pt>
                <c:pt idx="519">
                  <c:v>-0.29812166706293936</c:v>
                </c:pt>
                <c:pt idx="520">
                  <c:v>-0.30263917665840157</c:v>
                </c:pt>
                <c:pt idx="521">
                  <c:v>-0.29384192113039637</c:v>
                </c:pt>
                <c:pt idx="522">
                  <c:v>-0.30729255120410315</c:v>
                </c:pt>
                <c:pt idx="523">
                  <c:v>-0.30990795149621275</c:v>
                </c:pt>
                <c:pt idx="524">
                  <c:v>-0.31632757039502729</c:v>
                </c:pt>
                <c:pt idx="525">
                  <c:v>-0.32828368601609997</c:v>
                </c:pt>
                <c:pt idx="526">
                  <c:v>-0.33738663768214394</c:v>
                </c:pt>
                <c:pt idx="527">
                  <c:v>-0.3574267178424646</c:v>
                </c:pt>
                <c:pt idx="528">
                  <c:v>-0.3524676471587242</c:v>
                </c:pt>
                <c:pt idx="529">
                  <c:v>-0.35661152814102781</c:v>
                </c:pt>
                <c:pt idx="530">
                  <c:v>-0.34964844944125539</c:v>
                </c:pt>
                <c:pt idx="531">
                  <c:v>-0.36816004891138204</c:v>
                </c:pt>
                <c:pt idx="532">
                  <c:v>-0.38031996195781392</c:v>
                </c:pt>
                <c:pt idx="533">
                  <c:v>-0.39373662579396079</c:v>
                </c:pt>
                <c:pt idx="534">
                  <c:v>-0.40110729934445155</c:v>
                </c:pt>
                <c:pt idx="535">
                  <c:v>-0.3930912672803234</c:v>
                </c:pt>
                <c:pt idx="536">
                  <c:v>-0.38113515165925071</c:v>
                </c:pt>
                <c:pt idx="537">
                  <c:v>-0.37495329642335512</c:v>
                </c:pt>
                <c:pt idx="538">
                  <c:v>-0.32692503651370541</c:v>
                </c:pt>
                <c:pt idx="539">
                  <c:v>-0.33939064569817595</c:v>
                </c:pt>
                <c:pt idx="540">
                  <c:v>-0.33680921164362626</c:v>
                </c:pt>
                <c:pt idx="541">
                  <c:v>-0.34693115043646611</c:v>
                </c:pt>
                <c:pt idx="542">
                  <c:v>-0.34380625658095854</c:v>
                </c:pt>
                <c:pt idx="543">
                  <c:v>-0.34968241567881519</c:v>
                </c:pt>
                <c:pt idx="544">
                  <c:v>-0.33945857817329572</c:v>
                </c:pt>
                <c:pt idx="545">
                  <c:v>-0.33470330491491457</c:v>
                </c:pt>
                <c:pt idx="546">
                  <c:v>-0.37322101830780202</c:v>
                </c:pt>
                <c:pt idx="547">
                  <c:v>-0.37834992017934171</c:v>
                </c:pt>
                <c:pt idx="548">
                  <c:v>-0.36004211813457415</c:v>
                </c:pt>
                <c:pt idx="549">
                  <c:v>-0.36442376277979688</c:v>
                </c:pt>
                <c:pt idx="550">
                  <c:v>-0.30066913487992936</c:v>
                </c:pt>
                <c:pt idx="551">
                  <c:v>-0.28334635372439793</c:v>
                </c:pt>
                <c:pt idx="552">
                  <c:v>-0.30219761557012326</c:v>
                </c:pt>
                <c:pt idx="553">
                  <c:v>-0.29825753201317889</c:v>
                </c:pt>
                <c:pt idx="554">
                  <c:v>-0.33375225026323835</c:v>
                </c:pt>
                <c:pt idx="555">
                  <c:v>-0.33809992867090116</c:v>
                </c:pt>
                <c:pt idx="556">
                  <c:v>-0.3567473930912673</c:v>
                </c:pt>
                <c:pt idx="557">
                  <c:v>-0.3574267178424646</c:v>
                </c:pt>
                <c:pt idx="558">
                  <c:v>-0.36418599911687777</c:v>
                </c:pt>
                <c:pt idx="559">
                  <c:v>-0.36822798138650176</c:v>
                </c:pt>
                <c:pt idx="560">
                  <c:v>-0.37641384463842931</c:v>
                </c:pt>
                <c:pt idx="561">
                  <c:v>-0.36520498624367376</c:v>
                </c:pt>
                <c:pt idx="562">
                  <c:v>-0.34822186746374101</c:v>
                </c:pt>
                <c:pt idx="563">
                  <c:v>-0.34278726945416255</c:v>
                </c:pt>
                <c:pt idx="564">
                  <c:v>-0.33813389490846096</c:v>
                </c:pt>
                <c:pt idx="565">
                  <c:v>-0.33786216500798205</c:v>
                </c:pt>
                <c:pt idx="566">
                  <c:v>-0.34839169865154029</c:v>
                </c:pt>
                <c:pt idx="567">
                  <c:v>-0.32991406541897345</c:v>
                </c:pt>
                <c:pt idx="568">
                  <c:v>-0.33242756699840359</c:v>
                </c:pt>
                <c:pt idx="569">
                  <c:v>-0.33816786114602088</c:v>
                </c:pt>
                <c:pt idx="570">
                  <c:v>-0.287354369756462</c:v>
                </c:pt>
                <c:pt idx="571">
                  <c:v>-0.26745015454638088</c:v>
                </c:pt>
                <c:pt idx="572">
                  <c:v>-0.27376787473251585</c:v>
                </c:pt>
                <c:pt idx="573">
                  <c:v>-0.26048707584660852</c:v>
                </c:pt>
                <c:pt idx="574">
                  <c:v>-0.24669678339730303</c:v>
                </c:pt>
                <c:pt idx="575">
                  <c:v>-0.26656703236982437</c:v>
                </c:pt>
                <c:pt idx="576">
                  <c:v>-0.26619340375666589</c:v>
                </c:pt>
                <c:pt idx="577">
                  <c:v>-0.28487483441459194</c:v>
                </c:pt>
                <c:pt idx="578">
                  <c:v>-0.28833939064569808</c:v>
                </c:pt>
                <c:pt idx="579">
                  <c:v>-0.28229340036004213</c:v>
                </c:pt>
                <c:pt idx="580">
                  <c:v>-0.27189973166672327</c:v>
                </c:pt>
                <c:pt idx="581">
                  <c:v>-0.28664107876770489</c:v>
                </c:pt>
                <c:pt idx="582">
                  <c:v>-0.27339424611935736</c:v>
                </c:pt>
                <c:pt idx="583">
                  <c:v>-0.26201555653680236</c:v>
                </c:pt>
                <c:pt idx="584">
                  <c:v>-0.2260453109609048</c:v>
                </c:pt>
                <c:pt idx="585">
                  <c:v>-0.24173771271356265</c:v>
                </c:pt>
                <c:pt idx="586">
                  <c:v>-0.24404741686763354</c:v>
                </c:pt>
                <c:pt idx="587">
                  <c:v>-0.2243130328453517</c:v>
                </c:pt>
                <c:pt idx="588">
                  <c:v>-0.21344383682619472</c:v>
                </c:pt>
                <c:pt idx="589">
                  <c:v>-0.20811113752929586</c:v>
                </c:pt>
                <c:pt idx="590">
                  <c:v>-0.18790122618117591</c:v>
                </c:pt>
                <c:pt idx="591">
                  <c:v>-0.18314595292279473</c:v>
                </c:pt>
                <c:pt idx="592">
                  <c:v>-0.21099826772188446</c:v>
                </c:pt>
                <c:pt idx="593">
                  <c:v>-0.21480248632858934</c:v>
                </c:pt>
                <c:pt idx="594">
                  <c:v>-0.17859447708977275</c:v>
                </c:pt>
                <c:pt idx="595">
                  <c:v>-0.18070038381848444</c:v>
                </c:pt>
                <c:pt idx="596">
                  <c:v>-0.19972147685200908</c:v>
                </c:pt>
                <c:pt idx="597">
                  <c:v>-0.17998709282972725</c:v>
                </c:pt>
                <c:pt idx="598">
                  <c:v>-0.19309806052783529</c:v>
                </c:pt>
                <c:pt idx="599">
                  <c:v>-0.17631873917326174</c:v>
                </c:pt>
                <c:pt idx="600">
                  <c:v>-0.17679426649909985</c:v>
                </c:pt>
                <c:pt idx="601">
                  <c:v>-0.18603308311538333</c:v>
                </c:pt>
                <c:pt idx="602">
                  <c:v>-0.20437485139771067</c:v>
                </c:pt>
                <c:pt idx="603">
                  <c:v>-0.18919194320845081</c:v>
                </c:pt>
                <c:pt idx="604">
                  <c:v>-0.19618898814578309</c:v>
                </c:pt>
                <c:pt idx="605">
                  <c:v>-0.20243877585679826</c:v>
                </c:pt>
                <c:pt idx="606">
                  <c:v>-0.1846744336129886</c:v>
                </c:pt>
                <c:pt idx="607">
                  <c:v>-0.18250059440915722</c:v>
                </c:pt>
                <c:pt idx="608">
                  <c:v>-0.19680038042186068</c:v>
                </c:pt>
                <c:pt idx="609">
                  <c:v>-0.18922590944601062</c:v>
                </c:pt>
                <c:pt idx="610">
                  <c:v>-0.19995924051492819</c:v>
                </c:pt>
                <c:pt idx="611">
                  <c:v>-0.1933358241907544</c:v>
                </c:pt>
                <c:pt idx="612">
                  <c:v>-0.18681430657926021</c:v>
                </c:pt>
                <c:pt idx="613">
                  <c:v>-0.18413097381203083</c:v>
                </c:pt>
                <c:pt idx="614">
                  <c:v>-0.190890255086444</c:v>
                </c:pt>
                <c:pt idx="615">
                  <c:v>-0.18718793519241872</c:v>
                </c:pt>
                <c:pt idx="616">
                  <c:v>-0.19489827111850819</c:v>
                </c:pt>
                <c:pt idx="617">
                  <c:v>-0.19449067626778979</c:v>
                </c:pt>
                <c:pt idx="618">
                  <c:v>-0.24129615162528445</c:v>
                </c:pt>
                <c:pt idx="619">
                  <c:v>-0.24333412587887635</c:v>
                </c:pt>
                <c:pt idx="620">
                  <c:v>-0.23508033015182908</c:v>
                </c:pt>
                <c:pt idx="621">
                  <c:v>-0.24455691043103153</c:v>
                </c:pt>
                <c:pt idx="622">
                  <c:v>-0.25471281546143132</c:v>
                </c:pt>
                <c:pt idx="623">
                  <c:v>-0.25406745694779392</c:v>
                </c:pt>
                <c:pt idx="624">
                  <c:v>-0.26432526069087331</c:v>
                </c:pt>
                <c:pt idx="625">
                  <c:v>-0.25919635881933362</c:v>
                </c:pt>
                <c:pt idx="626">
                  <c:v>-0.2537617608097551</c:v>
                </c:pt>
                <c:pt idx="627">
                  <c:v>-0.2613022655480452</c:v>
                </c:pt>
                <c:pt idx="628">
                  <c:v>-0.27393770592031513</c:v>
                </c:pt>
                <c:pt idx="629">
                  <c:v>-0.2937400224177168</c:v>
                </c:pt>
                <c:pt idx="630">
                  <c:v>-0.28429740837607409</c:v>
                </c:pt>
                <c:pt idx="631">
                  <c:v>-0.28348221867463741</c:v>
                </c:pt>
                <c:pt idx="632">
                  <c:v>-0.29007166876125129</c:v>
                </c:pt>
                <c:pt idx="633">
                  <c:v>-0.28212356917224274</c:v>
                </c:pt>
                <c:pt idx="634">
                  <c:v>-0.31391596752827683</c:v>
                </c:pt>
                <c:pt idx="635">
                  <c:v>-0.31554634693115041</c:v>
                </c:pt>
                <c:pt idx="636">
                  <c:v>-0.3150708196053123</c:v>
                </c:pt>
                <c:pt idx="637">
                  <c:v>-0.25535817397506883</c:v>
                </c:pt>
                <c:pt idx="638">
                  <c:v>-0.25138412418056449</c:v>
                </c:pt>
                <c:pt idx="639">
                  <c:v>-0.25675078971502319</c:v>
                </c:pt>
                <c:pt idx="640">
                  <c:v>-0.26320437485139769</c:v>
                </c:pt>
                <c:pt idx="641">
                  <c:v>-0.23080058421928598</c:v>
                </c:pt>
                <c:pt idx="642">
                  <c:v>-0.23830712272001625</c:v>
                </c:pt>
                <c:pt idx="643">
                  <c:v>-0.2260453109609048</c:v>
                </c:pt>
                <c:pt idx="644">
                  <c:v>-0.21008117930776804</c:v>
                </c:pt>
                <c:pt idx="645">
                  <c:v>-0.21385143167691315</c:v>
                </c:pt>
                <c:pt idx="646">
                  <c:v>-0.20451071634795004</c:v>
                </c:pt>
                <c:pt idx="647">
                  <c:v>-0.20294826942019625</c:v>
                </c:pt>
                <c:pt idx="648">
                  <c:v>-0.18222886450867834</c:v>
                </c:pt>
                <c:pt idx="649">
                  <c:v>-0.18080228253116404</c:v>
                </c:pt>
                <c:pt idx="650">
                  <c:v>-0.14401684725382966</c:v>
                </c:pt>
                <c:pt idx="651">
                  <c:v>-0.14598688903230184</c:v>
                </c:pt>
                <c:pt idx="652">
                  <c:v>-0.15016473625216534</c:v>
                </c:pt>
                <c:pt idx="653">
                  <c:v>-0.14079005468564246</c:v>
                </c:pt>
                <c:pt idx="654">
                  <c:v>-0.1317210692571584</c:v>
                </c:pt>
                <c:pt idx="655">
                  <c:v>-0.11568900512890183</c:v>
                </c:pt>
                <c:pt idx="656">
                  <c:v>-0.14415271220406914</c:v>
                </c:pt>
                <c:pt idx="657">
                  <c:v>-0.13834448558133217</c:v>
                </c:pt>
                <c:pt idx="658">
                  <c:v>-0.13484596311266597</c:v>
                </c:pt>
                <c:pt idx="659">
                  <c:v>-0.13460819944974686</c:v>
                </c:pt>
                <c:pt idx="660">
                  <c:v>-0.13688393736625787</c:v>
                </c:pt>
                <c:pt idx="661">
                  <c:v>-0.15159131822967961</c:v>
                </c:pt>
                <c:pt idx="662">
                  <c:v>-0.15179511565503881</c:v>
                </c:pt>
                <c:pt idx="663">
                  <c:v>-0.14374511735335074</c:v>
                </c:pt>
                <c:pt idx="664">
                  <c:v>-0.14303182636459355</c:v>
                </c:pt>
                <c:pt idx="665">
                  <c:v>-0.12981895995380591</c:v>
                </c:pt>
                <c:pt idx="666">
                  <c:v>-0.12771305322509419</c:v>
                </c:pt>
                <c:pt idx="667">
                  <c:v>-0.10916748751740765</c:v>
                </c:pt>
                <c:pt idx="668">
                  <c:v>-0.12251621887843482</c:v>
                </c:pt>
                <c:pt idx="669">
                  <c:v>-0.12034237967460343</c:v>
                </c:pt>
                <c:pt idx="670">
                  <c:v>-0.12849427668897109</c:v>
                </c:pt>
                <c:pt idx="671">
                  <c:v>-0.17040861383784517</c:v>
                </c:pt>
                <c:pt idx="672">
                  <c:v>-0.17492612343330724</c:v>
                </c:pt>
                <c:pt idx="673">
                  <c:v>-0.18844468598213371</c:v>
                </c:pt>
                <c:pt idx="674">
                  <c:v>-0.18830882103189431</c:v>
                </c:pt>
                <c:pt idx="675">
                  <c:v>-0.19727590774769879</c:v>
                </c:pt>
                <c:pt idx="676">
                  <c:v>-0.18953160558404941</c:v>
                </c:pt>
                <c:pt idx="677">
                  <c:v>-0.19758160388573759</c:v>
                </c:pt>
                <c:pt idx="678">
                  <c:v>-0.21062463910872595</c:v>
                </c:pt>
                <c:pt idx="679">
                  <c:v>-0.2218334975034815</c:v>
                </c:pt>
                <c:pt idx="680">
                  <c:v>-0.20678645426446104</c:v>
                </c:pt>
                <c:pt idx="681">
                  <c:v>-0.19513603478142719</c:v>
                </c:pt>
                <c:pt idx="682">
                  <c:v>-0.18154953975748103</c:v>
                </c:pt>
                <c:pt idx="683">
                  <c:v>-0.1935396216161136</c:v>
                </c:pt>
                <c:pt idx="684">
                  <c:v>-0.19231683706395841</c:v>
                </c:pt>
                <c:pt idx="685">
                  <c:v>-0.19710607655989937</c:v>
                </c:pt>
                <c:pt idx="686">
                  <c:v>-0.16935566047348938</c:v>
                </c:pt>
                <c:pt idx="687">
                  <c:v>-0.17920586936585034</c:v>
                </c:pt>
                <c:pt idx="688">
                  <c:v>-0.18722190142997863</c:v>
                </c:pt>
                <c:pt idx="689">
                  <c:v>-0.17760945620053664</c:v>
                </c:pt>
                <c:pt idx="690">
                  <c:v>-0.18331578411059402</c:v>
                </c:pt>
                <c:pt idx="691">
                  <c:v>-0.20743181277809855</c:v>
                </c:pt>
                <c:pt idx="692">
                  <c:v>-0.22179953126592161</c:v>
                </c:pt>
                <c:pt idx="693">
                  <c:v>-0.23348391698651538</c:v>
                </c:pt>
                <c:pt idx="694">
                  <c:v>-0.22139193641520333</c:v>
                </c:pt>
                <c:pt idx="695">
                  <c:v>-0.21711219048266023</c:v>
                </c:pt>
                <c:pt idx="696">
                  <c:v>-0.21942189463673101</c:v>
                </c:pt>
                <c:pt idx="697">
                  <c:v>-0.22563771611018651</c:v>
                </c:pt>
                <c:pt idx="698">
                  <c:v>-0.21497231751638873</c:v>
                </c:pt>
                <c:pt idx="699">
                  <c:v>-0.20512210862402766</c:v>
                </c:pt>
                <c:pt idx="700">
                  <c:v>-0.2225128222546788</c:v>
                </c:pt>
                <c:pt idx="701">
                  <c:v>-0.20705818416494007</c:v>
                </c:pt>
                <c:pt idx="702">
                  <c:v>-0.20923202336877145</c:v>
                </c:pt>
                <c:pt idx="703">
                  <c:v>-0.17428076491966987</c:v>
                </c:pt>
                <c:pt idx="704">
                  <c:v>-0.15257633911891572</c:v>
                </c:pt>
                <c:pt idx="705">
                  <c:v>-0.15023266872728502</c:v>
                </c:pt>
                <c:pt idx="706">
                  <c:v>-0.14214870418803704</c:v>
                </c:pt>
                <c:pt idx="707">
                  <c:v>-0.13769912706769466</c:v>
                </c:pt>
                <c:pt idx="708">
                  <c:v>-0.15213477803063752</c:v>
                </c:pt>
                <c:pt idx="709">
                  <c:v>-0.16507591454094628</c:v>
                </c:pt>
                <c:pt idx="710">
                  <c:v>-0.1568221188138989</c:v>
                </c:pt>
                <c:pt idx="711">
                  <c:v>-0.15186304813015863</c:v>
                </c:pt>
                <c:pt idx="712">
                  <c:v>-0.17234468937875747</c:v>
                </c:pt>
                <c:pt idx="713">
                  <c:v>-0.14771916714785505</c:v>
                </c:pt>
                <c:pt idx="714">
                  <c:v>-0.16969532284908798</c:v>
                </c:pt>
                <c:pt idx="715">
                  <c:v>-0.18511599470126691</c:v>
                </c:pt>
                <c:pt idx="716">
                  <c:v>-0.1910600862742434</c:v>
                </c:pt>
                <c:pt idx="717">
                  <c:v>-0.20682042050202096</c:v>
                </c:pt>
                <c:pt idx="718">
                  <c:v>-0.2214259026527631</c:v>
                </c:pt>
                <c:pt idx="719">
                  <c:v>-0.22417716789511219</c:v>
                </c:pt>
                <c:pt idx="720">
                  <c:v>-0.22118813898984413</c:v>
                </c:pt>
                <c:pt idx="721">
                  <c:v>-0.22512822254678849</c:v>
                </c:pt>
                <c:pt idx="722">
                  <c:v>-0.22696239937502119</c:v>
                </c:pt>
                <c:pt idx="723">
                  <c:v>-0.23110628035732478</c:v>
                </c:pt>
                <c:pt idx="724">
                  <c:v>-0.2248564926463095</c:v>
                </c:pt>
                <c:pt idx="725">
                  <c:v>-0.20372949288407316</c:v>
                </c:pt>
                <c:pt idx="726">
                  <c:v>-0.19999320675248797</c:v>
                </c:pt>
                <c:pt idx="727">
                  <c:v>-0.16799701097109468</c:v>
                </c:pt>
                <c:pt idx="728">
                  <c:v>-0.17315987908019426</c:v>
                </c:pt>
                <c:pt idx="729">
                  <c:v>-0.17227675690363775</c:v>
                </c:pt>
                <c:pt idx="730">
                  <c:v>-0.15420671852178933</c:v>
                </c:pt>
                <c:pt idx="731">
                  <c:v>-0.15159131822967961</c:v>
                </c:pt>
                <c:pt idx="732">
                  <c:v>-0.1613056621718012</c:v>
                </c:pt>
                <c:pt idx="733">
                  <c:v>-0.19289426310247609</c:v>
                </c:pt>
                <c:pt idx="734">
                  <c:v>-0.20529193981182706</c:v>
                </c:pt>
                <c:pt idx="735">
                  <c:v>-0.21422506029007163</c:v>
                </c:pt>
                <c:pt idx="736">
                  <c:v>-0.20919805713121153</c:v>
                </c:pt>
                <c:pt idx="737">
                  <c:v>-0.20855269861757417</c:v>
                </c:pt>
                <c:pt idx="738">
                  <c:v>-0.21605923711830444</c:v>
                </c:pt>
                <c:pt idx="739">
                  <c:v>-0.22210522740396041</c:v>
                </c:pt>
                <c:pt idx="740">
                  <c:v>-0.20522400733670726</c:v>
                </c:pt>
                <c:pt idx="741">
                  <c:v>-0.20685438673958087</c:v>
                </c:pt>
                <c:pt idx="742">
                  <c:v>-0.19404911517951148</c:v>
                </c:pt>
                <c:pt idx="743">
                  <c:v>-0.19900818586325186</c:v>
                </c:pt>
                <c:pt idx="744">
                  <c:v>-0.20936788831901085</c:v>
                </c:pt>
                <c:pt idx="745">
                  <c:v>-0.21585543969294524</c:v>
                </c:pt>
                <c:pt idx="746">
                  <c:v>-0.23205733500900097</c:v>
                </c:pt>
                <c:pt idx="747">
                  <c:v>-0.22757379165109878</c:v>
                </c:pt>
                <c:pt idx="748">
                  <c:v>-0.27240922523012123</c:v>
                </c:pt>
                <c:pt idx="749">
                  <c:v>-0.27390373968275533</c:v>
                </c:pt>
                <c:pt idx="750">
                  <c:v>-0.2817499405590842</c:v>
                </c:pt>
                <c:pt idx="751">
                  <c:v>-0.28606365272918721</c:v>
                </c:pt>
                <c:pt idx="752">
                  <c:v>-0.25532420773750891</c:v>
                </c:pt>
                <c:pt idx="753">
                  <c:v>-0.25433918684827284</c:v>
                </c:pt>
                <c:pt idx="754">
                  <c:v>-0.24822526408749704</c:v>
                </c:pt>
                <c:pt idx="755">
                  <c:v>-0.25413538942291358</c:v>
                </c:pt>
                <c:pt idx="756">
                  <c:v>-0.22675860194966199</c:v>
                </c:pt>
                <c:pt idx="757">
                  <c:v>-0.21796134642165682</c:v>
                </c:pt>
                <c:pt idx="758">
                  <c:v>-0.21541387860466693</c:v>
                </c:pt>
                <c:pt idx="759">
                  <c:v>-0.21772358275873782</c:v>
                </c:pt>
                <c:pt idx="760">
                  <c:v>-0.21164362623552183</c:v>
                </c:pt>
                <c:pt idx="761">
                  <c:v>-0.21483645256614922</c:v>
                </c:pt>
                <c:pt idx="762">
                  <c:v>-0.2185387724601745</c:v>
                </c:pt>
                <c:pt idx="763">
                  <c:v>-0.22190142997860121</c:v>
                </c:pt>
                <c:pt idx="764">
                  <c:v>-0.20114805882952347</c:v>
                </c:pt>
                <c:pt idx="765">
                  <c:v>-0.21622906830610372</c:v>
                </c:pt>
                <c:pt idx="766">
                  <c:v>-0.22176556502836181</c:v>
                </c:pt>
                <c:pt idx="767">
                  <c:v>-0.21976155701232972</c:v>
                </c:pt>
                <c:pt idx="768">
                  <c:v>-0.20671852178934136</c:v>
                </c:pt>
                <c:pt idx="769">
                  <c:v>-0.22866071125301449</c:v>
                </c:pt>
                <c:pt idx="770">
                  <c:v>-0.2240073367073129</c:v>
                </c:pt>
                <c:pt idx="771">
                  <c:v>-0.21799531265921673</c:v>
                </c:pt>
                <c:pt idx="772">
                  <c:v>-0.23654087836690327</c:v>
                </c:pt>
                <c:pt idx="773">
                  <c:v>-0.21031894297068715</c:v>
                </c:pt>
                <c:pt idx="774">
                  <c:v>-0.19639278557114229</c:v>
                </c:pt>
                <c:pt idx="775">
                  <c:v>-0.18301008797255522</c:v>
                </c:pt>
                <c:pt idx="776">
                  <c:v>-0.19391325022927211</c:v>
                </c:pt>
                <c:pt idx="777">
                  <c:v>-0.18518392717638663</c:v>
                </c:pt>
                <c:pt idx="778">
                  <c:v>-0.19133181617472231</c:v>
                </c:pt>
                <c:pt idx="779">
                  <c:v>-0.1575354098026561</c:v>
                </c:pt>
                <c:pt idx="780">
                  <c:v>-0.14860228932441155</c:v>
                </c:pt>
                <c:pt idx="781">
                  <c:v>-0.13922760775788867</c:v>
                </c:pt>
                <c:pt idx="782">
                  <c:v>-0.13246832648347537</c:v>
                </c:pt>
                <c:pt idx="783">
                  <c:v>-0.1581128358411738</c:v>
                </c:pt>
                <c:pt idx="784">
                  <c:v>-0.17020481641248597</c:v>
                </c:pt>
                <c:pt idx="785">
                  <c:v>-0.18100607995652324</c:v>
                </c:pt>
                <c:pt idx="786">
                  <c:v>-0.18678034034170032</c:v>
                </c:pt>
                <c:pt idx="787">
                  <c:v>-0.22037294928840731</c:v>
                </c:pt>
                <c:pt idx="788">
                  <c:v>-0.22196936245372101</c:v>
                </c:pt>
                <c:pt idx="789">
                  <c:v>-0.22506029007166869</c:v>
                </c:pt>
                <c:pt idx="790">
                  <c:v>-0.17553751570938486</c:v>
                </c:pt>
                <c:pt idx="791">
                  <c:v>-0.18501409598858731</c:v>
                </c:pt>
                <c:pt idx="792">
                  <c:v>-0.17781325362589584</c:v>
                </c:pt>
                <c:pt idx="793">
                  <c:v>-0.1672837199823376</c:v>
                </c:pt>
                <c:pt idx="794">
                  <c:v>-0.16891409938521107</c:v>
                </c:pt>
                <c:pt idx="795">
                  <c:v>-0.17512992085866644</c:v>
                </c:pt>
                <c:pt idx="796">
                  <c:v>-0.16694405760673889</c:v>
                </c:pt>
                <c:pt idx="797">
                  <c:v>-0.17217485819095815</c:v>
                </c:pt>
                <c:pt idx="798">
                  <c:v>-0.18640671172854181</c:v>
                </c:pt>
                <c:pt idx="799">
                  <c:v>-0.21344383682619472</c:v>
                </c:pt>
                <c:pt idx="800">
                  <c:v>-0.21242484969939873</c:v>
                </c:pt>
                <c:pt idx="801">
                  <c:v>-0.20824700247953537</c:v>
                </c:pt>
                <c:pt idx="802">
                  <c:v>-0.21568560850514581</c:v>
                </c:pt>
                <c:pt idx="803">
                  <c:v>-0.21653476444414252</c:v>
                </c:pt>
                <c:pt idx="804">
                  <c:v>-0.228796576203254</c:v>
                </c:pt>
                <c:pt idx="805">
                  <c:v>-0.21561767603002613</c:v>
                </c:pt>
                <c:pt idx="806">
                  <c:v>-0.23001936075540907</c:v>
                </c:pt>
                <c:pt idx="807">
                  <c:v>-0.22533201997214772</c:v>
                </c:pt>
                <c:pt idx="808">
                  <c:v>-0.24268876736523895</c:v>
                </c:pt>
                <c:pt idx="809">
                  <c:v>-0.23705037193030126</c:v>
                </c:pt>
                <c:pt idx="810">
                  <c:v>-0.22254678849223872</c:v>
                </c:pt>
                <c:pt idx="811">
                  <c:v>-0.22125607146496382</c:v>
                </c:pt>
                <c:pt idx="812">
                  <c:v>-0.21025101049556733</c:v>
                </c:pt>
                <c:pt idx="813">
                  <c:v>-0.20712611664005975</c:v>
                </c:pt>
                <c:pt idx="814">
                  <c:v>-0.20919805713121153</c:v>
                </c:pt>
                <c:pt idx="815">
                  <c:v>-0.20699025168982024</c:v>
                </c:pt>
                <c:pt idx="816">
                  <c:v>-0.23460480282599097</c:v>
                </c:pt>
                <c:pt idx="817">
                  <c:v>-0.23277062599775816</c:v>
                </c:pt>
                <c:pt idx="818">
                  <c:v>-0.23674467579226247</c:v>
                </c:pt>
                <c:pt idx="819">
                  <c:v>-0.2273020617506199</c:v>
                </c:pt>
                <c:pt idx="820">
                  <c:v>-0.2229204171053972</c:v>
                </c:pt>
                <c:pt idx="821">
                  <c:v>-0.24370775449203494</c:v>
                </c:pt>
                <c:pt idx="822">
                  <c:v>-0.23592948609082565</c:v>
                </c:pt>
                <c:pt idx="823">
                  <c:v>-0.21670459563194183</c:v>
                </c:pt>
                <c:pt idx="824">
                  <c:v>-0.21028497673312724</c:v>
                </c:pt>
                <c:pt idx="825">
                  <c:v>-0.21915016473625212</c:v>
                </c:pt>
                <c:pt idx="826">
                  <c:v>-0.22220712611664001</c:v>
                </c:pt>
                <c:pt idx="827">
                  <c:v>-0.23107231411976487</c:v>
                </c:pt>
                <c:pt idx="828">
                  <c:v>-0.23063075303148667</c:v>
                </c:pt>
                <c:pt idx="829">
                  <c:v>-0.23114024659488469</c:v>
                </c:pt>
                <c:pt idx="830">
                  <c:v>-0.22268265344247809</c:v>
                </c:pt>
                <c:pt idx="831">
                  <c:v>-0.18511599470126691</c:v>
                </c:pt>
                <c:pt idx="832">
                  <c:v>-0.18535375836418591</c:v>
                </c:pt>
                <c:pt idx="833">
                  <c:v>-0.16806494344621448</c:v>
                </c:pt>
                <c:pt idx="834">
                  <c:v>-0.16517781325362588</c:v>
                </c:pt>
                <c:pt idx="835">
                  <c:v>-0.16052443870792429</c:v>
                </c:pt>
                <c:pt idx="836">
                  <c:v>-0.17142760096464119</c:v>
                </c:pt>
                <c:pt idx="837">
                  <c:v>-0.14554532794402364</c:v>
                </c:pt>
                <c:pt idx="838">
                  <c:v>-0.14880608674977075</c:v>
                </c:pt>
                <c:pt idx="839">
                  <c:v>-0.14184300804999825</c:v>
                </c:pt>
                <c:pt idx="840">
                  <c:v>-0.14625861893278072</c:v>
                </c:pt>
                <c:pt idx="841">
                  <c:v>-0.14731157229713665</c:v>
                </c:pt>
                <c:pt idx="842">
                  <c:v>-0.15060629734044351</c:v>
                </c:pt>
                <c:pt idx="843">
                  <c:v>-0.15454638089738804</c:v>
                </c:pt>
                <c:pt idx="844">
                  <c:v>-0.16364933256343189</c:v>
                </c:pt>
                <c:pt idx="845">
                  <c:v>-0.15495397574810629</c:v>
                </c:pt>
                <c:pt idx="846">
                  <c:v>-0.14394891477870994</c:v>
                </c:pt>
                <c:pt idx="847">
                  <c:v>-0.11494174790258485</c:v>
                </c:pt>
                <c:pt idx="848">
                  <c:v>-7.6288169559457858E-2</c:v>
                </c:pt>
                <c:pt idx="849">
                  <c:v>-6.9834584423083365E-2</c:v>
                </c:pt>
                <c:pt idx="850">
                  <c:v>-5.0439862776400238E-2</c:v>
                </c:pt>
                <c:pt idx="851">
                  <c:v>-4.4393872490744155E-2</c:v>
                </c:pt>
                <c:pt idx="852">
                  <c:v>-4.2016235861553564E-2</c:v>
                </c:pt>
                <c:pt idx="853">
                  <c:v>-3.5324887062260085E-2</c:v>
                </c:pt>
                <c:pt idx="854">
                  <c:v>-1.9530586596922635E-2</c:v>
                </c:pt>
                <c:pt idx="855">
                  <c:v>-3.1079107367276898E-2</c:v>
                </c:pt>
                <c:pt idx="856">
                  <c:v>-3.0162018953160497E-2</c:v>
                </c:pt>
                <c:pt idx="857">
                  <c:v>-3.0875309941917697E-2</c:v>
                </c:pt>
                <c:pt idx="858">
                  <c:v>-6.9426989572365094E-2</c:v>
                </c:pt>
                <c:pt idx="859">
                  <c:v>-6.555483849054039E-2</c:v>
                </c:pt>
                <c:pt idx="860">
                  <c:v>-6.6064332053938399E-2</c:v>
                </c:pt>
                <c:pt idx="861">
                  <c:v>-6.5860534628579201E-2</c:v>
                </c:pt>
                <c:pt idx="862">
                  <c:v>-6.0493869094120405E-2</c:v>
                </c:pt>
                <c:pt idx="863">
                  <c:v>-9.4663904079345107E-2</c:v>
                </c:pt>
                <c:pt idx="864">
                  <c:v>-9.1471077748717711E-2</c:v>
                </c:pt>
                <c:pt idx="865">
                  <c:v>-8.8719812506368609E-2</c:v>
                </c:pt>
                <c:pt idx="866">
                  <c:v>-6.2056316021874197E-2</c:v>
                </c:pt>
                <c:pt idx="867">
                  <c:v>-6.4433952651064788E-2</c:v>
                </c:pt>
                <c:pt idx="868">
                  <c:v>-6.2497877110152505E-2</c:v>
                </c:pt>
                <c:pt idx="869">
                  <c:v>-3.6547671614415293E-2</c:v>
                </c:pt>
                <c:pt idx="870">
                  <c:v>-3.3898305084745679E-2</c:v>
                </c:pt>
                <c:pt idx="871">
                  <c:v>-2.5101049556740505E-2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-1.0732128538826834E-2</c:v>
                </c:pt>
                <c:pt idx="876">
                  <c:v>-2.8680688336520176E-2</c:v>
                </c:pt>
                <c:pt idx="877">
                  <c:v>-6.0784555603528141E-2</c:v>
                </c:pt>
                <c:pt idx="878">
                  <c:v>-8.9126009991982186E-3</c:v>
                </c:pt>
                <c:pt idx="879">
                  <c:v>-1.6344908406835371E-3</c:v>
                </c:pt>
                <c:pt idx="880">
                  <c:v>-2.3006229568864559E-2</c:v>
                </c:pt>
                <c:pt idx="881">
                  <c:v>-4.576574353913531E-2</c:v>
                </c:pt>
                <c:pt idx="882">
                  <c:v>-8.1847899833467075E-2</c:v>
                </c:pt>
                <c:pt idx="883">
                  <c:v>-6.7754271263800736E-2</c:v>
                </c:pt>
                <c:pt idx="884">
                  <c:v>-2.757046814284839E-2</c:v>
                </c:pt>
                <c:pt idx="885">
                  <c:v>-7.3891321778819491E-2</c:v>
                </c:pt>
                <c:pt idx="886">
                  <c:v>-9.3751927465614088E-2</c:v>
                </c:pt>
                <c:pt idx="887">
                  <c:v>-6.1802257447727167E-2</c:v>
                </c:pt>
                <c:pt idx="888">
                  <c:v>-9.8994633935730603E-2</c:v>
                </c:pt>
                <c:pt idx="889">
                  <c:v>-8.8848454943563804E-2</c:v>
                </c:pt>
                <c:pt idx="890">
                  <c:v>-8.3544069573798896E-2</c:v>
                </c:pt>
                <c:pt idx="891">
                  <c:v>-4.4563004995990876E-2</c:v>
                </c:pt>
                <c:pt idx="892">
                  <c:v>-8.4530931968173781E-2</c:v>
                </c:pt>
                <c:pt idx="893">
                  <c:v>-0.10479245050268313</c:v>
                </c:pt>
                <c:pt idx="894">
                  <c:v>-0.1028495651637575</c:v>
                </c:pt>
                <c:pt idx="895">
                  <c:v>-9.7761055942762035E-2</c:v>
                </c:pt>
                <c:pt idx="896">
                  <c:v>-8.6751372355517248E-2</c:v>
                </c:pt>
                <c:pt idx="897">
                  <c:v>-8.5363597113427517E-2</c:v>
                </c:pt>
                <c:pt idx="898">
                  <c:v>-4.8849688521556869E-2</c:v>
                </c:pt>
                <c:pt idx="899">
                  <c:v>-4.666008758403755E-2</c:v>
                </c:pt>
                <c:pt idx="900">
                  <c:v>-4.2250046259174764E-2</c:v>
                </c:pt>
                <c:pt idx="901">
                  <c:v>-4.354530315179185E-2</c:v>
                </c:pt>
                <c:pt idx="902">
                  <c:v>-2.3283784617282505E-2</c:v>
                </c:pt>
                <c:pt idx="903">
                  <c:v>-4.5950780238080614E-2</c:v>
                </c:pt>
                <c:pt idx="904">
                  <c:v>-2.9852587429840358E-2</c:v>
                </c:pt>
                <c:pt idx="905">
                  <c:v>-6.3190032689816905E-2</c:v>
                </c:pt>
                <c:pt idx="906">
                  <c:v>-6.7908468512921774E-2</c:v>
                </c:pt>
                <c:pt idx="907">
                  <c:v>-9.5756491704187999E-2</c:v>
                </c:pt>
                <c:pt idx="908">
                  <c:v>-9.5448097205945909E-2</c:v>
                </c:pt>
                <c:pt idx="909">
                  <c:v>-9.5910688953309162E-2</c:v>
                </c:pt>
                <c:pt idx="910">
                  <c:v>-0.13726639116758158</c:v>
                </c:pt>
                <c:pt idx="911">
                  <c:v>-0.14062789119842109</c:v>
                </c:pt>
                <c:pt idx="912">
                  <c:v>-0.11537038179238891</c:v>
                </c:pt>
                <c:pt idx="913">
                  <c:v>-0.1034046752605934</c:v>
                </c:pt>
                <c:pt idx="914">
                  <c:v>-0.11777585887867768</c:v>
                </c:pt>
                <c:pt idx="915">
                  <c:v>-0.15691112070560664</c:v>
                </c:pt>
                <c:pt idx="916">
                  <c:v>-0.15681860235613398</c:v>
                </c:pt>
                <c:pt idx="917">
                  <c:v>-0.16520693270832057</c:v>
                </c:pt>
                <c:pt idx="918">
                  <c:v>-0.14472953802504165</c:v>
                </c:pt>
                <c:pt idx="919">
                  <c:v>-0.1323629186455314</c:v>
                </c:pt>
                <c:pt idx="920">
                  <c:v>-0.13908591870721029</c:v>
                </c:pt>
                <c:pt idx="921">
                  <c:v>-0.15287115277863444</c:v>
                </c:pt>
                <c:pt idx="922">
                  <c:v>-0.1195953864183064</c:v>
                </c:pt>
                <c:pt idx="923">
                  <c:v>-9.2086597175106408E-2</c:v>
                </c:pt>
                <c:pt idx="924">
                  <c:v>-8.5332757663603376E-2</c:v>
                </c:pt>
                <c:pt idx="925">
                  <c:v>-8.480848701659173E-2</c:v>
                </c:pt>
                <c:pt idx="926">
                  <c:v>-9.9950656880281347E-2</c:v>
                </c:pt>
                <c:pt idx="927">
                  <c:v>-7.0036390550792596E-2</c:v>
                </c:pt>
                <c:pt idx="928">
                  <c:v>-7.0961574045519088E-2</c:v>
                </c:pt>
                <c:pt idx="929">
                  <c:v>-9.5170542157527974E-2</c:v>
                </c:pt>
                <c:pt idx="930">
                  <c:v>-8.0151730093135143E-2</c:v>
                </c:pt>
                <c:pt idx="931">
                  <c:v>-0.13008079935853956</c:v>
                </c:pt>
                <c:pt idx="932">
                  <c:v>-0.12351199654598169</c:v>
                </c:pt>
                <c:pt idx="933">
                  <c:v>-0.10688953309072968</c:v>
                </c:pt>
                <c:pt idx="934">
                  <c:v>-0.12042805156356014</c:v>
                </c:pt>
                <c:pt idx="935">
                  <c:v>-0.12156911120705606</c:v>
                </c:pt>
                <c:pt idx="936">
                  <c:v>-0.11203972121137366</c:v>
                </c:pt>
                <c:pt idx="937">
                  <c:v>-7.583420711774512E-2</c:v>
                </c:pt>
                <c:pt idx="938">
                  <c:v>-4.4285449947573038E-2</c:v>
                </c:pt>
                <c:pt idx="939">
                  <c:v>-4.9096404120150566E-2</c:v>
                </c:pt>
                <c:pt idx="940">
                  <c:v>-5.8101523468821324E-2</c:v>
                </c:pt>
                <c:pt idx="941">
                  <c:v>-3.5311170048726422E-2</c:v>
                </c:pt>
                <c:pt idx="942">
                  <c:v>-4.582742243878371E-2</c:v>
                </c:pt>
                <c:pt idx="943">
                  <c:v>-4.5025596743354344E-3</c:v>
                </c:pt>
                <c:pt idx="944">
                  <c:v>-1.7146734102263642E-2</c:v>
                </c:pt>
                <c:pt idx="945">
                  <c:v>-7.1239129093937465E-3</c:v>
                </c:pt>
                <c:pt idx="946">
                  <c:v>-2.9852587429840358E-2</c:v>
                </c:pt>
                <c:pt idx="947">
                  <c:v>-2.1094183679763186E-2</c:v>
                </c:pt>
                <c:pt idx="948">
                  <c:v>-1.5604761611052865E-2</c:v>
                </c:pt>
                <c:pt idx="949">
                  <c:v>0</c:v>
                </c:pt>
                <c:pt idx="950">
                  <c:v>-1.4169541646131125E-2</c:v>
                </c:pt>
                <c:pt idx="951">
                  <c:v>-5.74174470182355E-2</c:v>
                </c:pt>
                <c:pt idx="952">
                  <c:v>-5.5261212419911193E-2</c:v>
                </c:pt>
                <c:pt idx="953">
                  <c:v>-3.7703302119270588E-2</c:v>
                </c:pt>
                <c:pt idx="954">
                  <c:v>-3.5362247412518477E-2</c:v>
                </c:pt>
                <c:pt idx="955">
                  <c:v>-2.1808772794479993E-2</c:v>
                </c:pt>
                <c:pt idx="956">
                  <c:v>-1.5093642188270036E-2</c:v>
                </c:pt>
                <c:pt idx="957">
                  <c:v>-2.1254312469196578E-2</c:v>
                </c:pt>
                <c:pt idx="958">
                  <c:v>0</c:v>
                </c:pt>
                <c:pt idx="959">
                  <c:v>0</c:v>
                </c:pt>
                <c:pt idx="960">
                  <c:v>-3.4302674010444859E-2</c:v>
                </c:pt>
                <c:pt idx="961">
                  <c:v>-3.5558345937615803E-2</c:v>
                </c:pt>
                <c:pt idx="962">
                  <c:v>-2.9679518278587919E-2</c:v>
                </c:pt>
                <c:pt idx="963">
                  <c:v>-1.7122799006877496E-2</c:v>
                </c:pt>
                <c:pt idx="964">
                  <c:v>-2.303016466425031E-2</c:v>
                </c:pt>
                <c:pt idx="965">
                  <c:v>-5.9587340543934081E-2</c:v>
                </c:pt>
                <c:pt idx="966">
                  <c:v>-6.4952484232755819E-2</c:v>
                </c:pt>
                <c:pt idx="967">
                  <c:v>-6.0129562512485357E-2</c:v>
                </c:pt>
                <c:pt idx="968">
                  <c:v>-0.10148112211409485</c:v>
                </c:pt>
                <c:pt idx="969">
                  <c:v>-8.6413058988042551E-2</c:v>
                </c:pt>
                <c:pt idx="970">
                  <c:v>-0.12194286692731363</c:v>
                </c:pt>
                <c:pt idx="971">
                  <c:v>-0.11774778117062863</c:v>
                </c:pt>
                <c:pt idx="972">
                  <c:v>-0.12054450500841862</c:v>
                </c:pt>
                <c:pt idx="973">
                  <c:v>-0.12319853885448466</c:v>
                </c:pt>
                <c:pt idx="974">
                  <c:v>-0.10450614993864318</c:v>
                </c:pt>
                <c:pt idx="975">
                  <c:v>-0.10342170600154092</c:v>
                </c:pt>
                <c:pt idx="976">
                  <c:v>-0.1107845095744984</c:v>
                </c:pt>
                <c:pt idx="977">
                  <c:v>-0.11249678947518613</c:v>
                </c:pt>
                <c:pt idx="978">
                  <c:v>-0.13255900231157777</c:v>
                </c:pt>
                <c:pt idx="979">
                  <c:v>-0.12767900459461765</c:v>
                </c:pt>
                <c:pt idx="980">
                  <c:v>-0.13087526040923486</c:v>
                </c:pt>
                <c:pt idx="981">
                  <c:v>-0.12268485488427831</c:v>
                </c:pt>
                <c:pt idx="982">
                  <c:v>-0.10496275791215998</c:v>
                </c:pt>
                <c:pt idx="983">
                  <c:v>-9.2891184612311176E-2</c:v>
                </c:pt>
                <c:pt idx="984">
                  <c:v>-0.10373562398333376</c:v>
                </c:pt>
                <c:pt idx="985">
                  <c:v>-7.305727576267787E-2</c:v>
                </c:pt>
                <c:pt idx="986">
                  <c:v>-6.9318797979509586E-2</c:v>
                </c:pt>
                <c:pt idx="987">
                  <c:v>-6.3297280328757644E-2</c:v>
                </c:pt>
                <c:pt idx="988">
                  <c:v>-0.10156673610912924</c:v>
                </c:pt>
                <c:pt idx="989">
                  <c:v>-0.11740532519049107</c:v>
                </c:pt>
                <c:pt idx="990">
                  <c:v>-0.12114380297365937</c:v>
                </c:pt>
                <c:pt idx="991">
                  <c:v>-0.12645187066579144</c:v>
                </c:pt>
                <c:pt idx="992">
                  <c:v>-0.16435033246768063</c:v>
                </c:pt>
                <c:pt idx="993">
                  <c:v>-0.14214776975542931</c:v>
                </c:pt>
                <c:pt idx="994">
                  <c:v>-0.1371821580434347</c:v>
                </c:pt>
                <c:pt idx="995">
                  <c:v>-0.16064039268285718</c:v>
                </c:pt>
                <c:pt idx="996">
                  <c:v>-0.14671384949059668</c:v>
                </c:pt>
                <c:pt idx="997">
                  <c:v>-0.12722239662110096</c:v>
                </c:pt>
                <c:pt idx="998">
                  <c:v>-0.12428298279158692</c:v>
                </c:pt>
                <c:pt idx="999">
                  <c:v>-0.1241688307982077</c:v>
                </c:pt>
                <c:pt idx="1000">
                  <c:v>-0.11489398133614899</c:v>
                </c:pt>
                <c:pt idx="1001">
                  <c:v>-0.13504180816757502</c:v>
                </c:pt>
                <c:pt idx="1002">
                  <c:v>-0.13384321223709364</c:v>
                </c:pt>
                <c:pt idx="1003">
                  <c:v>-0.10016837419023425</c:v>
                </c:pt>
                <c:pt idx="1004">
                  <c:v>-9.4632002511343738E-2</c:v>
                </c:pt>
                <c:pt idx="1005">
                  <c:v>-0.10116720413230211</c:v>
                </c:pt>
                <c:pt idx="1006">
                  <c:v>-0.10333609200650654</c:v>
                </c:pt>
                <c:pt idx="1007">
                  <c:v>-0.12354099483462223</c:v>
                </c:pt>
                <c:pt idx="1008">
                  <c:v>-0.13578379612453972</c:v>
                </c:pt>
                <c:pt idx="1009">
                  <c:v>-0.12231386090579602</c:v>
                </c:pt>
                <c:pt idx="1010">
                  <c:v>-0.10778801974829479</c:v>
                </c:pt>
                <c:pt idx="1011">
                  <c:v>-7.271481978254031E-2</c:v>
                </c:pt>
                <c:pt idx="1012">
                  <c:v>-7.1773065837162003E-2</c:v>
                </c:pt>
                <c:pt idx="1013">
                  <c:v>-5.7618218658143275E-2</c:v>
                </c:pt>
                <c:pt idx="1014">
                  <c:v>-5.8930966582003877E-2</c:v>
                </c:pt>
                <c:pt idx="1015">
                  <c:v>-6.8919266002682555E-2</c:v>
                </c:pt>
                <c:pt idx="1016">
                  <c:v>-7.2771895779229975E-2</c:v>
                </c:pt>
                <c:pt idx="1017">
                  <c:v>-7.7594817499500424E-2</c:v>
                </c:pt>
                <c:pt idx="1018">
                  <c:v>-6.4381724265860002E-2</c:v>
                </c:pt>
                <c:pt idx="1019">
                  <c:v>-6.6065466168202899E-2</c:v>
                </c:pt>
                <c:pt idx="1020">
                  <c:v>-4.7601381239119868E-2</c:v>
                </c:pt>
                <c:pt idx="1021">
                  <c:v>-5.7018920692902535E-2</c:v>
                </c:pt>
                <c:pt idx="1022">
                  <c:v>-4.4376587426157924E-2</c:v>
                </c:pt>
                <c:pt idx="1023">
                  <c:v>-6.5009560229445471E-2</c:v>
                </c:pt>
                <c:pt idx="1024">
                  <c:v>-8.746896492679998E-2</c:v>
                </c:pt>
                <c:pt idx="1025">
                  <c:v>-7.4826631660055362E-2</c:v>
                </c:pt>
                <c:pt idx="1026">
                  <c:v>-8.3644873148597296E-2</c:v>
                </c:pt>
                <c:pt idx="1027">
                  <c:v>-7.7937273479637983E-2</c:v>
                </c:pt>
                <c:pt idx="1028">
                  <c:v>-7.5911075597157526E-2</c:v>
                </c:pt>
                <c:pt idx="1029">
                  <c:v>-5.4421962843526059E-2</c:v>
                </c:pt>
                <c:pt idx="1030">
                  <c:v>-4.8600211181187639E-2</c:v>
                </c:pt>
                <c:pt idx="1031">
                  <c:v>-7.1658913843782882E-2</c:v>
                </c:pt>
                <c:pt idx="1032">
                  <c:v>-5.4050968865043764E-2</c:v>
                </c:pt>
                <c:pt idx="1033">
                  <c:v>-3.7042321851545185E-2</c:v>
                </c:pt>
                <c:pt idx="1034">
                  <c:v>-2.0975428783425117E-2</c:v>
                </c:pt>
                <c:pt idx="1035">
                  <c:v>-2.0918352786735456E-2</c:v>
                </c:pt>
                <c:pt idx="1036">
                  <c:v>-6.3639736308895006E-3</c:v>
                </c:pt>
                <c:pt idx="1037">
                  <c:v>-2.3857766616249495E-2</c:v>
                </c:pt>
                <c:pt idx="1038">
                  <c:v>-2.9964898262035824E-2</c:v>
                </c:pt>
                <c:pt idx="1039">
                  <c:v>-4.5403955366570423E-2</c:v>
                </c:pt>
                <c:pt idx="1040">
                  <c:v>-2.9051682315002245E-2</c:v>
                </c:pt>
                <c:pt idx="1041">
                  <c:v>-2.81670043663136E-2</c:v>
                </c:pt>
                <c:pt idx="1042">
                  <c:v>-3.8811677748921461E-3</c:v>
                </c:pt>
                <c:pt idx="1043">
                  <c:v>-1.2271339288262314E-2</c:v>
                </c:pt>
                <c:pt idx="1044">
                  <c:v>-2.0889814788390724E-2</c:v>
                </c:pt>
                <c:pt idx="1045">
                  <c:v>-1.1158357352815224E-2</c:v>
                </c:pt>
                <c:pt idx="1046">
                  <c:v>-8.7640192916868767E-2</c:v>
                </c:pt>
                <c:pt idx="1047">
                  <c:v>-0.15516109700065631</c:v>
                </c:pt>
                <c:pt idx="1048">
                  <c:v>-0.15282098113638301</c:v>
                </c:pt>
                <c:pt idx="1049">
                  <c:v>-0.13201678034302669</c:v>
                </c:pt>
                <c:pt idx="1050">
                  <c:v>-0.1221997089124168</c:v>
                </c:pt>
                <c:pt idx="1051">
                  <c:v>-8.2018207242943855E-2</c:v>
                </c:pt>
                <c:pt idx="1052">
                  <c:v>-7.8308267458120487E-2</c:v>
                </c:pt>
                <c:pt idx="1053">
                  <c:v>-5.8816814588624755E-2</c:v>
                </c:pt>
                <c:pt idx="1054">
                  <c:v>-7.1915755828886055E-2</c:v>
                </c:pt>
                <c:pt idx="1055">
                  <c:v>-6.0957164464484341E-2</c:v>
                </c:pt>
                <c:pt idx="1056">
                  <c:v>-4.2635769527125368E-2</c:v>
                </c:pt>
                <c:pt idx="1057">
                  <c:v>-4.3891441454296305E-2</c:v>
                </c:pt>
                <c:pt idx="1058">
                  <c:v>-5.3537284894837417E-2</c:v>
                </c:pt>
                <c:pt idx="1059">
                  <c:v>-4.1779629576781448E-2</c:v>
                </c:pt>
                <c:pt idx="1060">
                  <c:v>-6.3154590337033592E-2</c:v>
                </c:pt>
                <c:pt idx="1061">
                  <c:v>-7.3399731742815444E-2</c:v>
                </c:pt>
                <c:pt idx="1062">
                  <c:v>-7.3257041751091587E-2</c:v>
                </c:pt>
                <c:pt idx="1063">
                  <c:v>-4.7373077252361423E-2</c:v>
                </c:pt>
                <c:pt idx="1064">
                  <c:v>-6.4210496275791215E-2</c:v>
                </c:pt>
                <c:pt idx="1065">
                  <c:v>-6.9176107987785729E-2</c:v>
                </c:pt>
                <c:pt idx="1066">
                  <c:v>-6.8976341999372012E-2</c:v>
                </c:pt>
                <c:pt idx="1067">
                  <c:v>-5.5392254787249094E-2</c:v>
                </c:pt>
                <c:pt idx="1068">
                  <c:v>-7.4113181701435299E-2</c:v>
                </c:pt>
                <c:pt idx="1069">
                  <c:v>-6.7378214092063501E-2</c:v>
                </c:pt>
                <c:pt idx="1070">
                  <c:v>-7.231528780571328E-2</c:v>
                </c:pt>
                <c:pt idx="1071">
                  <c:v>-5.3280442909734237E-2</c:v>
                </c:pt>
                <c:pt idx="1072">
                  <c:v>-3.9810507690990447E-2</c:v>
                </c:pt>
                <c:pt idx="1073">
                  <c:v>-5.199623298421837E-2</c:v>
                </c:pt>
                <c:pt idx="1074">
                  <c:v>-4.1265945606575101E-2</c:v>
                </c:pt>
                <c:pt idx="1075">
                  <c:v>-4.9370737136497159E-2</c:v>
                </c:pt>
                <c:pt idx="1076">
                  <c:v>-5.3679974886561468E-2</c:v>
                </c:pt>
                <c:pt idx="1077">
                  <c:v>-4.6174481321879943E-2</c:v>
                </c:pt>
                <c:pt idx="1078">
                  <c:v>-9.9026854256440804E-3</c:v>
                </c:pt>
                <c:pt idx="1079">
                  <c:v>-1.1643503324676641E-2</c:v>
                </c:pt>
                <c:pt idx="1080">
                  <c:v>-1.1215433349504684E-2</c:v>
                </c:pt>
                <c:pt idx="1081">
                  <c:v>0</c:v>
                </c:pt>
                <c:pt idx="1082">
                  <c:v>0</c:v>
                </c:pt>
                <c:pt idx="1083">
                  <c:v>-4.1852375258179253E-3</c:v>
                </c:pt>
                <c:pt idx="1084">
                  <c:v>-1.4539623872159926E-2</c:v>
                </c:pt>
                <c:pt idx="1085">
                  <c:v>-1.3615610392433896E-2</c:v>
                </c:pt>
                <c:pt idx="1086">
                  <c:v>-9.4575497336666751E-3</c:v>
                </c:pt>
                <c:pt idx="1087">
                  <c:v>0</c:v>
                </c:pt>
                <c:pt idx="1088">
                  <c:v>-6.4062878522787173E-3</c:v>
                </c:pt>
                <c:pt idx="1089">
                  <c:v>-2.6863341498210132E-2</c:v>
                </c:pt>
                <c:pt idx="1090">
                  <c:v>-3.9029904982369322E-2</c:v>
                </c:pt>
                <c:pt idx="1091">
                  <c:v>-2.8693709456003941E-2</c:v>
                </c:pt>
                <c:pt idx="1092">
                  <c:v>-1.0605367284864617E-2</c:v>
                </c:pt>
                <c:pt idx="1093">
                  <c:v>-2.6351915157061888E-2</c:v>
                </c:pt>
                <c:pt idx="1094">
                  <c:v>-2.0295550590832139E-2</c:v>
                </c:pt>
                <c:pt idx="1095">
                  <c:v>-1.1412882560361944E-2</c:v>
                </c:pt>
                <c:pt idx="1096">
                  <c:v>-1.8034507819439628E-3</c:v>
                </c:pt>
                <c:pt idx="1097">
                  <c:v>-6.6485424349277235E-3</c:v>
                </c:pt>
                <c:pt idx="1098">
                  <c:v>-1.0820704691663777E-2</c:v>
                </c:pt>
                <c:pt idx="1099">
                  <c:v>-1.402384861780304E-2</c:v>
                </c:pt>
                <c:pt idx="1100">
                  <c:v>0</c:v>
                </c:pt>
                <c:pt idx="1101">
                  <c:v>0</c:v>
                </c:pt>
                <c:pt idx="1102">
                  <c:v>-1.6313045273862938E-2</c:v>
                </c:pt>
                <c:pt idx="1103">
                  <c:v>-1.608073924939336E-2</c:v>
                </c:pt>
                <c:pt idx="1104">
                  <c:v>-1.1331371638015593E-2</c:v>
                </c:pt>
                <c:pt idx="1105">
                  <c:v>0</c:v>
                </c:pt>
                <c:pt idx="1106">
                  <c:v>0</c:v>
                </c:pt>
                <c:pt idx="1107">
                  <c:v>-1.3146252054101783E-3</c:v>
                </c:pt>
                <c:pt idx="1108">
                  <c:v>-8.3680950575149311E-3</c:v>
                </c:pt>
                <c:pt idx="1109">
                  <c:v>-3.8225255972696257E-2</c:v>
                </c:pt>
                <c:pt idx="1110">
                  <c:v>-3.6758943243584898E-2</c:v>
                </c:pt>
                <c:pt idx="1111">
                  <c:v>-4.5910757173555874E-2</c:v>
                </c:pt>
                <c:pt idx="1112">
                  <c:v>-7.1874604980406945E-2</c:v>
                </c:pt>
                <c:pt idx="1113">
                  <c:v>-5.6301352547086257E-2</c:v>
                </c:pt>
                <c:pt idx="1114">
                  <c:v>-4.3787131841739331E-2</c:v>
                </c:pt>
                <c:pt idx="1115">
                  <c:v>-4.1789912779673838E-2</c:v>
                </c:pt>
                <c:pt idx="1116">
                  <c:v>-3.1879661231197141E-2</c:v>
                </c:pt>
                <c:pt idx="1117">
                  <c:v>-4.4697256983946422E-2</c:v>
                </c:pt>
                <c:pt idx="1118">
                  <c:v>-3.9261787384654211E-2</c:v>
                </c:pt>
                <c:pt idx="1119">
                  <c:v>-2.4093035014536798E-2</c:v>
                </c:pt>
                <c:pt idx="1120">
                  <c:v>-3.7567943369991079E-2</c:v>
                </c:pt>
                <c:pt idx="1121">
                  <c:v>-3.8579193527998892E-2</c:v>
                </c:pt>
                <c:pt idx="1122">
                  <c:v>-5.6200227531285528E-2</c:v>
                </c:pt>
                <c:pt idx="1123">
                  <c:v>-4.5051194539249058E-2</c:v>
                </c:pt>
                <c:pt idx="1124">
                  <c:v>-3.7315130830489172E-2</c:v>
                </c:pt>
                <c:pt idx="1125">
                  <c:v>-1.2741751990898692E-2</c:v>
                </c:pt>
                <c:pt idx="1126">
                  <c:v>-1.5168752370117593E-2</c:v>
                </c:pt>
                <c:pt idx="1127">
                  <c:v>-1.2615345721147827E-2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-1.5287684260580138E-2</c:v>
                </c:pt>
                <c:pt idx="1133">
                  <c:v>-3.7565382786495776E-3</c:v>
                </c:pt>
                <c:pt idx="1134">
                  <c:v>-1.7094626723728034E-2</c:v>
                </c:pt>
                <c:pt idx="1135">
                  <c:v>-1.0936757013789844E-2</c:v>
                </c:pt>
                <c:pt idx="1136">
                  <c:v>0</c:v>
                </c:pt>
                <c:pt idx="1137">
                  <c:v>0</c:v>
                </c:pt>
                <c:pt idx="1138">
                  <c:v>-1.0474372701457498E-3</c:v>
                </c:pt>
                <c:pt idx="1139">
                  <c:v>-1.8853870862622836E-2</c:v>
                </c:pt>
                <c:pt idx="1140">
                  <c:v>-1.9645267911177346E-2</c:v>
                </c:pt>
                <c:pt idx="1141">
                  <c:v>0</c:v>
                </c:pt>
                <c:pt idx="1142">
                  <c:v>0</c:v>
                </c:pt>
                <c:pt idx="1143">
                  <c:v>-9.3840718320317412E-3</c:v>
                </c:pt>
                <c:pt idx="1144">
                  <c:v>0</c:v>
                </c:pt>
                <c:pt idx="1145">
                  <c:v>0</c:v>
                </c:pt>
                <c:pt idx="1146">
                  <c:v>-7.9972775225454675E-3</c:v>
                </c:pt>
                <c:pt idx="1147">
                  <c:v>0</c:v>
                </c:pt>
                <c:pt idx="1148">
                  <c:v>-2.7475408460747964E-2</c:v>
                </c:pt>
                <c:pt idx="1149">
                  <c:v>-3.4396694561547323E-3</c:v>
                </c:pt>
                <c:pt idx="1150">
                  <c:v>0</c:v>
                </c:pt>
                <c:pt idx="1151">
                  <c:v>-3.7494387067804287E-2</c:v>
                </c:pt>
                <c:pt idx="1152">
                  <c:v>-3.5657427440094702E-2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-5.9891924347042935E-2</c:v>
                </c:pt>
                <c:pt idx="1157">
                  <c:v>-0.10492344641248871</c:v>
                </c:pt>
                <c:pt idx="1158">
                  <c:v>-0.1053549984989493</c:v>
                </c:pt>
                <c:pt idx="1159">
                  <c:v>-8.616031221855297E-2</c:v>
                </c:pt>
                <c:pt idx="1160">
                  <c:v>-8.8374362053437419E-2</c:v>
                </c:pt>
                <c:pt idx="1161">
                  <c:v>-0.11205343740618436</c:v>
                </c:pt>
                <c:pt idx="1162">
                  <c:v>-0.10100195136595622</c:v>
                </c:pt>
                <c:pt idx="1163">
                  <c:v>-8.7811468027619327E-2</c:v>
                </c:pt>
                <c:pt idx="1164">
                  <c:v>-9.636745722005409E-2</c:v>
                </c:pt>
                <c:pt idx="1165">
                  <c:v>-0.11267262083458426</c:v>
                </c:pt>
                <c:pt idx="1166">
                  <c:v>-9.8956769738817188E-2</c:v>
                </c:pt>
                <c:pt idx="1167">
                  <c:v>-0.10030771540078048</c:v>
                </c:pt>
                <c:pt idx="1168">
                  <c:v>-9.6686430501350923E-2</c:v>
                </c:pt>
                <c:pt idx="1169">
                  <c:v>-4.7883518462924039E-2</c:v>
                </c:pt>
                <c:pt idx="1170">
                  <c:v>0</c:v>
                </c:pt>
                <c:pt idx="1171">
                  <c:v>-5.3688010924668244E-3</c:v>
                </c:pt>
                <c:pt idx="1172">
                  <c:v>-5.1836055147127615E-2</c:v>
                </c:pt>
                <c:pt idx="1173">
                  <c:v>-5.4922648109695639E-2</c:v>
                </c:pt>
                <c:pt idx="1174">
                  <c:v>-4.8693342312512891E-2</c:v>
                </c:pt>
                <c:pt idx="1175">
                  <c:v>-5.9038105393119683E-2</c:v>
                </c:pt>
                <c:pt idx="1176">
                  <c:v>-6.6296275511158576E-2</c:v>
                </c:pt>
                <c:pt idx="1177">
                  <c:v>-4.6616907046785214E-2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-1.4138970751069878E-3</c:v>
                </c:pt>
                <c:pt idx="1182">
                  <c:v>-2.064630427746458E-2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-4.0020435967302467E-2</c:v>
                </c:pt>
                <c:pt idx="1188">
                  <c:v>-1.9646395838493907E-2</c:v>
                </c:pt>
                <c:pt idx="1189">
                  <c:v>0</c:v>
                </c:pt>
                <c:pt idx="1190">
                  <c:v>-2.5141627180460716E-2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-9.389237541549561E-2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3-4FD9-93D6-8FF340F0E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2004457919"/>
        <c:axId val="842055071"/>
      </c:barChart>
      <c:catAx>
        <c:axId val="20044579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42055071"/>
        <c:crosses val="autoZero"/>
        <c:auto val="1"/>
        <c:lblAlgn val="ctr"/>
        <c:lblOffset val="100"/>
        <c:noMultiLvlLbl val="0"/>
      </c:catAx>
      <c:valAx>
        <c:axId val="8420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04457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141816</xdr:colOff>
      <xdr:row>0</xdr:row>
      <xdr:rowOff>0</xdr:rowOff>
    </xdr:from>
    <xdr:to>
      <xdr:col>10</xdr:col>
      <xdr:colOff>497417</xdr:colOff>
      <xdr:row>16</xdr:row>
      <xdr:rowOff>180473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AC44173-2C8D-4188-9C43-6C7502A76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140757</xdr:colOff>
      <xdr:row>16</xdr:row>
      <xdr:rowOff>170447</xdr:rowOff>
    </xdr:from>
    <xdr:to>
      <xdr:col>10</xdr:col>
      <xdr:colOff>497417</xdr:colOff>
      <xdr:row>34</xdr:row>
      <xdr:rowOff>176798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3B8A3B5A-9022-4C8C-8BDA-9FBBEDC2C4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143932</xdr:colOff>
      <xdr:row>34</xdr:row>
      <xdr:rowOff>170449</xdr:rowOff>
    </xdr:from>
    <xdr:to>
      <xdr:col>10</xdr:col>
      <xdr:colOff>497416</xdr:colOff>
      <xdr:row>52</xdr:row>
      <xdr:rowOff>179973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508F2370-3629-4FF7-BC92-B5FF7A1F7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85725</xdr:colOff>
      <xdr:row>0</xdr:row>
      <xdr:rowOff>0</xdr:rowOff>
    </xdr:from>
    <xdr:to>
      <xdr:col>21</xdr:col>
      <xdr:colOff>695326</xdr:colOff>
      <xdr:row>19</xdr:row>
      <xdr:rowOff>52916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D030B7B9-2B4C-4D52-96B1-C876E927F2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87842</xdr:colOff>
      <xdr:row>19</xdr:row>
      <xdr:rowOff>56091</xdr:rowOff>
    </xdr:from>
    <xdr:to>
      <xdr:col>21</xdr:col>
      <xdr:colOff>703792</xdr:colOff>
      <xdr:row>34</xdr:row>
      <xdr:rowOff>75141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59C59E81-CDBD-420E-B0DD-BAB782CF4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80211</xdr:colOff>
      <xdr:row>34</xdr:row>
      <xdr:rowOff>70185</xdr:rowOff>
    </xdr:from>
    <xdr:to>
      <xdr:col>21</xdr:col>
      <xdr:colOff>689812</xdr:colOff>
      <xdr:row>53</xdr:row>
      <xdr:rowOff>116751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1D013395-CCF3-4DAA-ACA8-9D184F811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5B6A7-6B76-477E-B035-4B441048AA9E}">
  <dimension ref="A1:BC2160"/>
  <sheetViews>
    <sheetView tabSelected="1" workbookViewId="0">
      <selection activeCell="B4" sqref="B4"/>
    </sheetView>
  </sheetViews>
  <sheetFormatPr baseColWidth="10" defaultRowHeight="14.5" x14ac:dyDescent="0.35"/>
  <cols>
    <col min="1" max="1" width="10.90625" style="12"/>
    <col min="2" max="7" width="10.90625" style="14"/>
    <col min="8" max="55" width="10.90625" style="34"/>
  </cols>
  <sheetData>
    <row r="1" spans="1:7" x14ac:dyDescent="0.35">
      <c r="A1" s="55" t="s">
        <v>2600</v>
      </c>
      <c r="B1" s="55" t="s">
        <v>2601</v>
      </c>
      <c r="C1" s="55" t="s">
        <v>2602</v>
      </c>
      <c r="D1" s="55" t="s">
        <v>2603</v>
      </c>
      <c r="E1" s="55" t="s">
        <v>2604</v>
      </c>
      <c r="F1" s="55" t="s">
        <v>0</v>
      </c>
      <c r="G1" s="55" t="s">
        <v>1</v>
      </c>
    </row>
    <row r="2" spans="1:7" x14ac:dyDescent="0.35">
      <c r="A2" s="12" t="s">
        <v>2</v>
      </c>
      <c r="B2" s="13">
        <v>1528.1</v>
      </c>
      <c r="C2" s="13">
        <v>1521</v>
      </c>
      <c r="D2" s="13">
        <v>1534</v>
      </c>
      <c r="E2" s="13">
        <v>1519.7</v>
      </c>
      <c r="F2" s="14" t="s">
        <v>3</v>
      </c>
      <c r="G2" s="15">
        <v>3.3E-3</v>
      </c>
    </row>
    <row r="3" spans="1:7" x14ac:dyDescent="0.35">
      <c r="A3" s="12" t="s">
        <v>4</v>
      </c>
      <c r="B3" s="13">
        <v>1552.4</v>
      </c>
      <c r="C3" s="13">
        <v>1531.7</v>
      </c>
      <c r="D3" s="13">
        <v>1556.6</v>
      </c>
      <c r="E3" s="13">
        <v>1530.4</v>
      </c>
      <c r="F3" s="14" t="s">
        <v>5</v>
      </c>
      <c r="G3" s="15">
        <v>1.5900000000000001E-2</v>
      </c>
    </row>
    <row r="4" spans="1:7" x14ac:dyDescent="0.35">
      <c r="A4" s="12" t="s">
        <v>6</v>
      </c>
      <c r="B4" s="13">
        <v>1568.8</v>
      </c>
      <c r="C4" s="13">
        <v>1562.7</v>
      </c>
      <c r="D4" s="13">
        <v>1590.9</v>
      </c>
      <c r="E4" s="13">
        <v>1562.3</v>
      </c>
      <c r="F4" s="14" t="s">
        <v>7</v>
      </c>
      <c r="G4" s="15">
        <v>1.06E-2</v>
      </c>
    </row>
    <row r="5" spans="1:7" x14ac:dyDescent="0.35">
      <c r="A5" s="12" t="s">
        <v>8</v>
      </c>
      <c r="B5" s="13">
        <v>1574.3</v>
      </c>
      <c r="C5" s="13">
        <v>1567.4</v>
      </c>
      <c r="D5" s="13">
        <v>1579.2</v>
      </c>
      <c r="E5" s="13">
        <v>1557</v>
      </c>
      <c r="F5" s="14" t="s">
        <v>9</v>
      </c>
      <c r="G5" s="15">
        <v>3.5000000000000001E-3</v>
      </c>
    </row>
    <row r="6" spans="1:7" x14ac:dyDescent="0.35">
      <c r="A6" s="12" t="s">
        <v>10</v>
      </c>
      <c r="B6" s="13">
        <v>1560.2</v>
      </c>
      <c r="C6" s="13">
        <v>1578.8</v>
      </c>
      <c r="D6" s="13">
        <v>1613.3</v>
      </c>
      <c r="E6" s="13">
        <v>1553.4</v>
      </c>
      <c r="F6" s="14" t="s">
        <v>11</v>
      </c>
      <c r="G6" s="15">
        <v>-8.9999999999999993E-3</v>
      </c>
    </row>
    <row r="7" spans="1:7" x14ac:dyDescent="0.35">
      <c r="A7" s="12" t="s">
        <v>12</v>
      </c>
      <c r="B7" s="13">
        <v>1554.3</v>
      </c>
      <c r="C7" s="13">
        <v>1557.7</v>
      </c>
      <c r="D7" s="13">
        <v>1562.4</v>
      </c>
      <c r="E7" s="13">
        <v>1541</v>
      </c>
      <c r="F7" s="14" t="s">
        <v>13</v>
      </c>
      <c r="G7" s="15">
        <v>-3.8E-3</v>
      </c>
    </row>
    <row r="8" spans="1:7" x14ac:dyDescent="0.35">
      <c r="A8" s="12" t="s">
        <v>14</v>
      </c>
      <c r="B8" s="13">
        <v>1560.1</v>
      </c>
      <c r="C8" s="13">
        <v>1553.4</v>
      </c>
      <c r="D8" s="13">
        <v>1564.1</v>
      </c>
      <c r="E8" s="13">
        <v>1546.7</v>
      </c>
      <c r="F8" s="14" t="s">
        <v>15</v>
      </c>
      <c r="G8" s="15">
        <v>3.7000000000000002E-3</v>
      </c>
    </row>
    <row r="9" spans="1:7" x14ac:dyDescent="0.35">
      <c r="A9" s="12" t="s">
        <v>16</v>
      </c>
      <c r="B9" s="13">
        <v>1550.6</v>
      </c>
      <c r="C9" s="13">
        <v>1563</v>
      </c>
      <c r="D9" s="13">
        <v>1563.1</v>
      </c>
      <c r="E9" s="13">
        <v>1547</v>
      </c>
      <c r="F9" s="14" t="s">
        <v>17</v>
      </c>
      <c r="G9" s="15">
        <v>-6.1000000000000004E-3</v>
      </c>
    </row>
    <row r="10" spans="1:7" x14ac:dyDescent="0.35">
      <c r="A10" s="12" t="s">
        <v>18</v>
      </c>
      <c r="B10" s="13">
        <v>1544.6</v>
      </c>
      <c r="C10" s="13">
        <v>1548.6</v>
      </c>
      <c r="D10" s="13">
        <v>1549.5</v>
      </c>
      <c r="E10" s="13">
        <v>1536.4</v>
      </c>
      <c r="F10" s="14" t="s">
        <v>19</v>
      </c>
      <c r="G10" s="15">
        <v>-3.8999999999999998E-3</v>
      </c>
    </row>
    <row r="11" spans="1:7" x14ac:dyDescent="0.35">
      <c r="A11" s="12" t="s">
        <v>20</v>
      </c>
      <c r="B11" s="13">
        <v>1554</v>
      </c>
      <c r="C11" s="13">
        <v>1546.8</v>
      </c>
      <c r="D11" s="13">
        <v>1558.8</v>
      </c>
      <c r="E11" s="13">
        <v>1546.5</v>
      </c>
      <c r="F11" s="14" t="s">
        <v>21</v>
      </c>
      <c r="G11" s="15">
        <v>6.1000000000000004E-3</v>
      </c>
    </row>
    <row r="12" spans="1:7" x14ac:dyDescent="0.35">
      <c r="A12" s="12" t="s">
        <v>22</v>
      </c>
      <c r="B12" s="13">
        <v>1550.5</v>
      </c>
      <c r="C12" s="13">
        <v>1556.6</v>
      </c>
      <c r="D12" s="13">
        <v>1558.2</v>
      </c>
      <c r="E12" s="13">
        <v>1548</v>
      </c>
      <c r="F12" s="14" t="s">
        <v>23</v>
      </c>
      <c r="G12" s="15">
        <v>-2.3E-3</v>
      </c>
    </row>
    <row r="13" spans="1:7" x14ac:dyDescent="0.35">
      <c r="A13" s="12" t="s">
        <v>24</v>
      </c>
      <c r="B13" s="13">
        <v>1560.3</v>
      </c>
      <c r="C13" s="13">
        <v>1553</v>
      </c>
      <c r="D13" s="13">
        <v>1561.4</v>
      </c>
      <c r="E13" s="13">
        <v>1549.3</v>
      </c>
      <c r="F13" s="14" t="s">
        <v>25</v>
      </c>
      <c r="G13" s="15">
        <v>6.3E-3</v>
      </c>
    </row>
    <row r="14" spans="1:7" x14ac:dyDescent="0.35">
      <c r="A14" s="12" t="s">
        <v>26</v>
      </c>
      <c r="B14" s="13">
        <v>1557.9</v>
      </c>
      <c r="C14" s="13">
        <v>1557.3</v>
      </c>
      <c r="D14" s="13">
        <v>1568.8</v>
      </c>
      <c r="E14" s="13">
        <v>1546</v>
      </c>
      <c r="F14" s="14" t="s">
        <v>27</v>
      </c>
      <c r="G14" s="15">
        <v>-1.5E-3</v>
      </c>
    </row>
    <row r="15" spans="1:7" x14ac:dyDescent="0.35">
      <c r="A15" s="12" t="s">
        <v>28</v>
      </c>
      <c r="B15" s="13">
        <v>1557.9</v>
      </c>
      <c r="C15" s="13">
        <v>1557.3</v>
      </c>
      <c r="D15" s="13">
        <v>1568.8</v>
      </c>
      <c r="E15" s="13">
        <v>1546</v>
      </c>
      <c r="F15" s="14" t="s">
        <v>27</v>
      </c>
      <c r="G15" s="15">
        <v>0</v>
      </c>
    </row>
    <row r="16" spans="1:7" x14ac:dyDescent="0.35">
      <c r="A16" s="12" t="s">
        <v>29</v>
      </c>
      <c r="B16" s="13">
        <v>1556.7</v>
      </c>
      <c r="C16" s="13">
        <v>1558.9</v>
      </c>
      <c r="D16" s="13">
        <v>1559.8</v>
      </c>
      <c r="E16" s="13">
        <v>1550</v>
      </c>
      <c r="F16" s="14" t="s">
        <v>30</v>
      </c>
      <c r="G16" s="15">
        <v>-8.0000000000000004E-4</v>
      </c>
    </row>
    <row r="17" spans="1:7" x14ac:dyDescent="0.35">
      <c r="A17" s="12" t="s">
        <v>31</v>
      </c>
      <c r="B17" s="13">
        <v>1565.4</v>
      </c>
      <c r="C17" s="13">
        <v>1558.9</v>
      </c>
      <c r="D17" s="13">
        <v>1567.5</v>
      </c>
      <c r="E17" s="13">
        <v>1551.3</v>
      </c>
      <c r="F17" s="14" t="s">
        <v>32</v>
      </c>
      <c r="G17" s="15">
        <v>5.5999999999999999E-3</v>
      </c>
    </row>
    <row r="18" spans="1:7" x14ac:dyDescent="0.35">
      <c r="A18" s="12" t="s">
        <v>33</v>
      </c>
      <c r="B18" s="13">
        <v>1571.9</v>
      </c>
      <c r="C18" s="13">
        <v>1562.9</v>
      </c>
      <c r="D18" s="13">
        <v>1575.5</v>
      </c>
      <c r="E18" s="13">
        <v>1555.8</v>
      </c>
      <c r="F18" s="14" t="s">
        <v>34</v>
      </c>
      <c r="G18" s="15">
        <v>4.1999999999999997E-3</v>
      </c>
    </row>
    <row r="19" spans="1:7" x14ac:dyDescent="0.35">
      <c r="A19" s="12" t="s">
        <v>35</v>
      </c>
      <c r="B19" s="13">
        <v>1577.4</v>
      </c>
      <c r="C19" s="13">
        <v>1580.5</v>
      </c>
      <c r="D19" s="13">
        <v>1588.4</v>
      </c>
      <c r="E19" s="13">
        <v>1575.3</v>
      </c>
      <c r="F19" s="14" t="s">
        <v>36</v>
      </c>
      <c r="G19" s="15">
        <v>3.5000000000000001E-3</v>
      </c>
    </row>
    <row r="20" spans="1:7" x14ac:dyDescent="0.35">
      <c r="A20" s="12" t="s">
        <v>37</v>
      </c>
      <c r="B20" s="13">
        <v>1569.8</v>
      </c>
      <c r="C20" s="13">
        <v>1580.6</v>
      </c>
      <c r="D20" s="13">
        <v>1582.2</v>
      </c>
      <c r="E20" s="13">
        <v>1564.6</v>
      </c>
      <c r="F20" s="14" t="s">
        <v>38</v>
      </c>
      <c r="G20" s="15">
        <v>-4.7999999999999996E-3</v>
      </c>
    </row>
    <row r="21" spans="1:7" x14ac:dyDescent="0.35">
      <c r="A21" s="12" t="s">
        <v>39</v>
      </c>
      <c r="B21" s="13">
        <v>1570.4</v>
      </c>
      <c r="C21" s="13">
        <v>1566.3</v>
      </c>
      <c r="D21" s="13">
        <v>1577.7</v>
      </c>
      <c r="E21" s="13">
        <v>1562</v>
      </c>
      <c r="F21" s="14" t="s">
        <v>40</v>
      </c>
      <c r="G21" s="15">
        <v>4.0000000000000002E-4</v>
      </c>
    </row>
    <row r="22" spans="1:7" x14ac:dyDescent="0.35">
      <c r="A22" s="12" t="s">
        <v>41</v>
      </c>
      <c r="B22" s="13">
        <v>1589.2</v>
      </c>
      <c r="C22" s="13">
        <v>1576.8</v>
      </c>
      <c r="D22" s="13">
        <v>1585</v>
      </c>
      <c r="E22" s="13">
        <v>1571.4</v>
      </c>
      <c r="F22" s="14" t="s">
        <v>42</v>
      </c>
      <c r="G22" s="15">
        <v>1.2E-2</v>
      </c>
    </row>
    <row r="23" spans="1:7" x14ac:dyDescent="0.35">
      <c r="A23" s="12" t="s">
        <v>43</v>
      </c>
      <c r="B23" s="13">
        <v>1587.9</v>
      </c>
      <c r="C23" s="13">
        <v>1578.4</v>
      </c>
      <c r="D23" s="13">
        <v>1595.5</v>
      </c>
      <c r="E23" s="13">
        <v>1575</v>
      </c>
      <c r="F23" s="14" t="s">
        <v>44</v>
      </c>
      <c r="G23" s="15">
        <v>-8.0000000000000004E-4</v>
      </c>
    </row>
    <row r="24" spans="1:7" x14ac:dyDescent="0.35">
      <c r="A24" s="12" t="s">
        <v>45</v>
      </c>
      <c r="B24" s="13">
        <v>1582.4</v>
      </c>
      <c r="C24" s="13">
        <v>1597.8</v>
      </c>
      <c r="D24" s="13">
        <v>1598.5</v>
      </c>
      <c r="E24" s="13">
        <v>1573.2</v>
      </c>
      <c r="F24" s="14" t="s">
        <v>46</v>
      </c>
      <c r="G24" s="15">
        <v>-3.5000000000000001E-3</v>
      </c>
    </row>
    <row r="25" spans="1:7" x14ac:dyDescent="0.35">
      <c r="A25" s="12" t="s">
        <v>47</v>
      </c>
      <c r="B25" s="13">
        <v>1555.5</v>
      </c>
      <c r="C25" s="13">
        <v>1581.5</v>
      </c>
      <c r="D25" s="13">
        <v>1584.5</v>
      </c>
      <c r="E25" s="13">
        <v>1552.8</v>
      </c>
      <c r="F25" s="14" t="s">
        <v>48</v>
      </c>
      <c r="G25" s="15">
        <v>-1.7000000000000001E-2</v>
      </c>
    </row>
    <row r="26" spans="1:7" x14ac:dyDescent="0.35">
      <c r="A26" s="12" t="s">
        <v>49</v>
      </c>
      <c r="B26" s="13">
        <v>1562.8</v>
      </c>
      <c r="C26" s="13">
        <v>1556.1</v>
      </c>
      <c r="D26" s="13">
        <v>1566.2</v>
      </c>
      <c r="E26" s="13">
        <v>1551.1</v>
      </c>
      <c r="F26" s="14" t="s">
        <v>50</v>
      </c>
      <c r="G26" s="15">
        <v>4.7000000000000002E-3</v>
      </c>
    </row>
    <row r="27" spans="1:7" x14ac:dyDescent="0.35">
      <c r="A27" s="12" t="s">
        <v>51</v>
      </c>
      <c r="B27" s="13">
        <v>1570</v>
      </c>
      <c r="C27" s="13">
        <v>1560</v>
      </c>
      <c r="D27" s="13">
        <v>1571.9</v>
      </c>
      <c r="E27" s="13">
        <v>1556</v>
      </c>
      <c r="F27" s="14" t="s">
        <v>52</v>
      </c>
      <c r="G27" s="15">
        <v>4.5999999999999999E-3</v>
      </c>
    </row>
    <row r="28" spans="1:7" x14ac:dyDescent="0.35">
      <c r="A28" s="12" t="s">
        <v>53</v>
      </c>
      <c r="B28" s="13">
        <v>1573.4</v>
      </c>
      <c r="C28" s="13">
        <v>1570.7</v>
      </c>
      <c r="D28" s="13">
        <v>1577.8</v>
      </c>
      <c r="E28" s="13">
        <v>1563.5</v>
      </c>
      <c r="F28" s="14" t="s">
        <v>54</v>
      </c>
      <c r="G28" s="15">
        <v>2.2000000000000001E-3</v>
      </c>
    </row>
    <row r="29" spans="1:7" x14ac:dyDescent="0.35">
      <c r="A29" s="12" t="s">
        <v>55</v>
      </c>
      <c r="B29" s="13">
        <v>1579.5</v>
      </c>
      <c r="C29" s="13">
        <v>1575.8</v>
      </c>
      <c r="D29" s="13">
        <v>1580.5</v>
      </c>
      <c r="E29" s="13">
        <v>1571.5</v>
      </c>
      <c r="F29" s="14" t="s">
        <v>56</v>
      </c>
      <c r="G29" s="15">
        <v>3.8999999999999998E-3</v>
      </c>
    </row>
    <row r="30" spans="1:7" x14ac:dyDescent="0.35">
      <c r="A30" s="12" t="s">
        <v>57</v>
      </c>
      <c r="B30" s="13">
        <v>1570.1</v>
      </c>
      <c r="C30" s="13">
        <v>1575.5</v>
      </c>
      <c r="D30" s="13">
        <v>1577.5</v>
      </c>
      <c r="E30" s="13">
        <v>1565.2</v>
      </c>
      <c r="F30" s="14" t="s">
        <v>58</v>
      </c>
      <c r="G30" s="15">
        <v>-6.0000000000000001E-3</v>
      </c>
    </row>
    <row r="31" spans="1:7" x14ac:dyDescent="0.35">
      <c r="A31" s="12" t="s">
        <v>59</v>
      </c>
      <c r="B31" s="13">
        <v>1571.6</v>
      </c>
      <c r="C31" s="13">
        <v>1571.2</v>
      </c>
      <c r="D31" s="13">
        <v>1573.6</v>
      </c>
      <c r="E31" s="13">
        <v>1564.4</v>
      </c>
      <c r="F31" s="14" t="s">
        <v>60</v>
      </c>
      <c r="G31" s="15">
        <v>1E-3</v>
      </c>
    </row>
    <row r="32" spans="1:7" x14ac:dyDescent="0.35">
      <c r="A32" s="12" t="s">
        <v>61</v>
      </c>
      <c r="B32" s="13">
        <v>1578.8</v>
      </c>
      <c r="C32" s="13">
        <v>1569.8</v>
      </c>
      <c r="D32" s="13">
        <v>1581.7</v>
      </c>
      <c r="E32" s="13">
        <v>1568.5</v>
      </c>
      <c r="F32" s="14" t="s">
        <v>62</v>
      </c>
      <c r="G32" s="15">
        <v>4.5999999999999999E-3</v>
      </c>
    </row>
    <row r="33" spans="1:7" x14ac:dyDescent="0.35">
      <c r="A33" s="12" t="s">
        <v>63</v>
      </c>
      <c r="B33" s="13">
        <v>1586.4</v>
      </c>
      <c r="C33" s="13">
        <v>1579</v>
      </c>
      <c r="D33" s="13">
        <v>1588.2</v>
      </c>
      <c r="E33" s="13">
        <v>1576</v>
      </c>
      <c r="F33" s="14" t="s">
        <v>64</v>
      </c>
      <c r="G33" s="15">
        <v>4.7999999999999996E-3</v>
      </c>
    </row>
    <row r="34" spans="1:7" x14ac:dyDescent="0.35">
      <c r="A34" s="12" t="s">
        <v>65</v>
      </c>
      <c r="B34" s="13">
        <v>1603.6</v>
      </c>
      <c r="C34" s="13">
        <v>1585.1</v>
      </c>
      <c r="D34" s="13">
        <v>1608.2</v>
      </c>
      <c r="E34" s="13">
        <v>1581.8</v>
      </c>
      <c r="F34" s="14" t="s">
        <v>66</v>
      </c>
      <c r="G34" s="15">
        <v>1.0800000000000001E-2</v>
      </c>
    </row>
    <row r="35" spans="1:7" x14ac:dyDescent="0.35">
      <c r="A35" s="12" t="s">
        <v>67</v>
      </c>
      <c r="B35" s="13">
        <v>1603.6</v>
      </c>
      <c r="C35" s="13">
        <v>1585.1</v>
      </c>
      <c r="D35" s="13">
        <v>1608.2</v>
      </c>
      <c r="E35" s="13">
        <v>1581.8</v>
      </c>
      <c r="F35" s="14" t="s">
        <v>66</v>
      </c>
      <c r="G35" s="15">
        <v>0</v>
      </c>
    </row>
    <row r="36" spans="1:7" x14ac:dyDescent="0.35">
      <c r="A36" s="12" t="s">
        <v>68</v>
      </c>
      <c r="B36" s="13">
        <v>1611.8</v>
      </c>
      <c r="C36" s="13">
        <v>1604.8</v>
      </c>
      <c r="D36" s="13">
        <v>1615.9</v>
      </c>
      <c r="E36" s="13">
        <v>1602.4</v>
      </c>
      <c r="F36" s="14" t="s">
        <v>69</v>
      </c>
      <c r="G36" s="15">
        <v>5.1000000000000004E-3</v>
      </c>
    </row>
    <row r="37" spans="1:7" x14ac:dyDescent="0.35">
      <c r="A37" s="12" t="s">
        <v>70</v>
      </c>
      <c r="B37" s="13">
        <v>1620.5</v>
      </c>
      <c r="C37" s="13">
        <v>1615</v>
      </c>
      <c r="D37" s="13">
        <v>1626.5</v>
      </c>
      <c r="E37" s="13">
        <v>1606.6</v>
      </c>
      <c r="F37" s="14" t="s">
        <v>71</v>
      </c>
      <c r="G37" s="15">
        <v>5.4000000000000003E-3</v>
      </c>
    </row>
    <row r="38" spans="1:7" x14ac:dyDescent="0.35">
      <c r="A38" s="12" t="s">
        <v>72</v>
      </c>
      <c r="B38" s="13">
        <v>1648.8</v>
      </c>
      <c r="C38" s="13">
        <v>1623.6</v>
      </c>
      <c r="D38" s="13">
        <v>1652.1</v>
      </c>
      <c r="E38" s="13">
        <v>1621.6</v>
      </c>
      <c r="F38" s="14" t="s">
        <v>73</v>
      </c>
      <c r="G38" s="15">
        <v>1.7500000000000002E-2</v>
      </c>
    </row>
    <row r="39" spans="1:7" x14ac:dyDescent="0.35">
      <c r="A39" s="12" t="s">
        <v>74</v>
      </c>
      <c r="B39" s="13">
        <v>1676.6</v>
      </c>
      <c r="C39" s="13">
        <v>1656</v>
      </c>
      <c r="D39" s="13">
        <v>1691.7</v>
      </c>
      <c r="E39" s="13">
        <v>1652.8</v>
      </c>
      <c r="F39" s="14" t="s">
        <v>75</v>
      </c>
      <c r="G39" s="15">
        <v>1.6899999999999998E-2</v>
      </c>
    </row>
    <row r="40" spans="1:7" x14ac:dyDescent="0.35">
      <c r="A40" s="12" t="s">
        <v>76</v>
      </c>
      <c r="B40" s="13">
        <v>1650</v>
      </c>
      <c r="C40" s="13">
        <v>1661.8</v>
      </c>
      <c r="D40" s="13">
        <v>1666.7</v>
      </c>
      <c r="E40" s="13">
        <v>1627</v>
      </c>
      <c r="F40" s="14" t="s">
        <v>77</v>
      </c>
      <c r="G40" s="15">
        <v>-1.5900000000000001E-2</v>
      </c>
    </row>
    <row r="41" spans="1:7" x14ac:dyDescent="0.35">
      <c r="A41" s="12" t="s">
        <v>78</v>
      </c>
      <c r="B41" s="13">
        <v>1643.1</v>
      </c>
      <c r="C41" s="13">
        <v>1637.3</v>
      </c>
      <c r="D41" s="13">
        <v>1657.1</v>
      </c>
      <c r="E41" s="13">
        <v>1626.6</v>
      </c>
      <c r="F41" s="14" t="s">
        <v>79</v>
      </c>
      <c r="G41" s="15">
        <v>-4.1999999999999997E-3</v>
      </c>
    </row>
    <row r="42" spans="1:7" x14ac:dyDescent="0.35">
      <c r="A42" s="12" t="s">
        <v>80</v>
      </c>
      <c r="B42" s="13">
        <v>1642.5</v>
      </c>
      <c r="C42" s="13">
        <v>1643</v>
      </c>
      <c r="D42" s="13">
        <v>1662.5</v>
      </c>
      <c r="E42" s="13">
        <v>1636.7</v>
      </c>
      <c r="F42" s="14" t="s">
        <v>81</v>
      </c>
      <c r="G42" s="15">
        <v>-4.0000000000000002E-4</v>
      </c>
    </row>
    <row r="43" spans="1:7" x14ac:dyDescent="0.35">
      <c r="A43" s="12" t="s">
        <v>82</v>
      </c>
      <c r="B43" s="13">
        <v>1566.7</v>
      </c>
      <c r="C43" s="13">
        <v>1646.1</v>
      </c>
      <c r="D43" s="13">
        <v>1651</v>
      </c>
      <c r="E43" s="13">
        <v>1564</v>
      </c>
      <c r="F43" s="14" t="s">
        <v>83</v>
      </c>
      <c r="G43" s="15">
        <v>-4.6100000000000002E-2</v>
      </c>
    </row>
    <row r="44" spans="1:7" x14ac:dyDescent="0.35">
      <c r="A44" s="12" t="s">
        <v>84</v>
      </c>
      <c r="B44" s="13">
        <v>1594.8</v>
      </c>
      <c r="C44" s="13">
        <v>1592.8</v>
      </c>
      <c r="D44" s="13">
        <v>1612.1</v>
      </c>
      <c r="E44" s="13">
        <v>1576.3</v>
      </c>
      <c r="F44" s="14" t="s">
        <v>85</v>
      </c>
      <c r="G44" s="15">
        <v>1.7899999999999999E-2</v>
      </c>
    </row>
    <row r="45" spans="1:7" x14ac:dyDescent="0.35">
      <c r="A45" s="12" t="s">
        <v>86</v>
      </c>
      <c r="B45" s="13">
        <v>1644.4</v>
      </c>
      <c r="C45" s="13">
        <v>1586</v>
      </c>
      <c r="D45" s="13">
        <v>1650.5</v>
      </c>
      <c r="E45" s="13">
        <v>1585.9</v>
      </c>
      <c r="F45" s="14" t="s">
        <v>87</v>
      </c>
      <c r="G45" s="15">
        <v>3.1099999999999999E-2</v>
      </c>
    </row>
    <row r="46" spans="1:7" x14ac:dyDescent="0.35">
      <c r="A46" s="12" t="s">
        <v>88</v>
      </c>
      <c r="B46" s="13">
        <v>1643</v>
      </c>
      <c r="C46" s="13">
        <v>1640.1</v>
      </c>
      <c r="D46" s="13">
        <v>1654.3</v>
      </c>
      <c r="E46" s="13">
        <v>1632.6</v>
      </c>
      <c r="F46" s="14" t="s">
        <v>89</v>
      </c>
      <c r="G46" s="15">
        <v>-8.9999999999999998E-4</v>
      </c>
    </row>
    <row r="47" spans="1:7" x14ac:dyDescent="0.35">
      <c r="A47" s="12" t="s">
        <v>90</v>
      </c>
      <c r="B47" s="13">
        <v>1668</v>
      </c>
      <c r="C47" s="13">
        <v>1638.2</v>
      </c>
      <c r="D47" s="13">
        <v>1675.5</v>
      </c>
      <c r="E47" s="13">
        <v>1635.6</v>
      </c>
      <c r="F47" s="14" t="s">
        <v>91</v>
      </c>
      <c r="G47" s="15">
        <v>1.52E-2</v>
      </c>
    </row>
    <row r="48" spans="1:7" x14ac:dyDescent="0.35">
      <c r="A48" s="12" t="s">
        <v>92</v>
      </c>
      <c r="B48" s="13">
        <v>1672.4</v>
      </c>
      <c r="C48" s="13">
        <v>1673.1</v>
      </c>
      <c r="D48" s="13">
        <v>1692.8</v>
      </c>
      <c r="E48" s="13">
        <v>1642.4</v>
      </c>
      <c r="F48" s="14" t="s">
        <v>93</v>
      </c>
      <c r="G48" s="15">
        <v>2.5999999999999999E-3</v>
      </c>
    </row>
    <row r="49" spans="1:7" x14ac:dyDescent="0.35">
      <c r="A49" s="12" t="s">
        <v>94</v>
      </c>
      <c r="B49" s="13">
        <v>1675.7</v>
      </c>
      <c r="C49" s="13">
        <v>1692.6</v>
      </c>
      <c r="D49" s="13">
        <v>1704.3</v>
      </c>
      <c r="E49" s="13">
        <v>1658</v>
      </c>
      <c r="F49" s="14" t="s">
        <v>95</v>
      </c>
      <c r="G49" s="15">
        <v>2E-3</v>
      </c>
    </row>
    <row r="50" spans="1:7" x14ac:dyDescent="0.35">
      <c r="A50" s="12" t="s">
        <v>96</v>
      </c>
      <c r="B50" s="13">
        <v>1660.3</v>
      </c>
      <c r="C50" s="13">
        <v>1679.6</v>
      </c>
      <c r="D50" s="13">
        <v>1681.3</v>
      </c>
      <c r="E50" s="13">
        <v>1641.1</v>
      </c>
      <c r="F50" s="14" t="s">
        <v>97</v>
      </c>
      <c r="G50" s="15">
        <v>-9.1999999999999998E-3</v>
      </c>
    </row>
    <row r="51" spans="1:7" x14ac:dyDescent="0.35">
      <c r="A51" s="12" t="s">
        <v>98</v>
      </c>
      <c r="B51" s="13">
        <v>1642.3</v>
      </c>
      <c r="C51" s="13">
        <v>1649.3</v>
      </c>
      <c r="D51" s="13">
        <v>1671.8</v>
      </c>
      <c r="E51" s="13">
        <v>1632.4</v>
      </c>
      <c r="F51" s="14" t="s">
        <v>99</v>
      </c>
      <c r="G51" s="15">
        <v>-1.0800000000000001E-2</v>
      </c>
    </row>
    <row r="52" spans="1:7" x14ac:dyDescent="0.35">
      <c r="A52" s="12" t="s">
        <v>100</v>
      </c>
      <c r="B52" s="13">
        <v>1590.3</v>
      </c>
      <c r="C52" s="13">
        <v>1633.1</v>
      </c>
      <c r="D52" s="13">
        <v>1651</v>
      </c>
      <c r="E52" s="13">
        <v>1560.4</v>
      </c>
      <c r="F52" s="14" t="s">
        <v>101</v>
      </c>
      <c r="G52" s="15">
        <v>-3.1699999999999999E-2</v>
      </c>
    </row>
    <row r="53" spans="1:7" x14ac:dyDescent="0.35">
      <c r="A53" s="12" t="s">
        <v>102</v>
      </c>
      <c r="B53" s="13">
        <v>1516.7</v>
      </c>
      <c r="C53" s="13">
        <v>1582.7</v>
      </c>
      <c r="D53" s="13">
        <v>1597.9</v>
      </c>
      <c r="E53" s="13">
        <v>1504</v>
      </c>
      <c r="F53" s="14" t="s">
        <v>103</v>
      </c>
      <c r="G53" s="15">
        <v>-4.6300000000000001E-2</v>
      </c>
    </row>
    <row r="54" spans="1:7" x14ac:dyDescent="0.35">
      <c r="A54" s="12" t="s">
        <v>104</v>
      </c>
      <c r="B54" s="13">
        <v>1486.5</v>
      </c>
      <c r="C54" s="13">
        <v>1563.8</v>
      </c>
      <c r="D54" s="13">
        <v>1574.8</v>
      </c>
      <c r="E54" s="13">
        <v>1450.9</v>
      </c>
      <c r="F54" s="14" t="s">
        <v>105</v>
      </c>
      <c r="G54" s="15">
        <v>-1.9900000000000001E-2</v>
      </c>
    </row>
    <row r="55" spans="1:7" x14ac:dyDescent="0.35">
      <c r="A55" s="12" t="s">
        <v>106</v>
      </c>
      <c r="B55" s="13">
        <v>1525.8</v>
      </c>
      <c r="C55" s="13">
        <v>1512.8</v>
      </c>
      <c r="D55" s="13">
        <v>1554.3</v>
      </c>
      <c r="E55" s="13">
        <v>1465.6</v>
      </c>
      <c r="F55" s="14" t="s">
        <v>107</v>
      </c>
      <c r="G55" s="15">
        <v>2.64E-2</v>
      </c>
    </row>
    <row r="56" spans="1:7" x14ac:dyDescent="0.35">
      <c r="A56" s="12" t="s">
        <v>108</v>
      </c>
      <c r="B56" s="13">
        <v>1477.9</v>
      </c>
      <c r="C56" s="13">
        <v>1527.6</v>
      </c>
      <c r="D56" s="13">
        <v>1547</v>
      </c>
      <c r="E56" s="13">
        <v>1473.3</v>
      </c>
      <c r="F56" s="14" t="s">
        <v>109</v>
      </c>
      <c r="G56" s="15">
        <v>-3.1399999999999997E-2</v>
      </c>
    </row>
    <row r="57" spans="1:7" x14ac:dyDescent="0.35">
      <c r="A57" s="12" t="s">
        <v>110</v>
      </c>
      <c r="B57" s="13">
        <v>1479.3</v>
      </c>
      <c r="C57" s="13">
        <v>1487.2</v>
      </c>
      <c r="D57" s="13">
        <v>1502.8</v>
      </c>
      <c r="E57" s="13">
        <v>1460.1</v>
      </c>
      <c r="F57" s="14" t="s">
        <v>111</v>
      </c>
      <c r="G57" s="15">
        <v>8.9999999999999998E-4</v>
      </c>
    </row>
    <row r="58" spans="1:7" x14ac:dyDescent="0.35">
      <c r="A58" s="12" t="s">
        <v>112</v>
      </c>
      <c r="B58" s="13">
        <v>1484.6</v>
      </c>
      <c r="C58" s="13">
        <v>1471.6</v>
      </c>
      <c r="D58" s="13">
        <v>1519.4</v>
      </c>
      <c r="E58" s="13">
        <v>1457.5</v>
      </c>
      <c r="F58" s="14" t="s">
        <v>113</v>
      </c>
      <c r="G58" s="15">
        <v>3.5999999999999999E-3</v>
      </c>
    </row>
    <row r="59" spans="1:7" x14ac:dyDescent="0.35">
      <c r="A59" s="12" t="s">
        <v>114</v>
      </c>
      <c r="B59" s="13">
        <v>1567.6</v>
      </c>
      <c r="C59" s="13">
        <v>1505</v>
      </c>
      <c r="D59" s="13">
        <v>1569.3</v>
      </c>
      <c r="E59" s="13">
        <v>1484.6</v>
      </c>
      <c r="F59" s="14" t="s">
        <v>115</v>
      </c>
      <c r="G59" s="15">
        <v>5.5899999999999998E-2</v>
      </c>
    </row>
    <row r="60" spans="1:7" x14ac:dyDescent="0.35">
      <c r="A60" s="12" t="s">
        <v>116</v>
      </c>
      <c r="B60" s="13">
        <v>1660.8</v>
      </c>
      <c r="C60" s="13">
        <v>1563.8</v>
      </c>
      <c r="D60" s="13">
        <v>1698</v>
      </c>
      <c r="E60" s="13">
        <v>1560.5</v>
      </c>
      <c r="F60" s="14" t="s">
        <v>117</v>
      </c>
      <c r="G60" s="15">
        <v>5.9499999999999997E-2</v>
      </c>
    </row>
    <row r="61" spans="1:7" x14ac:dyDescent="0.35">
      <c r="A61" s="12" t="s">
        <v>118</v>
      </c>
      <c r="B61" s="13">
        <v>1633.4</v>
      </c>
      <c r="C61" s="13">
        <v>1666.2</v>
      </c>
      <c r="D61" s="13">
        <v>1699.3</v>
      </c>
      <c r="E61" s="13">
        <v>1615.2</v>
      </c>
      <c r="F61" s="14" t="s">
        <v>119</v>
      </c>
      <c r="G61" s="15">
        <v>-1.6500000000000001E-2</v>
      </c>
    </row>
    <row r="62" spans="1:7" x14ac:dyDescent="0.35">
      <c r="A62" s="12" t="s">
        <v>120</v>
      </c>
      <c r="B62" s="13">
        <v>1651.2</v>
      </c>
      <c r="C62" s="13">
        <v>1642.5</v>
      </c>
      <c r="D62" s="13">
        <v>1672.5</v>
      </c>
      <c r="E62" s="13">
        <v>1611</v>
      </c>
      <c r="F62" s="14" t="s">
        <v>121</v>
      </c>
      <c r="G62" s="15">
        <v>1.09E-2</v>
      </c>
    </row>
    <row r="63" spans="1:7" x14ac:dyDescent="0.35">
      <c r="A63" s="12" t="s">
        <v>122</v>
      </c>
      <c r="B63" s="13">
        <v>1625</v>
      </c>
      <c r="C63" s="13">
        <v>1640.4</v>
      </c>
      <c r="D63" s="13">
        <v>1647.2</v>
      </c>
      <c r="E63" s="13">
        <v>1611.4</v>
      </c>
      <c r="F63" s="14" t="s">
        <v>123</v>
      </c>
      <c r="G63" s="15">
        <v>-1.5900000000000001E-2</v>
      </c>
    </row>
    <row r="64" spans="1:7" x14ac:dyDescent="0.35">
      <c r="A64" s="12" t="s">
        <v>124</v>
      </c>
      <c r="B64" s="13">
        <v>1643.2</v>
      </c>
      <c r="C64" s="13">
        <v>1663.4</v>
      </c>
      <c r="D64" s="13">
        <v>1673.6</v>
      </c>
      <c r="E64" s="13">
        <v>1632</v>
      </c>
      <c r="F64" s="14" t="s">
        <v>125</v>
      </c>
      <c r="G64" s="15">
        <v>1.12E-2</v>
      </c>
    </row>
    <row r="65" spans="1:7" x14ac:dyDescent="0.35">
      <c r="A65" s="12" t="s">
        <v>126</v>
      </c>
      <c r="B65" s="13">
        <v>1596.6</v>
      </c>
      <c r="C65" s="13">
        <v>1643.4</v>
      </c>
      <c r="D65" s="13">
        <v>1645.6</v>
      </c>
      <c r="E65" s="13">
        <v>1588.2</v>
      </c>
      <c r="F65" s="14" t="s">
        <v>127</v>
      </c>
      <c r="G65" s="15">
        <v>-2.8400000000000002E-2</v>
      </c>
    </row>
    <row r="66" spans="1:7" x14ac:dyDescent="0.35">
      <c r="A66" s="12" t="s">
        <v>128</v>
      </c>
      <c r="B66" s="13">
        <v>1591.4</v>
      </c>
      <c r="C66" s="13">
        <v>1589.4</v>
      </c>
      <c r="D66" s="13">
        <v>1612.4</v>
      </c>
      <c r="E66" s="13">
        <v>1576</v>
      </c>
      <c r="F66" s="14" t="s">
        <v>129</v>
      </c>
      <c r="G66" s="15">
        <v>-3.3E-3</v>
      </c>
    </row>
    <row r="67" spans="1:7" x14ac:dyDescent="0.35">
      <c r="A67" s="12" t="s">
        <v>130</v>
      </c>
      <c r="B67" s="13">
        <v>1637.7</v>
      </c>
      <c r="C67" s="13">
        <v>1602.4</v>
      </c>
      <c r="D67" s="13">
        <v>1645.6</v>
      </c>
      <c r="E67" s="13">
        <v>1595.2</v>
      </c>
      <c r="F67" s="14" t="s">
        <v>131</v>
      </c>
      <c r="G67" s="15">
        <v>2.9100000000000001E-2</v>
      </c>
    </row>
    <row r="68" spans="1:7" x14ac:dyDescent="0.35">
      <c r="A68" s="12" t="s">
        <v>132</v>
      </c>
      <c r="B68" s="13">
        <v>1645.7</v>
      </c>
      <c r="C68" s="13">
        <v>1635.3</v>
      </c>
      <c r="D68" s="13">
        <v>1652.8</v>
      </c>
      <c r="E68" s="13">
        <v>1624.4</v>
      </c>
      <c r="F68" s="14" t="s">
        <v>133</v>
      </c>
      <c r="G68" s="15">
        <v>4.8999999999999998E-3</v>
      </c>
    </row>
    <row r="69" spans="1:7" x14ac:dyDescent="0.35">
      <c r="A69" s="12" t="s">
        <v>134</v>
      </c>
      <c r="B69" s="13">
        <v>1693.9</v>
      </c>
      <c r="C69" s="13">
        <v>1647.7</v>
      </c>
      <c r="D69" s="13">
        <v>1715.8</v>
      </c>
      <c r="E69" s="13">
        <v>1638.2</v>
      </c>
      <c r="F69" s="14" t="s">
        <v>135</v>
      </c>
      <c r="G69" s="15">
        <v>2.93E-2</v>
      </c>
    </row>
    <row r="70" spans="1:7" x14ac:dyDescent="0.35">
      <c r="A70" s="12" t="s">
        <v>136</v>
      </c>
      <c r="B70" s="13">
        <v>1683.7</v>
      </c>
      <c r="C70" s="13">
        <v>1707.1</v>
      </c>
      <c r="D70" s="13">
        <v>1742.6</v>
      </c>
      <c r="E70" s="13">
        <v>1672</v>
      </c>
      <c r="F70" s="14" t="s">
        <v>137</v>
      </c>
      <c r="G70" s="15">
        <v>-6.0000000000000001E-3</v>
      </c>
    </row>
    <row r="71" spans="1:7" x14ac:dyDescent="0.35">
      <c r="A71" s="12" t="s">
        <v>138</v>
      </c>
      <c r="B71" s="13">
        <v>1684.3</v>
      </c>
      <c r="C71" s="13">
        <v>1678.7</v>
      </c>
      <c r="D71" s="13">
        <v>1695.8</v>
      </c>
      <c r="E71" s="13">
        <v>1670.7</v>
      </c>
      <c r="F71" s="14" t="s">
        <v>139</v>
      </c>
      <c r="G71" s="15">
        <v>4.0000000000000002E-4</v>
      </c>
    </row>
    <row r="72" spans="1:7" x14ac:dyDescent="0.35">
      <c r="A72" s="12" t="s">
        <v>140</v>
      </c>
      <c r="B72" s="13">
        <v>1752.8</v>
      </c>
      <c r="C72" s="13">
        <v>1680.5</v>
      </c>
      <c r="D72" s="13">
        <v>1754.5</v>
      </c>
      <c r="E72" s="13">
        <v>1676.5</v>
      </c>
      <c r="F72" s="14" t="s">
        <v>141</v>
      </c>
      <c r="G72" s="15">
        <v>4.07E-2</v>
      </c>
    </row>
    <row r="73" spans="1:7" x14ac:dyDescent="0.35">
      <c r="A73" s="12" t="s">
        <v>142</v>
      </c>
      <c r="B73" s="13">
        <v>1761.4</v>
      </c>
      <c r="C73" s="13">
        <v>1742.3</v>
      </c>
      <c r="D73" s="13">
        <v>1772.8</v>
      </c>
      <c r="E73" s="13">
        <v>1724.2</v>
      </c>
      <c r="F73" s="14" t="s">
        <v>143</v>
      </c>
      <c r="G73" s="15">
        <v>4.8999999999999998E-3</v>
      </c>
    </row>
    <row r="74" spans="1:7" x14ac:dyDescent="0.35">
      <c r="A74" s="12" t="s">
        <v>144</v>
      </c>
      <c r="B74" s="13">
        <v>1768.9</v>
      </c>
      <c r="C74" s="13">
        <v>1761.5</v>
      </c>
      <c r="D74" s="13">
        <v>1788.8</v>
      </c>
      <c r="E74" s="13">
        <v>1747.1</v>
      </c>
      <c r="F74" s="14" t="s">
        <v>145</v>
      </c>
      <c r="G74" s="15">
        <v>4.3E-3</v>
      </c>
    </row>
    <row r="75" spans="1:7" x14ac:dyDescent="0.35">
      <c r="A75" s="12" t="s">
        <v>146</v>
      </c>
      <c r="B75" s="13">
        <v>1740.2</v>
      </c>
      <c r="C75" s="13">
        <v>1758.1</v>
      </c>
      <c r="D75" s="13">
        <v>1759.8</v>
      </c>
      <c r="E75" s="13">
        <v>1731.6</v>
      </c>
      <c r="F75" s="14" t="s">
        <v>147</v>
      </c>
      <c r="G75" s="15">
        <v>-1.6199999999999999E-2</v>
      </c>
    </row>
    <row r="76" spans="1:7" x14ac:dyDescent="0.35">
      <c r="A76" s="12" t="s">
        <v>148</v>
      </c>
      <c r="B76" s="13">
        <v>1731.7</v>
      </c>
      <c r="C76" s="13">
        <v>1743.5</v>
      </c>
      <c r="D76" s="13">
        <v>1768</v>
      </c>
      <c r="E76" s="13">
        <v>1722.6</v>
      </c>
      <c r="F76" s="14" t="s">
        <v>149</v>
      </c>
      <c r="G76" s="15">
        <v>-4.8999999999999998E-3</v>
      </c>
    </row>
    <row r="77" spans="1:7" x14ac:dyDescent="0.35">
      <c r="A77" s="12" t="s">
        <v>150</v>
      </c>
      <c r="B77" s="13">
        <v>1698.8</v>
      </c>
      <c r="C77" s="13">
        <v>1738.5</v>
      </c>
      <c r="D77" s="13">
        <v>1738.8</v>
      </c>
      <c r="E77" s="13">
        <v>1691.2</v>
      </c>
      <c r="F77" s="14" t="s">
        <v>151</v>
      </c>
      <c r="G77" s="15">
        <v>-1.9E-2</v>
      </c>
    </row>
    <row r="78" spans="1:7" x14ac:dyDescent="0.35">
      <c r="A78" s="12" t="s">
        <v>152</v>
      </c>
      <c r="B78" s="13">
        <v>1711.2</v>
      </c>
      <c r="C78" s="13">
        <v>1693</v>
      </c>
      <c r="D78" s="13">
        <v>1718.4</v>
      </c>
      <c r="E78" s="13">
        <v>1685</v>
      </c>
      <c r="F78" s="14" t="s">
        <v>153</v>
      </c>
      <c r="G78" s="15">
        <v>7.3000000000000001E-3</v>
      </c>
    </row>
    <row r="79" spans="1:7" x14ac:dyDescent="0.35">
      <c r="A79" s="12" t="s">
        <v>154</v>
      </c>
      <c r="B79" s="13">
        <v>1687.8</v>
      </c>
      <c r="C79" s="13">
        <v>1713.3</v>
      </c>
      <c r="D79" s="13">
        <v>1718</v>
      </c>
      <c r="E79" s="13">
        <v>1666.2</v>
      </c>
      <c r="F79" s="14" t="s">
        <v>155</v>
      </c>
      <c r="G79" s="15">
        <v>-1.37E-2</v>
      </c>
    </row>
    <row r="80" spans="1:7" x14ac:dyDescent="0.35">
      <c r="A80" s="12" t="s">
        <v>156</v>
      </c>
      <c r="B80" s="13">
        <v>1738.3</v>
      </c>
      <c r="C80" s="13">
        <v>1703.1</v>
      </c>
      <c r="D80" s="13">
        <v>1742.4</v>
      </c>
      <c r="E80" s="13">
        <v>1695.4</v>
      </c>
      <c r="F80" s="14" t="s">
        <v>157</v>
      </c>
      <c r="G80" s="15">
        <v>2.9899999999999999E-2</v>
      </c>
    </row>
    <row r="81" spans="1:7" x14ac:dyDescent="0.35">
      <c r="A81" s="12" t="s">
        <v>158</v>
      </c>
      <c r="B81" s="13">
        <v>1745.4</v>
      </c>
      <c r="C81" s="13">
        <v>1736.5</v>
      </c>
      <c r="D81" s="13">
        <v>1764.2</v>
      </c>
      <c r="E81" s="13">
        <v>1730.6</v>
      </c>
      <c r="F81" s="14" t="s">
        <v>159</v>
      </c>
      <c r="G81" s="15">
        <v>4.1000000000000003E-3</v>
      </c>
    </row>
    <row r="82" spans="1:7" x14ac:dyDescent="0.35">
      <c r="A82" s="12" t="s">
        <v>160</v>
      </c>
      <c r="B82" s="13">
        <v>1735.6</v>
      </c>
      <c r="C82" s="13">
        <v>1753</v>
      </c>
      <c r="D82" s="13">
        <v>1760.2</v>
      </c>
      <c r="E82" s="13">
        <v>1725.4</v>
      </c>
      <c r="F82" s="14" t="s">
        <v>161</v>
      </c>
      <c r="G82" s="15">
        <v>-5.5999999999999999E-3</v>
      </c>
    </row>
    <row r="83" spans="1:7" x14ac:dyDescent="0.35">
      <c r="A83" s="12" t="s">
        <v>162</v>
      </c>
      <c r="B83" s="13">
        <v>1723.8</v>
      </c>
      <c r="C83" s="13">
        <v>1745</v>
      </c>
      <c r="D83" s="13">
        <v>1745.8</v>
      </c>
      <c r="E83" s="13">
        <v>1720</v>
      </c>
      <c r="F83" s="14" t="s">
        <v>163</v>
      </c>
      <c r="G83" s="15">
        <v>-6.7999999999999996E-3</v>
      </c>
    </row>
    <row r="84" spans="1:7" x14ac:dyDescent="0.35">
      <c r="A84" s="12" t="s">
        <v>164</v>
      </c>
      <c r="B84" s="13">
        <v>1722.2</v>
      </c>
      <c r="C84" s="13">
        <v>1724.4</v>
      </c>
      <c r="D84" s="13">
        <v>1731.9</v>
      </c>
      <c r="E84" s="13">
        <v>1704.1</v>
      </c>
      <c r="F84" s="14" t="s">
        <v>165</v>
      </c>
      <c r="G84" s="15">
        <v>-8.9999999999999998E-4</v>
      </c>
    </row>
    <row r="85" spans="1:7" x14ac:dyDescent="0.35">
      <c r="A85" s="12" t="s">
        <v>166</v>
      </c>
      <c r="B85" s="13">
        <v>1713.4</v>
      </c>
      <c r="C85" s="13">
        <v>1724.8</v>
      </c>
      <c r="D85" s="13">
        <v>1733.5</v>
      </c>
      <c r="E85" s="13">
        <v>1708.2</v>
      </c>
      <c r="F85" s="14" t="s">
        <v>167</v>
      </c>
      <c r="G85" s="15">
        <v>-5.1000000000000004E-3</v>
      </c>
    </row>
    <row r="86" spans="1:7" x14ac:dyDescent="0.35">
      <c r="A86" s="12" t="s">
        <v>168</v>
      </c>
      <c r="B86" s="13">
        <v>1694.2</v>
      </c>
      <c r="C86" s="13">
        <v>1729.6</v>
      </c>
      <c r="D86" s="13">
        <v>1737</v>
      </c>
      <c r="E86" s="13">
        <v>1687.5</v>
      </c>
      <c r="F86" s="14" t="s">
        <v>169</v>
      </c>
      <c r="G86" s="15">
        <v>-1.12E-2</v>
      </c>
    </row>
    <row r="87" spans="1:7" x14ac:dyDescent="0.35">
      <c r="A87" s="12" t="s">
        <v>170</v>
      </c>
      <c r="B87" s="13">
        <v>1700.9</v>
      </c>
      <c r="C87" s="13">
        <v>1693.5</v>
      </c>
      <c r="D87" s="13">
        <v>1714.4</v>
      </c>
      <c r="E87" s="13">
        <v>1676</v>
      </c>
      <c r="F87" s="14" t="s">
        <v>171</v>
      </c>
      <c r="G87" s="15">
        <v>4.0000000000000001E-3</v>
      </c>
    </row>
    <row r="88" spans="1:7" x14ac:dyDescent="0.35">
      <c r="A88" s="12" t="s">
        <v>172</v>
      </c>
      <c r="B88" s="13">
        <v>1713.3</v>
      </c>
      <c r="C88" s="13">
        <v>1711.2</v>
      </c>
      <c r="D88" s="13">
        <v>1726</v>
      </c>
      <c r="E88" s="13">
        <v>1700.3</v>
      </c>
      <c r="F88" s="14" t="s">
        <v>173</v>
      </c>
      <c r="G88" s="15">
        <v>7.3000000000000001E-3</v>
      </c>
    </row>
    <row r="89" spans="1:7" x14ac:dyDescent="0.35">
      <c r="A89" s="12" t="s">
        <v>174</v>
      </c>
      <c r="B89" s="13">
        <v>1710.6</v>
      </c>
      <c r="C89" s="13">
        <v>1711</v>
      </c>
      <c r="D89" s="13">
        <v>1717.8</v>
      </c>
      <c r="E89" s="13">
        <v>1695.4</v>
      </c>
      <c r="F89" s="14" t="s">
        <v>175</v>
      </c>
      <c r="G89" s="15">
        <v>-1.6000000000000001E-3</v>
      </c>
    </row>
    <row r="90" spans="1:7" x14ac:dyDescent="0.35">
      <c r="A90" s="12" t="s">
        <v>176</v>
      </c>
      <c r="B90" s="13">
        <v>1688.5</v>
      </c>
      <c r="C90" s="13">
        <v>1714.1</v>
      </c>
      <c r="D90" s="13">
        <v>1716.6</v>
      </c>
      <c r="E90" s="13">
        <v>1683</v>
      </c>
      <c r="F90" s="14" t="s">
        <v>177</v>
      </c>
      <c r="G90" s="15">
        <v>-1.29E-2</v>
      </c>
    </row>
    <row r="91" spans="1:7" x14ac:dyDescent="0.35">
      <c r="A91" s="12" t="s">
        <v>178</v>
      </c>
      <c r="B91" s="13">
        <v>1725.8</v>
      </c>
      <c r="C91" s="13">
        <v>1686</v>
      </c>
      <c r="D91" s="13">
        <v>1733.2</v>
      </c>
      <c r="E91" s="13">
        <v>1683.9</v>
      </c>
      <c r="F91" s="14" t="s">
        <v>179</v>
      </c>
      <c r="G91" s="15">
        <v>2.2100000000000002E-2</v>
      </c>
    </row>
    <row r="92" spans="1:7" x14ac:dyDescent="0.35">
      <c r="A92" s="12" t="s">
        <v>180</v>
      </c>
      <c r="B92" s="13">
        <v>1713.9</v>
      </c>
      <c r="C92" s="13">
        <v>1727.2</v>
      </c>
      <c r="D92" s="13">
        <v>1735.5</v>
      </c>
      <c r="E92" s="13">
        <v>1703.1</v>
      </c>
      <c r="F92" s="14" t="s">
        <v>181</v>
      </c>
      <c r="G92" s="15">
        <v>-6.8999999999999999E-3</v>
      </c>
    </row>
    <row r="93" spans="1:7" x14ac:dyDescent="0.35">
      <c r="A93" s="12" t="s">
        <v>182</v>
      </c>
      <c r="B93" s="13">
        <v>1698</v>
      </c>
      <c r="C93" s="13">
        <v>1706</v>
      </c>
      <c r="D93" s="13">
        <v>1713.8</v>
      </c>
      <c r="E93" s="13">
        <v>1692.1</v>
      </c>
      <c r="F93" s="14" t="s">
        <v>183</v>
      </c>
      <c r="G93" s="15">
        <v>-9.2999999999999992E-3</v>
      </c>
    </row>
    <row r="94" spans="1:7" x14ac:dyDescent="0.35">
      <c r="A94" s="12" t="s">
        <v>184</v>
      </c>
      <c r="B94" s="13">
        <v>1706.8</v>
      </c>
      <c r="C94" s="13">
        <v>1700</v>
      </c>
      <c r="D94" s="13">
        <v>1716.7</v>
      </c>
      <c r="E94" s="13">
        <v>1693.5</v>
      </c>
      <c r="F94" s="14" t="s">
        <v>185</v>
      </c>
      <c r="G94" s="15">
        <v>5.1999999999999998E-3</v>
      </c>
    </row>
    <row r="95" spans="1:7" x14ac:dyDescent="0.35">
      <c r="A95" s="12" t="s">
        <v>186</v>
      </c>
      <c r="B95" s="13">
        <v>1716.4</v>
      </c>
      <c r="C95" s="13">
        <v>1705</v>
      </c>
      <c r="D95" s="13">
        <v>1726.5</v>
      </c>
      <c r="E95" s="13">
        <v>1701.6</v>
      </c>
      <c r="F95" s="14" t="s">
        <v>187</v>
      </c>
      <c r="G95" s="15">
        <v>5.5999999999999999E-3</v>
      </c>
    </row>
    <row r="96" spans="1:7" x14ac:dyDescent="0.35">
      <c r="A96" s="12" t="s">
        <v>188</v>
      </c>
      <c r="B96" s="13">
        <v>1740.9</v>
      </c>
      <c r="C96" s="13">
        <v>1723.1</v>
      </c>
      <c r="D96" s="13">
        <v>1746.5</v>
      </c>
      <c r="E96" s="13">
        <v>1716</v>
      </c>
      <c r="F96" s="14" t="s">
        <v>189</v>
      </c>
      <c r="G96" s="15">
        <v>1.43E-2</v>
      </c>
    </row>
    <row r="97" spans="1:7" x14ac:dyDescent="0.35">
      <c r="A97" s="12" t="s">
        <v>190</v>
      </c>
      <c r="B97" s="13">
        <v>1756.3</v>
      </c>
      <c r="C97" s="13">
        <v>1738.5</v>
      </c>
      <c r="D97" s="13">
        <v>1761.2</v>
      </c>
      <c r="E97" s="13">
        <v>1736.8</v>
      </c>
      <c r="F97" s="14" t="s">
        <v>191</v>
      </c>
      <c r="G97" s="15">
        <v>8.8000000000000005E-3</v>
      </c>
    </row>
    <row r="98" spans="1:7" x14ac:dyDescent="0.35">
      <c r="A98" s="12" t="s">
        <v>192</v>
      </c>
      <c r="B98" s="13">
        <v>1734.4</v>
      </c>
      <c r="C98" s="13">
        <v>1757.5</v>
      </c>
      <c r="D98" s="13">
        <v>1775.8</v>
      </c>
      <c r="E98" s="13">
        <v>1729.3</v>
      </c>
      <c r="F98" s="14" t="s">
        <v>193</v>
      </c>
      <c r="G98" s="15">
        <v>-1.2500000000000001E-2</v>
      </c>
    </row>
    <row r="99" spans="1:7" x14ac:dyDescent="0.35">
      <c r="A99" s="12" t="s">
        <v>194</v>
      </c>
      <c r="B99" s="13">
        <v>1745.6</v>
      </c>
      <c r="C99" s="13">
        <v>1734.8</v>
      </c>
      <c r="D99" s="13">
        <v>1751.6</v>
      </c>
      <c r="E99" s="13">
        <v>1727.2</v>
      </c>
      <c r="F99" s="14" t="s">
        <v>195</v>
      </c>
      <c r="G99" s="15">
        <v>6.4999999999999997E-3</v>
      </c>
    </row>
    <row r="100" spans="1:7" x14ac:dyDescent="0.35">
      <c r="A100" s="12" t="s">
        <v>196</v>
      </c>
      <c r="B100" s="13">
        <v>1752.1</v>
      </c>
      <c r="C100" s="13">
        <v>1749.2</v>
      </c>
      <c r="D100" s="13">
        <v>1757.6</v>
      </c>
      <c r="E100" s="13">
        <v>1744</v>
      </c>
      <c r="F100" s="14" t="s">
        <v>197</v>
      </c>
      <c r="G100" s="15">
        <v>3.7000000000000002E-3</v>
      </c>
    </row>
    <row r="101" spans="1:7" x14ac:dyDescent="0.35">
      <c r="A101" s="12" t="s">
        <v>198</v>
      </c>
      <c r="B101" s="13">
        <v>1721.9</v>
      </c>
      <c r="C101" s="13">
        <v>1751.7</v>
      </c>
      <c r="D101" s="13">
        <v>1751.7</v>
      </c>
      <c r="E101" s="13">
        <v>1715.3</v>
      </c>
      <c r="F101" s="14" t="s">
        <v>199</v>
      </c>
      <c r="G101" s="15">
        <v>-1.72E-2</v>
      </c>
    </row>
    <row r="102" spans="1:7" x14ac:dyDescent="0.35">
      <c r="A102" s="12" t="s">
        <v>200</v>
      </c>
      <c r="B102" s="13">
        <v>1735.5</v>
      </c>
      <c r="C102" s="13">
        <v>1726</v>
      </c>
      <c r="D102" s="13">
        <v>1742</v>
      </c>
      <c r="E102" s="13">
        <v>1722.5</v>
      </c>
      <c r="F102" s="14" t="s">
        <v>201</v>
      </c>
      <c r="G102" s="15">
        <v>7.9000000000000008E-3</v>
      </c>
    </row>
    <row r="103" spans="1:7" x14ac:dyDescent="0.35">
      <c r="A103" s="12" t="s">
        <v>202</v>
      </c>
      <c r="B103" s="13">
        <v>1705.6</v>
      </c>
      <c r="C103" s="13">
        <v>1734.8</v>
      </c>
      <c r="D103" s="13">
        <v>1737.2</v>
      </c>
      <c r="E103" s="13">
        <v>1700</v>
      </c>
      <c r="F103" s="14" t="s">
        <v>203</v>
      </c>
      <c r="G103" s="15">
        <v>-1.72E-2</v>
      </c>
    </row>
    <row r="104" spans="1:7" x14ac:dyDescent="0.35">
      <c r="A104" s="12" t="s">
        <v>204</v>
      </c>
      <c r="B104" s="13">
        <v>1705.6</v>
      </c>
      <c r="C104" s="13">
        <v>1730.2</v>
      </c>
      <c r="D104" s="13">
        <v>1737.2</v>
      </c>
      <c r="E104" s="13">
        <v>1700</v>
      </c>
      <c r="F104" s="14" t="s">
        <v>203</v>
      </c>
      <c r="G104" s="15">
        <v>0</v>
      </c>
    </row>
    <row r="105" spans="1:7" x14ac:dyDescent="0.35">
      <c r="A105" s="12" t="s">
        <v>205</v>
      </c>
      <c r="B105" s="13">
        <v>1726.8</v>
      </c>
      <c r="C105" s="13">
        <v>1703.1</v>
      </c>
      <c r="D105" s="13">
        <v>1713.2</v>
      </c>
      <c r="E105" s="13">
        <v>1684.2</v>
      </c>
      <c r="F105" s="14" t="s">
        <v>206</v>
      </c>
      <c r="G105" s="15">
        <v>1.24E-2</v>
      </c>
    </row>
    <row r="106" spans="1:7" x14ac:dyDescent="0.35">
      <c r="A106" s="12" t="s">
        <v>207</v>
      </c>
      <c r="B106" s="13">
        <v>1728.3</v>
      </c>
      <c r="C106" s="13">
        <v>1725</v>
      </c>
      <c r="D106" s="13">
        <v>1743.7</v>
      </c>
      <c r="E106" s="13">
        <v>1720</v>
      </c>
      <c r="F106" s="14" t="s">
        <v>208</v>
      </c>
      <c r="G106" s="15">
        <v>8.9999999999999998E-4</v>
      </c>
    </row>
    <row r="107" spans="1:7" x14ac:dyDescent="0.35">
      <c r="A107" s="12" t="s">
        <v>209</v>
      </c>
      <c r="B107" s="13">
        <v>1751.7</v>
      </c>
      <c r="C107" s="13">
        <v>1732.7</v>
      </c>
      <c r="D107" s="13">
        <v>1754.5</v>
      </c>
      <c r="E107" s="13">
        <v>1725.3</v>
      </c>
      <c r="F107" s="14" t="s">
        <v>210</v>
      </c>
      <c r="G107" s="15">
        <v>1.35E-2</v>
      </c>
    </row>
    <row r="108" spans="1:7" x14ac:dyDescent="0.35">
      <c r="A108" s="12" t="s">
        <v>211</v>
      </c>
      <c r="B108" s="13">
        <v>1750.3</v>
      </c>
      <c r="C108" s="13">
        <v>1749.8</v>
      </c>
      <c r="D108" s="13">
        <v>1761</v>
      </c>
      <c r="E108" s="13">
        <v>1737.6</v>
      </c>
      <c r="F108" s="14" t="s">
        <v>212</v>
      </c>
      <c r="G108" s="15">
        <v>-8.0000000000000004E-4</v>
      </c>
    </row>
    <row r="109" spans="1:7" x14ac:dyDescent="0.35">
      <c r="A109" s="12" t="s">
        <v>213</v>
      </c>
      <c r="B109" s="13">
        <v>1734</v>
      </c>
      <c r="C109" s="13">
        <v>1750.3</v>
      </c>
      <c r="D109" s="13">
        <v>1757</v>
      </c>
      <c r="E109" s="13">
        <v>1728</v>
      </c>
      <c r="F109" s="14" t="s">
        <v>214</v>
      </c>
      <c r="G109" s="15">
        <v>-9.2999999999999992E-3</v>
      </c>
    </row>
    <row r="110" spans="1:7" x14ac:dyDescent="0.35">
      <c r="A110" s="12" t="s">
        <v>215</v>
      </c>
      <c r="B110" s="13">
        <v>1704.8</v>
      </c>
      <c r="C110" s="13">
        <v>1733.7</v>
      </c>
      <c r="D110" s="13">
        <v>1738.9</v>
      </c>
      <c r="E110" s="13">
        <v>1690.3</v>
      </c>
      <c r="F110" s="14" t="s">
        <v>216</v>
      </c>
      <c r="G110" s="15">
        <v>-1.6799999999999999E-2</v>
      </c>
    </row>
    <row r="111" spans="1:7" x14ac:dyDescent="0.35">
      <c r="A111" s="12" t="s">
        <v>217</v>
      </c>
      <c r="B111" s="13">
        <v>1727.4</v>
      </c>
      <c r="C111" s="13">
        <v>1702.8</v>
      </c>
      <c r="D111" s="13">
        <v>1729</v>
      </c>
      <c r="E111" s="13">
        <v>1698.9</v>
      </c>
      <c r="F111" s="14" t="s">
        <v>218</v>
      </c>
      <c r="G111" s="15">
        <v>1.3299999999999999E-2</v>
      </c>
    </row>
    <row r="112" spans="1:7" x14ac:dyDescent="0.35">
      <c r="A112" s="12" t="s">
        <v>219</v>
      </c>
      <c r="B112" s="13">
        <v>1683</v>
      </c>
      <c r="C112" s="13">
        <v>1720.8</v>
      </c>
      <c r="D112" s="13">
        <v>1723.2</v>
      </c>
      <c r="E112" s="13">
        <v>1671.7</v>
      </c>
      <c r="F112" s="14" t="s">
        <v>220</v>
      </c>
      <c r="G112" s="15">
        <v>-2.5700000000000001E-2</v>
      </c>
    </row>
    <row r="113" spans="1:7" x14ac:dyDescent="0.35">
      <c r="A113" s="12" t="s">
        <v>221</v>
      </c>
      <c r="B113" s="13">
        <v>1705.1</v>
      </c>
      <c r="C113" s="13">
        <v>1686.7</v>
      </c>
      <c r="D113" s="13">
        <v>1707.6</v>
      </c>
      <c r="E113" s="13">
        <v>1680.7</v>
      </c>
      <c r="F113" s="14" t="s">
        <v>222</v>
      </c>
      <c r="G113" s="15">
        <v>1.3100000000000001E-2</v>
      </c>
    </row>
    <row r="114" spans="1:7" x14ac:dyDescent="0.35">
      <c r="A114" s="12" t="s">
        <v>223</v>
      </c>
      <c r="B114" s="13">
        <v>1721.9</v>
      </c>
      <c r="C114" s="13">
        <v>1703.9</v>
      </c>
      <c r="D114" s="13">
        <v>1729.4</v>
      </c>
      <c r="E114" s="13">
        <v>1697.6</v>
      </c>
      <c r="F114" s="14" t="s">
        <v>224</v>
      </c>
      <c r="G114" s="15">
        <v>9.9000000000000008E-3</v>
      </c>
    </row>
    <row r="115" spans="1:7" x14ac:dyDescent="0.35">
      <c r="A115" s="12" t="s">
        <v>225</v>
      </c>
      <c r="B115" s="13">
        <v>1720.7</v>
      </c>
      <c r="C115" s="13">
        <v>1718.9</v>
      </c>
      <c r="D115" s="13">
        <v>1749.4</v>
      </c>
      <c r="E115" s="13">
        <v>1714.1</v>
      </c>
      <c r="F115" s="14" t="s">
        <v>226</v>
      </c>
      <c r="G115" s="15">
        <v>-6.9999999999999999E-4</v>
      </c>
    </row>
    <row r="116" spans="1:7" x14ac:dyDescent="0.35">
      <c r="A116" s="12" t="s">
        <v>227</v>
      </c>
      <c r="B116" s="13">
        <v>1739.8</v>
      </c>
      <c r="C116" s="13">
        <v>1746.6</v>
      </c>
      <c r="D116" s="13">
        <v>1754.9</v>
      </c>
      <c r="E116" s="13">
        <v>1727.5</v>
      </c>
      <c r="F116" s="14" t="s">
        <v>228</v>
      </c>
      <c r="G116" s="15">
        <v>1.11E-2</v>
      </c>
    </row>
    <row r="117" spans="1:7" x14ac:dyDescent="0.35">
      <c r="A117" s="12" t="s">
        <v>229</v>
      </c>
      <c r="B117" s="13">
        <v>1737.3</v>
      </c>
      <c r="C117" s="13">
        <v>1733.6</v>
      </c>
      <c r="D117" s="13">
        <v>1753</v>
      </c>
      <c r="E117" s="13">
        <v>1728.2</v>
      </c>
      <c r="F117" s="14" t="s">
        <v>230</v>
      </c>
      <c r="G117" s="15">
        <v>-1.4E-3</v>
      </c>
    </row>
    <row r="118" spans="1:7" x14ac:dyDescent="0.35">
      <c r="A118" s="12" t="s">
        <v>231</v>
      </c>
      <c r="B118" s="13">
        <v>1727.2</v>
      </c>
      <c r="C118" s="13">
        <v>1740.7</v>
      </c>
      <c r="D118" s="13">
        <v>1743.8</v>
      </c>
      <c r="E118" s="13">
        <v>1706.2</v>
      </c>
      <c r="F118" s="14" t="s">
        <v>232</v>
      </c>
      <c r="G118" s="15">
        <v>-5.7999999999999996E-3</v>
      </c>
    </row>
    <row r="119" spans="1:7" x14ac:dyDescent="0.35">
      <c r="A119" s="12" t="s">
        <v>233</v>
      </c>
      <c r="B119" s="13">
        <v>1736.5</v>
      </c>
      <c r="C119" s="13">
        <v>1732.3</v>
      </c>
      <c r="D119" s="13">
        <v>1741.3</v>
      </c>
      <c r="E119" s="13">
        <v>1721.8</v>
      </c>
      <c r="F119" s="14" t="s">
        <v>234</v>
      </c>
      <c r="G119" s="15">
        <v>5.4000000000000003E-3</v>
      </c>
    </row>
    <row r="120" spans="1:7" x14ac:dyDescent="0.35">
      <c r="A120" s="12" t="s">
        <v>235</v>
      </c>
      <c r="B120" s="13">
        <v>1735.6</v>
      </c>
      <c r="C120" s="13">
        <v>1735.3</v>
      </c>
      <c r="D120" s="13">
        <v>1739.3</v>
      </c>
      <c r="E120" s="13">
        <v>1717.3</v>
      </c>
      <c r="F120" s="14" t="s">
        <v>236</v>
      </c>
      <c r="G120" s="15">
        <v>-5.0000000000000001E-4</v>
      </c>
    </row>
    <row r="121" spans="1:7" x14ac:dyDescent="0.35">
      <c r="A121" s="12" t="s">
        <v>237</v>
      </c>
      <c r="B121" s="13">
        <v>1731.1</v>
      </c>
      <c r="C121" s="13">
        <v>1735.5</v>
      </c>
      <c r="D121" s="13">
        <v>1749.2</v>
      </c>
      <c r="E121" s="13">
        <v>1722.7</v>
      </c>
      <c r="F121" s="14" t="s">
        <v>238</v>
      </c>
      <c r="G121" s="15">
        <v>-2.5999999999999999E-3</v>
      </c>
    </row>
    <row r="122" spans="1:7" x14ac:dyDescent="0.35">
      <c r="A122" s="12" t="s">
        <v>239</v>
      </c>
      <c r="B122" s="13">
        <v>1753</v>
      </c>
      <c r="C122" s="13">
        <v>1729.8</v>
      </c>
      <c r="D122" s="13">
        <v>1760.9</v>
      </c>
      <c r="E122" s="13">
        <v>1728.3</v>
      </c>
      <c r="F122" s="14" t="s">
        <v>240</v>
      </c>
      <c r="G122" s="15">
        <v>1.2699999999999999E-2</v>
      </c>
    </row>
    <row r="123" spans="1:7" x14ac:dyDescent="0.35">
      <c r="A123" s="12" t="s">
        <v>241</v>
      </c>
      <c r="B123" s="13">
        <v>1766.4</v>
      </c>
      <c r="C123" s="13">
        <v>1765.8</v>
      </c>
      <c r="D123" s="13">
        <v>1779</v>
      </c>
      <c r="E123" s="13">
        <v>1753.5</v>
      </c>
      <c r="F123" s="14" t="s">
        <v>242</v>
      </c>
      <c r="G123" s="15">
        <v>7.6E-3</v>
      </c>
    </row>
    <row r="124" spans="1:7" x14ac:dyDescent="0.35">
      <c r="A124" s="12" t="s">
        <v>243</v>
      </c>
      <c r="B124" s="13">
        <v>1782</v>
      </c>
      <c r="C124" s="13">
        <v>1764.9</v>
      </c>
      <c r="D124" s="13">
        <v>1786.8</v>
      </c>
      <c r="E124" s="13">
        <v>1758.3</v>
      </c>
      <c r="F124" s="14" t="s">
        <v>244</v>
      </c>
      <c r="G124" s="15">
        <v>8.8000000000000005E-3</v>
      </c>
    </row>
    <row r="125" spans="1:7" x14ac:dyDescent="0.35">
      <c r="A125" s="12" t="s">
        <v>245</v>
      </c>
      <c r="B125" s="13">
        <v>1775.1</v>
      </c>
      <c r="C125" s="13">
        <v>1784.4</v>
      </c>
      <c r="D125" s="13">
        <v>1796.1</v>
      </c>
      <c r="E125" s="13">
        <v>1770.6</v>
      </c>
      <c r="F125" s="14" t="s">
        <v>246</v>
      </c>
      <c r="G125" s="15">
        <v>-3.8999999999999998E-3</v>
      </c>
    </row>
    <row r="126" spans="1:7" x14ac:dyDescent="0.35">
      <c r="A126" s="12" t="s">
        <v>247</v>
      </c>
      <c r="B126" s="13">
        <v>1770.6</v>
      </c>
      <c r="C126" s="13">
        <v>1772.3</v>
      </c>
      <c r="D126" s="13">
        <v>1779.6</v>
      </c>
      <c r="E126" s="13">
        <v>1764.1</v>
      </c>
      <c r="F126" s="14" t="s">
        <v>248</v>
      </c>
      <c r="G126" s="15">
        <v>-2.5000000000000001E-3</v>
      </c>
    </row>
    <row r="127" spans="1:7" x14ac:dyDescent="0.35">
      <c r="A127" s="12" t="s">
        <v>249</v>
      </c>
      <c r="B127" s="13">
        <v>1780.3</v>
      </c>
      <c r="C127" s="13">
        <v>1774.8</v>
      </c>
      <c r="D127" s="13">
        <v>1786.2</v>
      </c>
      <c r="E127" s="13">
        <v>1754</v>
      </c>
      <c r="F127" s="14" t="s">
        <v>250</v>
      </c>
      <c r="G127" s="15">
        <v>5.4999999999999997E-3</v>
      </c>
    </row>
    <row r="128" spans="1:7" x14ac:dyDescent="0.35">
      <c r="A128" s="12" t="s">
        <v>251</v>
      </c>
      <c r="B128" s="13">
        <v>1781.2</v>
      </c>
      <c r="C128" s="13">
        <v>1789.2</v>
      </c>
      <c r="D128" s="13">
        <v>1790.4</v>
      </c>
      <c r="E128" s="13">
        <v>1776.5</v>
      </c>
      <c r="F128" s="14" t="s">
        <v>252</v>
      </c>
      <c r="G128" s="15">
        <v>5.0000000000000001E-4</v>
      </c>
    </row>
    <row r="129" spans="1:7" x14ac:dyDescent="0.35">
      <c r="A129" s="12" t="s">
        <v>253</v>
      </c>
      <c r="B129" s="13">
        <v>1800.5</v>
      </c>
      <c r="C129" s="13">
        <v>1784.2</v>
      </c>
      <c r="D129" s="13">
        <v>1804</v>
      </c>
      <c r="E129" s="13">
        <v>1774.8</v>
      </c>
      <c r="F129" s="14" t="s">
        <v>254</v>
      </c>
      <c r="G129" s="15">
        <v>1.0800000000000001E-2</v>
      </c>
    </row>
    <row r="130" spans="1:7" x14ac:dyDescent="0.35">
      <c r="A130" s="12" t="s">
        <v>255</v>
      </c>
      <c r="B130" s="13">
        <v>1779.9</v>
      </c>
      <c r="C130" s="13">
        <v>1798.9</v>
      </c>
      <c r="D130" s="13">
        <v>1807.7</v>
      </c>
      <c r="E130" s="13">
        <v>1767.9</v>
      </c>
      <c r="F130" s="14" t="s">
        <v>256</v>
      </c>
      <c r="G130" s="15">
        <v>-1.14E-2</v>
      </c>
    </row>
    <row r="131" spans="1:7" x14ac:dyDescent="0.35">
      <c r="A131" s="12" t="s">
        <v>257</v>
      </c>
      <c r="B131" s="13">
        <v>1790</v>
      </c>
      <c r="C131" s="13">
        <v>1779</v>
      </c>
      <c r="D131" s="13">
        <v>1791.7</v>
      </c>
      <c r="E131" s="13">
        <v>1766.3</v>
      </c>
      <c r="F131" s="14" t="s">
        <v>258</v>
      </c>
      <c r="G131" s="15">
        <v>5.7000000000000002E-3</v>
      </c>
    </row>
    <row r="132" spans="1:7" x14ac:dyDescent="0.35">
      <c r="A132" s="12" t="s">
        <v>259</v>
      </c>
      <c r="B132" s="13">
        <v>1793.5</v>
      </c>
      <c r="C132" s="13">
        <v>1787.9</v>
      </c>
      <c r="D132" s="13">
        <v>1799</v>
      </c>
      <c r="E132" s="13">
        <v>1779.2</v>
      </c>
      <c r="F132" s="14" t="s">
        <v>260</v>
      </c>
      <c r="G132" s="15">
        <v>2E-3</v>
      </c>
    </row>
    <row r="133" spans="1:7" x14ac:dyDescent="0.35">
      <c r="A133" s="12" t="s">
        <v>261</v>
      </c>
      <c r="B133" s="13">
        <v>1793.5</v>
      </c>
      <c r="C133" s="13">
        <v>1787.9</v>
      </c>
      <c r="D133" s="13">
        <v>1799</v>
      </c>
      <c r="E133" s="13">
        <v>1779.2</v>
      </c>
      <c r="F133" s="14" t="s">
        <v>260</v>
      </c>
      <c r="G133" s="15">
        <v>0</v>
      </c>
    </row>
    <row r="134" spans="1:7" x14ac:dyDescent="0.35">
      <c r="A134" s="12" t="s">
        <v>262</v>
      </c>
      <c r="B134" s="13">
        <v>1809.9</v>
      </c>
      <c r="C134" s="13">
        <v>1793.9</v>
      </c>
      <c r="D134" s="13">
        <v>1810.8</v>
      </c>
      <c r="E134" s="13">
        <v>1781.2</v>
      </c>
      <c r="F134" s="14" t="s">
        <v>263</v>
      </c>
      <c r="G134" s="15">
        <v>9.1000000000000004E-3</v>
      </c>
    </row>
    <row r="135" spans="1:7" x14ac:dyDescent="0.35">
      <c r="A135" s="12" t="s">
        <v>264</v>
      </c>
      <c r="B135" s="13">
        <v>1820.6</v>
      </c>
      <c r="C135" s="13">
        <v>1807.9</v>
      </c>
      <c r="D135" s="13">
        <v>1829.8</v>
      </c>
      <c r="E135" s="13">
        <v>1803.8</v>
      </c>
      <c r="F135" s="14" t="s">
        <v>265</v>
      </c>
      <c r="G135" s="15">
        <v>5.8999999999999999E-3</v>
      </c>
    </row>
    <row r="136" spans="1:7" x14ac:dyDescent="0.35">
      <c r="A136" s="12" t="s">
        <v>266</v>
      </c>
      <c r="B136" s="13">
        <v>1803.8</v>
      </c>
      <c r="C136" s="13">
        <v>1818.8</v>
      </c>
      <c r="D136" s="13">
        <v>1825.5</v>
      </c>
      <c r="E136" s="13">
        <v>1799.6</v>
      </c>
      <c r="F136" s="14" t="s">
        <v>267</v>
      </c>
      <c r="G136" s="15">
        <v>-9.1999999999999998E-3</v>
      </c>
    </row>
    <row r="137" spans="1:7" x14ac:dyDescent="0.35">
      <c r="A137" s="12" t="s">
        <v>268</v>
      </c>
      <c r="B137" s="13">
        <v>1801.9</v>
      </c>
      <c r="C137" s="13">
        <v>1808.4</v>
      </c>
      <c r="D137" s="13">
        <v>1817</v>
      </c>
      <c r="E137" s="13">
        <v>1796.5</v>
      </c>
      <c r="F137" s="14" t="s">
        <v>269</v>
      </c>
      <c r="G137" s="15">
        <v>-1.1000000000000001E-3</v>
      </c>
    </row>
    <row r="138" spans="1:7" x14ac:dyDescent="0.35">
      <c r="A138" s="12" t="s">
        <v>270</v>
      </c>
      <c r="B138" s="13">
        <v>1814.1</v>
      </c>
      <c r="C138" s="13">
        <v>1803.4</v>
      </c>
      <c r="D138" s="13">
        <v>1818.8</v>
      </c>
      <c r="E138" s="13">
        <v>1802.1</v>
      </c>
      <c r="F138" s="14" t="s">
        <v>271</v>
      </c>
      <c r="G138" s="15">
        <v>6.7999999999999996E-3</v>
      </c>
    </row>
    <row r="139" spans="1:7" x14ac:dyDescent="0.35">
      <c r="A139" s="12" t="s">
        <v>272</v>
      </c>
      <c r="B139" s="13">
        <v>1813.4</v>
      </c>
      <c r="C139" s="13">
        <v>1805.2</v>
      </c>
      <c r="D139" s="13">
        <v>1815</v>
      </c>
      <c r="E139" s="13">
        <v>1791.1</v>
      </c>
      <c r="F139" s="14" t="s">
        <v>273</v>
      </c>
      <c r="G139" s="15">
        <v>-4.0000000000000002E-4</v>
      </c>
    </row>
    <row r="140" spans="1:7" x14ac:dyDescent="0.35">
      <c r="A140" s="12" t="s">
        <v>274</v>
      </c>
      <c r="B140" s="13">
        <v>1813.8</v>
      </c>
      <c r="C140" s="13">
        <v>1811.1</v>
      </c>
      <c r="D140" s="13">
        <v>1819.5</v>
      </c>
      <c r="E140" s="13">
        <v>1804</v>
      </c>
      <c r="F140" s="14" t="s">
        <v>275</v>
      </c>
      <c r="G140" s="15">
        <v>2.0000000000000001E-4</v>
      </c>
    </row>
    <row r="141" spans="1:7" x14ac:dyDescent="0.35">
      <c r="A141" s="12" t="s">
        <v>276</v>
      </c>
      <c r="B141" s="13">
        <v>1800.3</v>
      </c>
      <c r="C141" s="13">
        <v>1813.1</v>
      </c>
      <c r="D141" s="13">
        <v>1816.2</v>
      </c>
      <c r="E141" s="13">
        <v>1794.1</v>
      </c>
      <c r="F141" s="14" t="s">
        <v>277</v>
      </c>
      <c r="G141" s="15">
        <v>-7.4000000000000003E-3</v>
      </c>
    </row>
    <row r="142" spans="1:7" x14ac:dyDescent="0.35">
      <c r="A142" s="12" t="s">
        <v>278</v>
      </c>
      <c r="B142" s="13">
        <v>1810</v>
      </c>
      <c r="C142" s="13">
        <v>1796.9</v>
      </c>
      <c r="D142" s="13">
        <v>1813.9</v>
      </c>
      <c r="E142" s="13">
        <v>1795.2</v>
      </c>
      <c r="F142" s="14" t="s">
        <v>279</v>
      </c>
      <c r="G142" s="15">
        <v>5.4000000000000003E-3</v>
      </c>
    </row>
    <row r="143" spans="1:7" x14ac:dyDescent="0.35">
      <c r="A143" s="12" t="s">
        <v>280</v>
      </c>
      <c r="B143" s="13">
        <v>1817.4</v>
      </c>
      <c r="C143" s="13">
        <v>1812.3</v>
      </c>
      <c r="D143" s="13">
        <v>1823.4</v>
      </c>
      <c r="E143" s="13">
        <v>1806.6</v>
      </c>
      <c r="F143" s="14" t="s">
        <v>281</v>
      </c>
      <c r="G143" s="15">
        <v>4.1000000000000003E-3</v>
      </c>
    </row>
    <row r="144" spans="1:7" x14ac:dyDescent="0.35">
      <c r="A144" s="12" t="s">
        <v>282</v>
      </c>
      <c r="B144" s="13">
        <v>1843.9</v>
      </c>
      <c r="C144" s="13">
        <v>1819.6</v>
      </c>
      <c r="D144" s="13">
        <v>1844.9</v>
      </c>
      <c r="E144" s="13">
        <v>1817.2</v>
      </c>
      <c r="F144" s="14" t="s">
        <v>283</v>
      </c>
      <c r="G144" s="15">
        <v>1.46E-2</v>
      </c>
    </row>
    <row r="145" spans="1:7" x14ac:dyDescent="0.35">
      <c r="A145" s="12" t="s">
        <v>284</v>
      </c>
      <c r="B145" s="13">
        <v>1865.1</v>
      </c>
      <c r="C145" s="13">
        <v>1842.8</v>
      </c>
      <c r="D145" s="13">
        <v>1871.8</v>
      </c>
      <c r="E145" s="13">
        <v>1842.1</v>
      </c>
      <c r="F145" s="14" t="s">
        <v>285</v>
      </c>
      <c r="G145" s="15">
        <v>1.15E-2</v>
      </c>
    </row>
    <row r="146" spans="1:7" x14ac:dyDescent="0.35">
      <c r="A146" s="12" t="s">
        <v>286</v>
      </c>
      <c r="B146" s="13">
        <v>1890</v>
      </c>
      <c r="C146" s="13">
        <v>1871.6</v>
      </c>
      <c r="D146" s="13">
        <v>1897.7</v>
      </c>
      <c r="E146" s="13">
        <v>1863.1</v>
      </c>
      <c r="F146" s="14" t="s">
        <v>287</v>
      </c>
      <c r="G146" s="15">
        <v>1.34E-2</v>
      </c>
    </row>
    <row r="147" spans="1:7" x14ac:dyDescent="0.35">
      <c r="A147" s="12" t="s">
        <v>288</v>
      </c>
      <c r="B147" s="13">
        <v>1897.5</v>
      </c>
      <c r="C147" s="13">
        <v>1884.9</v>
      </c>
      <c r="D147" s="13">
        <v>1904.6</v>
      </c>
      <c r="E147" s="13">
        <v>1880.5</v>
      </c>
      <c r="F147" s="14" t="s">
        <v>289</v>
      </c>
      <c r="G147" s="15">
        <v>4.0000000000000001E-3</v>
      </c>
    </row>
    <row r="148" spans="1:7" x14ac:dyDescent="0.35">
      <c r="A148" s="12" t="s">
        <v>290</v>
      </c>
      <c r="B148" s="13">
        <v>1931</v>
      </c>
      <c r="C148" s="13">
        <v>1901.2</v>
      </c>
      <c r="D148" s="13">
        <v>1941.9</v>
      </c>
      <c r="E148" s="13">
        <v>1899</v>
      </c>
      <c r="F148" s="14" t="s">
        <v>291</v>
      </c>
      <c r="G148" s="15">
        <v>1.77E-2</v>
      </c>
    </row>
    <row r="149" spans="1:7" x14ac:dyDescent="0.35">
      <c r="A149" s="12" t="s">
        <v>292</v>
      </c>
      <c r="B149" s="13">
        <v>1944.6</v>
      </c>
      <c r="C149" s="13">
        <v>1937.1</v>
      </c>
      <c r="D149" s="13">
        <v>1974.7</v>
      </c>
      <c r="E149" s="13">
        <v>1900.2</v>
      </c>
      <c r="F149" s="14" t="s">
        <v>293</v>
      </c>
      <c r="G149" s="15">
        <v>7.0000000000000001E-3</v>
      </c>
    </row>
    <row r="150" spans="1:7" x14ac:dyDescent="0.35">
      <c r="A150" s="12" t="s">
        <v>294</v>
      </c>
      <c r="B150" s="13">
        <v>1953.4</v>
      </c>
      <c r="C150" s="13">
        <v>1950.6</v>
      </c>
      <c r="D150" s="13">
        <v>1974.9</v>
      </c>
      <c r="E150" s="13">
        <v>1935.2</v>
      </c>
      <c r="F150" s="14" t="s">
        <v>295</v>
      </c>
      <c r="G150" s="15">
        <v>4.4999999999999997E-3</v>
      </c>
    </row>
    <row r="151" spans="1:7" x14ac:dyDescent="0.35">
      <c r="A151" s="12" t="s">
        <v>296</v>
      </c>
      <c r="B151" s="13">
        <v>1966.8</v>
      </c>
      <c r="C151" s="13">
        <v>1963.4</v>
      </c>
      <c r="D151" s="13">
        <v>1965.1</v>
      </c>
      <c r="E151" s="13">
        <v>1930</v>
      </c>
      <c r="F151" s="14" t="s">
        <v>297</v>
      </c>
      <c r="G151" s="15">
        <v>6.8999999999999999E-3</v>
      </c>
    </row>
    <row r="152" spans="1:7" x14ac:dyDescent="0.35">
      <c r="A152" s="12" t="s">
        <v>298</v>
      </c>
      <c r="B152" s="13">
        <v>1985.9</v>
      </c>
      <c r="C152" s="13">
        <v>1973.6</v>
      </c>
      <c r="D152" s="13">
        <v>2005.4</v>
      </c>
      <c r="E152" s="13">
        <v>1971.4</v>
      </c>
      <c r="F152" s="14" t="s">
        <v>299</v>
      </c>
      <c r="G152" s="15">
        <v>9.7000000000000003E-3</v>
      </c>
    </row>
    <row r="153" spans="1:7" x14ac:dyDescent="0.35">
      <c r="A153" s="12" t="s">
        <v>300</v>
      </c>
      <c r="B153" s="13">
        <v>1986.3</v>
      </c>
      <c r="C153" s="13">
        <v>1997.4</v>
      </c>
      <c r="D153" s="13">
        <v>2009.5</v>
      </c>
      <c r="E153" s="13">
        <v>1975.2</v>
      </c>
      <c r="F153" s="14" t="s">
        <v>301</v>
      </c>
      <c r="G153" s="15">
        <v>2.0000000000000001E-4</v>
      </c>
    </row>
    <row r="154" spans="1:7" x14ac:dyDescent="0.35">
      <c r="A154" s="12" t="s">
        <v>302</v>
      </c>
      <c r="B154" s="13">
        <v>2021</v>
      </c>
      <c r="C154" s="13">
        <v>1993.5</v>
      </c>
      <c r="D154" s="13">
        <v>2037.7</v>
      </c>
      <c r="E154" s="13">
        <v>1982.6</v>
      </c>
      <c r="F154" s="14" t="s">
        <v>303</v>
      </c>
      <c r="G154" s="15">
        <v>1.7500000000000002E-2</v>
      </c>
    </row>
    <row r="155" spans="1:7" x14ac:dyDescent="0.35">
      <c r="A155" s="12" t="s">
        <v>304</v>
      </c>
      <c r="B155" s="13">
        <v>2049.3000000000002</v>
      </c>
      <c r="C155" s="13">
        <v>2037</v>
      </c>
      <c r="D155" s="13">
        <v>2070.3000000000002</v>
      </c>
      <c r="E155" s="13">
        <v>2027.5</v>
      </c>
      <c r="F155" s="14" t="s">
        <v>305</v>
      </c>
      <c r="G155" s="15">
        <v>1.4E-2</v>
      </c>
    </row>
    <row r="156" spans="1:7" x14ac:dyDescent="0.35">
      <c r="A156" s="12" t="s">
        <v>306</v>
      </c>
      <c r="B156" s="13">
        <v>2069.4</v>
      </c>
      <c r="C156" s="13">
        <v>2055</v>
      </c>
      <c r="D156" s="13">
        <v>2081.8000000000002</v>
      </c>
      <c r="E156" s="13">
        <v>2049</v>
      </c>
      <c r="F156" s="14" t="s">
        <v>307</v>
      </c>
      <c r="G156" s="15">
        <v>9.7999999999999997E-3</v>
      </c>
    </row>
    <row r="157" spans="1:7" x14ac:dyDescent="0.35">
      <c r="A157" s="12" t="s">
        <v>308</v>
      </c>
      <c r="B157" s="13">
        <v>2028</v>
      </c>
      <c r="C157" s="13">
        <v>2076.4</v>
      </c>
      <c r="D157" s="13">
        <v>2089.1999999999998</v>
      </c>
      <c r="E157" s="13">
        <v>2024.8</v>
      </c>
      <c r="F157" s="14" t="s">
        <v>309</v>
      </c>
      <c r="G157" s="15">
        <v>-0.02</v>
      </c>
    </row>
    <row r="158" spans="1:7" x14ac:dyDescent="0.35">
      <c r="A158" s="12" t="s">
        <v>310</v>
      </c>
      <c r="B158" s="13">
        <v>2039.7</v>
      </c>
      <c r="C158" s="13">
        <v>2044.8</v>
      </c>
      <c r="D158" s="13">
        <v>2060.8000000000002</v>
      </c>
      <c r="E158" s="13">
        <v>2027.8</v>
      </c>
      <c r="F158" s="14" t="s">
        <v>311</v>
      </c>
      <c r="G158" s="15">
        <v>5.7999999999999996E-3</v>
      </c>
    </row>
    <row r="159" spans="1:7" x14ac:dyDescent="0.35">
      <c r="A159" s="12" t="s">
        <v>312</v>
      </c>
      <c r="B159" s="13">
        <v>1946.3</v>
      </c>
      <c r="C159" s="13">
        <v>2038.4</v>
      </c>
      <c r="D159" s="13">
        <v>2040.5</v>
      </c>
      <c r="E159" s="13">
        <v>1911.3</v>
      </c>
      <c r="F159" s="14" t="s">
        <v>313</v>
      </c>
      <c r="G159" s="15">
        <v>-4.58E-2</v>
      </c>
    </row>
    <row r="160" spans="1:7" x14ac:dyDescent="0.35">
      <c r="A160" s="12" t="s">
        <v>314</v>
      </c>
      <c r="B160" s="13">
        <v>1949</v>
      </c>
      <c r="C160" s="13">
        <v>1921.6</v>
      </c>
      <c r="D160" s="13">
        <v>1961</v>
      </c>
      <c r="E160" s="13">
        <v>1874.2</v>
      </c>
      <c r="F160" s="14" t="s">
        <v>315</v>
      </c>
      <c r="G160" s="15">
        <v>1.4E-3</v>
      </c>
    </row>
    <row r="161" spans="1:7" x14ac:dyDescent="0.35">
      <c r="A161" s="12" t="s">
        <v>316</v>
      </c>
      <c r="B161" s="13">
        <v>1970.4</v>
      </c>
      <c r="C161" s="13">
        <v>1927.3</v>
      </c>
      <c r="D161" s="13">
        <v>1974.8</v>
      </c>
      <c r="E161" s="13">
        <v>1923</v>
      </c>
      <c r="F161" s="14" t="s">
        <v>317</v>
      </c>
      <c r="G161" s="15">
        <v>1.0999999999999999E-2</v>
      </c>
    </row>
    <row r="162" spans="1:7" x14ac:dyDescent="0.35">
      <c r="A162" s="12" t="s">
        <v>318</v>
      </c>
      <c r="B162" s="13">
        <v>1949.8</v>
      </c>
      <c r="C162" s="13">
        <v>1963.8</v>
      </c>
      <c r="D162" s="13">
        <v>1970</v>
      </c>
      <c r="E162" s="13">
        <v>1939.1</v>
      </c>
      <c r="F162" s="14" t="s">
        <v>319</v>
      </c>
      <c r="G162" s="15">
        <v>-1.0500000000000001E-2</v>
      </c>
    </row>
    <row r="163" spans="1:7" x14ac:dyDescent="0.35">
      <c r="A163" s="12" t="s">
        <v>320</v>
      </c>
      <c r="B163" s="13">
        <v>1998.7</v>
      </c>
      <c r="C163" s="13">
        <v>1956.4</v>
      </c>
      <c r="D163" s="13">
        <v>2000.8</v>
      </c>
      <c r="E163" s="13">
        <v>1939.1</v>
      </c>
      <c r="F163" s="14" t="s">
        <v>321</v>
      </c>
      <c r="G163" s="15">
        <v>2.5100000000000001E-2</v>
      </c>
    </row>
    <row r="164" spans="1:7" x14ac:dyDescent="0.35">
      <c r="A164" s="12" t="s">
        <v>322</v>
      </c>
      <c r="B164" s="13">
        <v>2013.1</v>
      </c>
      <c r="C164" s="13">
        <v>1993.6</v>
      </c>
      <c r="D164" s="13">
        <v>2024.6</v>
      </c>
      <c r="E164" s="13">
        <v>1985.2</v>
      </c>
      <c r="F164" s="14" t="s">
        <v>323</v>
      </c>
      <c r="G164" s="15">
        <v>7.1999999999999998E-3</v>
      </c>
    </row>
    <row r="165" spans="1:7" x14ac:dyDescent="0.35">
      <c r="A165" s="12" t="s">
        <v>324</v>
      </c>
      <c r="B165" s="13">
        <v>1970.3</v>
      </c>
      <c r="C165" s="13">
        <v>2010.5</v>
      </c>
      <c r="D165" s="13">
        <v>2015.6</v>
      </c>
      <c r="E165" s="13">
        <v>1930.5</v>
      </c>
      <c r="F165" s="14" t="s">
        <v>325</v>
      </c>
      <c r="G165" s="15">
        <v>-2.1299999999999999E-2</v>
      </c>
    </row>
    <row r="166" spans="1:7" x14ac:dyDescent="0.35">
      <c r="A166" s="12" t="s">
        <v>326</v>
      </c>
      <c r="B166" s="13">
        <v>1946.5</v>
      </c>
      <c r="C166" s="13">
        <v>1934.4</v>
      </c>
      <c r="D166" s="13">
        <v>1963.1</v>
      </c>
      <c r="E166" s="13">
        <v>1928.9</v>
      </c>
      <c r="F166" s="14" t="s">
        <v>327</v>
      </c>
      <c r="G166" s="15">
        <v>-1.21E-2</v>
      </c>
    </row>
    <row r="167" spans="1:7" x14ac:dyDescent="0.35">
      <c r="A167" s="12" t="s">
        <v>328</v>
      </c>
      <c r="B167" s="13">
        <v>1947</v>
      </c>
      <c r="C167" s="13">
        <v>1955.6</v>
      </c>
      <c r="D167" s="13">
        <v>1963.1</v>
      </c>
      <c r="E167" s="13">
        <v>1916.6</v>
      </c>
      <c r="F167" s="14" t="s">
        <v>329</v>
      </c>
      <c r="G167" s="15">
        <v>2.9999999999999997E-4</v>
      </c>
    </row>
    <row r="168" spans="1:7" x14ac:dyDescent="0.35">
      <c r="A168" s="12" t="s">
        <v>330</v>
      </c>
      <c r="B168" s="13">
        <v>1939.2</v>
      </c>
      <c r="C168" s="13">
        <v>1947.9</v>
      </c>
      <c r="D168" s="13">
        <v>1970.3</v>
      </c>
      <c r="E168" s="13">
        <v>1930.8</v>
      </c>
      <c r="F168" s="14" t="s">
        <v>331</v>
      </c>
      <c r="G168" s="15">
        <v>-4.0000000000000001E-3</v>
      </c>
    </row>
    <row r="169" spans="1:7" x14ac:dyDescent="0.35">
      <c r="A169" s="12" t="s">
        <v>332</v>
      </c>
      <c r="B169" s="13">
        <v>1923.1</v>
      </c>
      <c r="C169" s="13">
        <v>1935.9</v>
      </c>
      <c r="D169" s="13">
        <v>1944.1</v>
      </c>
      <c r="E169" s="13">
        <v>1919.1</v>
      </c>
      <c r="F169" s="14" t="s">
        <v>333</v>
      </c>
      <c r="G169" s="15">
        <v>-8.3000000000000001E-3</v>
      </c>
    </row>
    <row r="170" spans="1:7" x14ac:dyDescent="0.35">
      <c r="A170" s="12" t="s">
        <v>334</v>
      </c>
      <c r="B170" s="13">
        <v>1952.5</v>
      </c>
      <c r="C170" s="13">
        <v>1939</v>
      </c>
      <c r="D170" s="13">
        <v>1963.4</v>
      </c>
      <c r="E170" s="13">
        <v>1908.4</v>
      </c>
      <c r="F170" s="14" t="s">
        <v>335</v>
      </c>
      <c r="G170" s="15">
        <v>1.5299999999999999E-2</v>
      </c>
    </row>
    <row r="171" spans="1:7" x14ac:dyDescent="0.35">
      <c r="A171" s="12" t="s">
        <v>336</v>
      </c>
      <c r="B171" s="13">
        <v>1932.6</v>
      </c>
      <c r="C171" s="13">
        <v>1963</v>
      </c>
      <c r="D171" s="13">
        <v>1987</v>
      </c>
      <c r="E171" s="13">
        <v>1914.7</v>
      </c>
      <c r="F171" s="14" t="s">
        <v>337</v>
      </c>
      <c r="G171" s="15">
        <v>-1.0200000000000001E-2</v>
      </c>
    </row>
    <row r="172" spans="1:7" x14ac:dyDescent="0.35">
      <c r="A172" s="12" t="s">
        <v>338</v>
      </c>
      <c r="B172" s="13">
        <v>1974.9</v>
      </c>
      <c r="C172" s="13">
        <v>1937.5</v>
      </c>
      <c r="D172" s="13">
        <v>1983</v>
      </c>
      <c r="E172" s="13">
        <v>1928.2</v>
      </c>
      <c r="F172" s="14" t="s">
        <v>339</v>
      </c>
      <c r="G172" s="15">
        <v>2.1899999999999999E-2</v>
      </c>
    </row>
    <row r="173" spans="1:7" x14ac:dyDescent="0.35">
      <c r="A173" s="12" t="s">
        <v>340</v>
      </c>
      <c r="B173" s="13">
        <v>1978.6</v>
      </c>
      <c r="C173" s="13">
        <v>1973.9</v>
      </c>
      <c r="D173" s="13">
        <v>1985.8</v>
      </c>
      <c r="E173" s="13">
        <v>1962.3</v>
      </c>
      <c r="F173" s="14" t="s">
        <v>341</v>
      </c>
      <c r="G173" s="15">
        <v>1.9E-3</v>
      </c>
    </row>
    <row r="174" spans="1:7" x14ac:dyDescent="0.35">
      <c r="A174" s="12" t="s">
        <v>342</v>
      </c>
      <c r="B174" s="13">
        <v>1978.9</v>
      </c>
      <c r="C174" s="13">
        <v>1973.7</v>
      </c>
      <c r="D174" s="13">
        <v>2001.2</v>
      </c>
      <c r="E174" s="13">
        <v>1969.2</v>
      </c>
      <c r="F174" s="14" t="s">
        <v>343</v>
      </c>
      <c r="G174" s="15">
        <v>2.0000000000000001E-4</v>
      </c>
    </row>
    <row r="175" spans="1:7" x14ac:dyDescent="0.35">
      <c r="A175" s="12" t="s">
        <v>344</v>
      </c>
      <c r="B175" s="13">
        <v>1944.7</v>
      </c>
      <c r="C175" s="13">
        <v>1976.8</v>
      </c>
      <c r="D175" s="13">
        <v>1980.4</v>
      </c>
      <c r="E175" s="13">
        <v>1938.9</v>
      </c>
      <c r="F175" s="14" t="s">
        <v>345</v>
      </c>
      <c r="G175" s="15">
        <v>-1.7299999999999999E-2</v>
      </c>
    </row>
    <row r="176" spans="1:7" x14ac:dyDescent="0.35">
      <c r="A176" s="12" t="s">
        <v>346</v>
      </c>
      <c r="B176" s="13">
        <v>1937.8</v>
      </c>
      <c r="C176" s="13">
        <v>1948.9</v>
      </c>
      <c r="D176" s="13">
        <v>1956.6</v>
      </c>
      <c r="E176" s="13">
        <v>1927.2</v>
      </c>
      <c r="F176" s="14" t="s">
        <v>347</v>
      </c>
      <c r="G176" s="15">
        <v>-3.5000000000000001E-3</v>
      </c>
    </row>
    <row r="177" spans="1:7" x14ac:dyDescent="0.35">
      <c r="A177" s="12" t="s">
        <v>348</v>
      </c>
      <c r="B177" s="13">
        <v>1934.3</v>
      </c>
      <c r="C177" s="13">
        <v>1938</v>
      </c>
      <c r="D177" s="13">
        <v>1956.6</v>
      </c>
      <c r="E177" s="13">
        <v>1921.6</v>
      </c>
      <c r="F177" s="14" t="s">
        <v>349</v>
      </c>
      <c r="G177" s="15">
        <v>-1.8E-3</v>
      </c>
    </row>
    <row r="178" spans="1:7" x14ac:dyDescent="0.35">
      <c r="A178" s="12" t="s">
        <v>350</v>
      </c>
      <c r="B178" s="13">
        <v>1943.2</v>
      </c>
      <c r="C178" s="13">
        <v>1938</v>
      </c>
      <c r="D178" s="13">
        <v>1948.3</v>
      </c>
      <c r="E178" s="13">
        <v>1911.7</v>
      </c>
      <c r="F178" s="14" t="s">
        <v>351</v>
      </c>
      <c r="G178" s="15">
        <v>4.5999999999999999E-3</v>
      </c>
    </row>
    <row r="179" spans="1:7" x14ac:dyDescent="0.35">
      <c r="A179" s="12" t="s">
        <v>352</v>
      </c>
      <c r="B179" s="13">
        <v>1943.2</v>
      </c>
      <c r="C179" s="13">
        <v>1938</v>
      </c>
      <c r="D179" s="13">
        <v>1948.3</v>
      </c>
      <c r="E179" s="13">
        <v>1911.7</v>
      </c>
      <c r="F179" s="14" t="s">
        <v>351</v>
      </c>
      <c r="G179" s="15">
        <v>0</v>
      </c>
    </row>
    <row r="180" spans="1:7" x14ac:dyDescent="0.35">
      <c r="A180" s="12" t="s">
        <v>353</v>
      </c>
      <c r="B180" s="13">
        <v>1954.9</v>
      </c>
      <c r="C180" s="13">
        <v>1939.4</v>
      </c>
      <c r="D180" s="13">
        <v>1959.7</v>
      </c>
      <c r="E180" s="13">
        <v>1926.3</v>
      </c>
      <c r="F180" s="14" t="s">
        <v>354</v>
      </c>
      <c r="G180" s="15">
        <v>6.0000000000000001E-3</v>
      </c>
    </row>
    <row r="181" spans="1:7" x14ac:dyDescent="0.35">
      <c r="A181" s="12" t="s">
        <v>355</v>
      </c>
      <c r="B181" s="13">
        <v>1964.3</v>
      </c>
      <c r="C181" s="13">
        <v>1955.3</v>
      </c>
      <c r="D181" s="13">
        <v>1975.2</v>
      </c>
      <c r="E181" s="13">
        <v>1948.6</v>
      </c>
      <c r="F181" s="14" t="s">
        <v>356</v>
      </c>
      <c r="G181" s="15">
        <v>4.7999999999999996E-3</v>
      </c>
    </row>
    <row r="182" spans="1:7" x14ac:dyDescent="0.35">
      <c r="A182" s="12" t="s">
        <v>357</v>
      </c>
      <c r="B182" s="13">
        <v>1947.9</v>
      </c>
      <c r="C182" s="13">
        <v>1953.8</v>
      </c>
      <c r="D182" s="13">
        <v>1963.4</v>
      </c>
      <c r="E182" s="13">
        <v>1944</v>
      </c>
      <c r="F182" s="14" t="s">
        <v>358</v>
      </c>
      <c r="G182" s="15">
        <v>-8.3000000000000001E-3</v>
      </c>
    </row>
    <row r="183" spans="1:7" x14ac:dyDescent="0.35">
      <c r="A183" s="12" t="s">
        <v>359</v>
      </c>
      <c r="B183" s="13">
        <v>1963.7</v>
      </c>
      <c r="C183" s="13">
        <v>1948.9</v>
      </c>
      <c r="D183" s="13">
        <v>1972.5</v>
      </c>
      <c r="E183" s="13">
        <v>1945.2</v>
      </c>
      <c r="F183" s="14" t="s">
        <v>360</v>
      </c>
      <c r="G183" s="15">
        <v>8.0999999999999996E-3</v>
      </c>
    </row>
    <row r="184" spans="1:7" x14ac:dyDescent="0.35">
      <c r="A184" s="12" t="s">
        <v>361</v>
      </c>
      <c r="B184" s="13">
        <v>1966.2</v>
      </c>
      <c r="C184" s="13">
        <v>1966.2</v>
      </c>
      <c r="D184" s="13">
        <v>1982.4</v>
      </c>
      <c r="E184" s="13">
        <v>1955.6</v>
      </c>
      <c r="F184" s="14" t="s">
        <v>362</v>
      </c>
      <c r="G184" s="15">
        <v>1.2999999999999999E-3</v>
      </c>
    </row>
    <row r="185" spans="1:7" x14ac:dyDescent="0.35">
      <c r="A185" s="12" t="s">
        <v>363</v>
      </c>
      <c r="B185" s="13">
        <v>1970.5</v>
      </c>
      <c r="C185" s="13">
        <v>1961.4</v>
      </c>
      <c r="D185" s="13">
        <v>1983.8</v>
      </c>
      <c r="E185" s="13">
        <v>1957.2</v>
      </c>
      <c r="F185" s="14" t="s">
        <v>364</v>
      </c>
      <c r="G185" s="15">
        <v>2.2000000000000001E-3</v>
      </c>
    </row>
    <row r="186" spans="1:7" x14ac:dyDescent="0.35">
      <c r="A186" s="12" t="s">
        <v>365</v>
      </c>
      <c r="B186" s="13">
        <v>1949.9</v>
      </c>
      <c r="C186" s="13">
        <v>1967.6</v>
      </c>
      <c r="D186" s="13">
        <v>1969.3</v>
      </c>
      <c r="E186" s="13">
        <v>1938.2</v>
      </c>
      <c r="F186" s="14" t="s">
        <v>366</v>
      </c>
      <c r="G186" s="15">
        <v>-1.0500000000000001E-2</v>
      </c>
    </row>
    <row r="187" spans="1:7" x14ac:dyDescent="0.35">
      <c r="A187" s="12" t="s">
        <v>367</v>
      </c>
      <c r="B187" s="13">
        <v>1962.1</v>
      </c>
      <c r="C187" s="13">
        <v>1951.1</v>
      </c>
      <c r="D187" s="13">
        <v>1968.2</v>
      </c>
      <c r="E187" s="13">
        <v>1951.1</v>
      </c>
      <c r="F187" s="14" t="s">
        <v>368</v>
      </c>
      <c r="G187" s="15">
        <v>6.3E-3</v>
      </c>
    </row>
    <row r="188" spans="1:7" x14ac:dyDescent="0.35">
      <c r="A188" s="12" t="s">
        <v>369</v>
      </c>
      <c r="B188" s="13">
        <v>1910.6</v>
      </c>
      <c r="C188" s="13">
        <v>1957.3</v>
      </c>
      <c r="D188" s="13">
        <v>1962.9</v>
      </c>
      <c r="E188" s="13">
        <v>1885.4</v>
      </c>
      <c r="F188" s="14" t="s">
        <v>370</v>
      </c>
      <c r="G188" s="15">
        <v>-2.6200000000000001E-2</v>
      </c>
    </row>
    <row r="189" spans="1:7" x14ac:dyDescent="0.35">
      <c r="A189" s="12" t="s">
        <v>371</v>
      </c>
      <c r="B189" s="13">
        <v>1907.6</v>
      </c>
      <c r="C189" s="13">
        <v>1918.1</v>
      </c>
      <c r="D189" s="13">
        <v>1925.5</v>
      </c>
      <c r="E189" s="13">
        <v>1898.9</v>
      </c>
      <c r="F189" s="14" t="s">
        <v>372</v>
      </c>
      <c r="G189" s="15">
        <v>-1.6000000000000001E-3</v>
      </c>
    </row>
    <row r="190" spans="1:7" x14ac:dyDescent="0.35">
      <c r="A190" s="12" t="s">
        <v>373</v>
      </c>
      <c r="B190" s="13">
        <v>1868.4</v>
      </c>
      <c r="C190" s="13">
        <v>1905.1</v>
      </c>
      <c r="D190" s="13">
        <v>1909.9</v>
      </c>
      <c r="E190" s="13">
        <v>1856</v>
      </c>
      <c r="F190" s="14" t="s">
        <v>374</v>
      </c>
      <c r="G190" s="15">
        <v>-2.0500000000000001E-2</v>
      </c>
    </row>
    <row r="191" spans="1:7" x14ac:dyDescent="0.35">
      <c r="A191" s="12" t="s">
        <v>375</v>
      </c>
      <c r="B191" s="13">
        <v>1876.9</v>
      </c>
      <c r="C191" s="13">
        <v>1866.9</v>
      </c>
      <c r="D191" s="13">
        <v>1880.9</v>
      </c>
      <c r="E191" s="13">
        <v>1851</v>
      </c>
      <c r="F191" s="14" t="s">
        <v>376</v>
      </c>
      <c r="G191" s="15">
        <v>4.4999999999999997E-3</v>
      </c>
    </row>
    <row r="192" spans="1:7" x14ac:dyDescent="0.35">
      <c r="A192" s="12" t="s">
        <v>377</v>
      </c>
      <c r="B192" s="13">
        <v>1866.3</v>
      </c>
      <c r="C192" s="13">
        <v>1872.7</v>
      </c>
      <c r="D192" s="13">
        <v>1879.3</v>
      </c>
      <c r="E192" s="13">
        <v>1854.1</v>
      </c>
      <c r="F192" s="14" t="s">
        <v>378</v>
      </c>
      <c r="G192" s="15">
        <v>-5.5999999999999999E-3</v>
      </c>
    </row>
    <row r="193" spans="1:7" x14ac:dyDescent="0.35">
      <c r="A193" s="12" t="s">
        <v>379</v>
      </c>
      <c r="B193" s="13">
        <v>1882.3</v>
      </c>
      <c r="C193" s="13">
        <v>1862.7</v>
      </c>
      <c r="D193" s="13">
        <v>1888.2</v>
      </c>
      <c r="E193" s="13">
        <v>1851.1</v>
      </c>
      <c r="F193" s="14" t="s">
        <v>380</v>
      </c>
      <c r="G193" s="15">
        <v>8.6E-3</v>
      </c>
    </row>
    <row r="194" spans="1:7" x14ac:dyDescent="0.35">
      <c r="A194" s="12" t="s">
        <v>381</v>
      </c>
      <c r="B194" s="13">
        <v>1903.2</v>
      </c>
      <c r="C194" s="13">
        <v>1886.4</v>
      </c>
      <c r="D194" s="13">
        <v>1904.8</v>
      </c>
      <c r="E194" s="13">
        <v>1880.8</v>
      </c>
      <c r="F194" s="14" t="s">
        <v>382</v>
      </c>
      <c r="G194" s="15">
        <v>1.11E-2</v>
      </c>
    </row>
    <row r="195" spans="1:7" x14ac:dyDescent="0.35">
      <c r="A195" s="12" t="s">
        <v>383</v>
      </c>
      <c r="B195" s="13">
        <v>1895.5</v>
      </c>
      <c r="C195" s="13">
        <v>1903.2</v>
      </c>
      <c r="D195" s="13">
        <v>1908.2</v>
      </c>
      <c r="E195" s="13">
        <v>1885.8</v>
      </c>
      <c r="F195" s="14" t="s">
        <v>384</v>
      </c>
      <c r="G195" s="15">
        <v>-4.0000000000000001E-3</v>
      </c>
    </row>
    <row r="196" spans="1:7" x14ac:dyDescent="0.35">
      <c r="A196" s="12" t="s">
        <v>385</v>
      </c>
      <c r="B196" s="13">
        <v>1916.3</v>
      </c>
      <c r="C196" s="13">
        <v>1891.2</v>
      </c>
      <c r="D196" s="13">
        <v>1917.9</v>
      </c>
      <c r="E196" s="13">
        <v>1890</v>
      </c>
      <c r="F196" s="14" t="s">
        <v>386</v>
      </c>
      <c r="G196" s="15">
        <v>1.0999999999999999E-2</v>
      </c>
    </row>
    <row r="197" spans="1:7" x14ac:dyDescent="0.35">
      <c r="A197" s="12" t="s">
        <v>387</v>
      </c>
      <c r="B197" s="13">
        <v>1907.6</v>
      </c>
      <c r="C197" s="13">
        <v>1911</v>
      </c>
      <c r="D197" s="13">
        <v>1923.6</v>
      </c>
      <c r="E197" s="13">
        <v>1895.2</v>
      </c>
      <c r="F197" s="14" t="s">
        <v>388</v>
      </c>
      <c r="G197" s="15">
        <v>-4.4999999999999997E-3</v>
      </c>
    </row>
    <row r="198" spans="1:7" x14ac:dyDescent="0.35">
      <c r="A198" s="12" t="s">
        <v>389</v>
      </c>
      <c r="B198" s="13">
        <v>1920.1</v>
      </c>
      <c r="C198" s="13">
        <v>1910.9</v>
      </c>
      <c r="D198" s="13">
        <v>1924.9</v>
      </c>
      <c r="E198" s="13">
        <v>1891.2</v>
      </c>
      <c r="F198" s="14" t="s">
        <v>390</v>
      </c>
      <c r="G198" s="15">
        <v>6.6E-3</v>
      </c>
    </row>
    <row r="199" spans="1:7" x14ac:dyDescent="0.35">
      <c r="A199" s="12" t="s">
        <v>391</v>
      </c>
      <c r="B199" s="13">
        <v>1908.8</v>
      </c>
      <c r="C199" s="13">
        <v>1917.8</v>
      </c>
      <c r="D199" s="13">
        <v>1927</v>
      </c>
      <c r="E199" s="13">
        <v>1878.2</v>
      </c>
      <c r="F199" s="14" t="s">
        <v>392</v>
      </c>
      <c r="G199" s="15">
        <v>-5.8999999999999999E-3</v>
      </c>
    </row>
    <row r="200" spans="1:7" x14ac:dyDescent="0.35">
      <c r="A200" s="12" t="s">
        <v>393</v>
      </c>
      <c r="B200" s="13">
        <v>1890.8</v>
      </c>
      <c r="C200" s="13">
        <v>1882.6</v>
      </c>
      <c r="D200" s="13">
        <v>1902.4</v>
      </c>
      <c r="E200" s="13">
        <v>1877.1</v>
      </c>
      <c r="F200" s="14" t="s">
        <v>394</v>
      </c>
      <c r="G200" s="15">
        <v>-9.4000000000000004E-3</v>
      </c>
    </row>
    <row r="201" spans="1:7" x14ac:dyDescent="0.35">
      <c r="A201" s="12" t="s">
        <v>395</v>
      </c>
      <c r="B201" s="13">
        <v>1895.1</v>
      </c>
      <c r="C201" s="13">
        <v>1890.6</v>
      </c>
      <c r="D201" s="13">
        <v>1905.3</v>
      </c>
      <c r="E201" s="13">
        <v>1885.3</v>
      </c>
      <c r="F201" s="14" t="s">
        <v>396</v>
      </c>
      <c r="G201" s="15">
        <v>2.3E-3</v>
      </c>
    </row>
    <row r="202" spans="1:7" x14ac:dyDescent="0.35">
      <c r="A202" s="12" t="s">
        <v>397</v>
      </c>
      <c r="B202" s="13">
        <v>1926.2</v>
      </c>
      <c r="C202" s="13">
        <v>1898.4</v>
      </c>
      <c r="D202" s="13">
        <v>1936.8</v>
      </c>
      <c r="E202" s="13">
        <v>1898</v>
      </c>
      <c r="F202" s="14" t="s">
        <v>398</v>
      </c>
      <c r="G202" s="15">
        <v>1.6400000000000001E-2</v>
      </c>
    </row>
    <row r="203" spans="1:7" x14ac:dyDescent="0.35">
      <c r="A203" s="12" t="s">
        <v>399</v>
      </c>
      <c r="B203" s="13">
        <v>1928.9</v>
      </c>
      <c r="C203" s="13">
        <v>1935</v>
      </c>
      <c r="D203" s="13">
        <v>1939.4</v>
      </c>
      <c r="E203" s="13">
        <v>1923.8</v>
      </c>
      <c r="F203" s="14" t="s">
        <v>400</v>
      </c>
      <c r="G203" s="15">
        <v>1.4E-3</v>
      </c>
    </row>
    <row r="204" spans="1:7" x14ac:dyDescent="0.35">
      <c r="A204" s="12" t="s">
        <v>401</v>
      </c>
      <c r="B204" s="13">
        <v>1894.6</v>
      </c>
      <c r="C204" s="13">
        <v>1927.3</v>
      </c>
      <c r="D204" s="13">
        <v>1930.6</v>
      </c>
      <c r="E204" s="13">
        <v>1889.3</v>
      </c>
      <c r="F204" s="14" t="s">
        <v>402</v>
      </c>
      <c r="G204" s="15">
        <v>-1.78E-2</v>
      </c>
    </row>
    <row r="205" spans="1:7" x14ac:dyDescent="0.35">
      <c r="A205" s="12" t="s">
        <v>403</v>
      </c>
      <c r="B205" s="13">
        <v>1907.3</v>
      </c>
      <c r="C205" s="13">
        <v>1895.4</v>
      </c>
      <c r="D205" s="13">
        <v>1917.5</v>
      </c>
      <c r="E205" s="13">
        <v>1885</v>
      </c>
      <c r="F205" s="14" t="s">
        <v>404</v>
      </c>
      <c r="G205" s="15">
        <v>6.7000000000000002E-3</v>
      </c>
    </row>
    <row r="206" spans="1:7" x14ac:dyDescent="0.35">
      <c r="A206" s="12" t="s">
        <v>405</v>
      </c>
      <c r="B206" s="13">
        <v>1908.9</v>
      </c>
      <c r="C206" s="13">
        <v>1906</v>
      </c>
      <c r="D206" s="13">
        <v>1913.2</v>
      </c>
      <c r="E206" s="13">
        <v>1892.7</v>
      </c>
      <c r="F206" s="14" t="s">
        <v>406</v>
      </c>
      <c r="G206" s="15">
        <v>8.0000000000000004E-4</v>
      </c>
    </row>
    <row r="207" spans="1:7" x14ac:dyDescent="0.35">
      <c r="A207" s="12" t="s">
        <v>407</v>
      </c>
      <c r="B207" s="13">
        <v>1906.4</v>
      </c>
      <c r="C207" s="13">
        <v>1912.7</v>
      </c>
      <c r="D207" s="13">
        <v>1918.7</v>
      </c>
      <c r="E207" s="13">
        <v>1901.1</v>
      </c>
      <c r="F207" s="14" t="s">
        <v>408</v>
      </c>
      <c r="G207" s="15">
        <v>-1.2999999999999999E-3</v>
      </c>
    </row>
    <row r="208" spans="1:7" x14ac:dyDescent="0.35">
      <c r="A208" s="12" t="s">
        <v>409</v>
      </c>
      <c r="B208" s="13">
        <v>1911.7</v>
      </c>
      <c r="C208" s="13">
        <v>1903.2</v>
      </c>
      <c r="D208" s="13">
        <v>1923.4</v>
      </c>
      <c r="E208" s="13">
        <v>1900.2</v>
      </c>
      <c r="F208" s="14" t="s">
        <v>410</v>
      </c>
      <c r="G208" s="15">
        <v>2.8E-3</v>
      </c>
    </row>
    <row r="209" spans="1:7" x14ac:dyDescent="0.35">
      <c r="A209" s="12" t="s">
        <v>411</v>
      </c>
      <c r="B209" s="13">
        <v>1915.4</v>
      </c>
      <c r="C209" s="13">
        <v>1906.4</v>
      </c>
      <c r="D209" s="13">
        <v>1917.6</v>
      </c>
      <c r="E209" s="13">
        <v>1896.6</v>
      </c>
      <c r="F209" s="14" t="s">
        <v>412</v>
      </c>
      <c r="G209" s="15">
        <v>1.9E-3</v>
      </c>
    </row>
    <row r="210" spans="1:7" x14ac:dyDescent="0.35">
      <c r="A210" s="12" t="s">
        <v>413</v>
      </c>
      <c r="B210" s="13">
        <v>1929.5</v>
      </c>
      <c r="C210" s="13">
        <v>1911.6</v>
      </c>
      <c r="D210" s="13">
        <v>1936</v>
      </c>
      <c r="E210" s="13">
        <v>1911.6</v>
      </c>
      <c r="F210" s="14" t="s">
        <v>414</v>
      </c>
      <c r="G210" s="15">
        <v>7.4000000000000003E-3</v>
      </c>
    </row>
    <row r="211" spans="1:7" x14ac:dyDescent="0.35">
      <c r="A211" s="12" t="s">
        <v>415</v>
      </c>
      <c r="B211" s="13">
        <v>1904.6</v>
      </c>
      <c r="C211" s="13">
        <v>1927.4</v>
      </c>
      <c r="D211" s="13">
        <v>1929.4</v>
      </c>
      <c r="E211" s="13">
        <v>1894.2</v>
      </c>
      <c r="F211" s="14" t="s">
        <v>416</v>
      </c>
      <c r="G211" s="15">
        <v>-1.29E-2</v>
      </c>
    </row>
    <row r="212" spans="1:7" x14ac:dyDescent="0.35">
      <c r="A212" s="12" t="s">
        <v>417</v>
      </c>
      <c r="B212" s="13">
        <v>1905.2</v>
      </c>
      <c r="C212" s="13">
        <v>1906.5</v>
      </c>
      <c r="D212" s="13">
        <v>1917.3</v>
      </c>
      <c r="E212" s="13">
        <v>1895.2</v>
      </c>
      <c r="F212" s="14" t="s">
        <v>418</v>
      </c>
      <c r="G212" s="15">
        <v>2.9999999999999997E-4</v>
      </c>
    </row>
    <row r="213" spans="1:7" x14ac:dyDescent="0.35">
      <c r="A213" s="12" t="s">
        <v>419</v>
      </c>
      <c r="B213" s="13">
        <v>1905.7</v>
      </c>
      <c r="C213" s="13">
        <v>1906</v>
      </c>
      <c r="D213" s="13">
        <v>1911.1</v>
      </c>
      <c r="E213" s="13">
        <v>1892.5</v>
      </c>
      <c r="F213" s="14" t="s">
        <v>420</v>
      </c>
      <c r="G213" s="15">
        <v>2.9999999999999997E-4</v>
      </c>
    </row>
    <row r="214" spans="1:7" x14ac:dyDescent="0.35">
      <c r="A214" s="12" t="s">
        <v>421</v>
      </c>
      <c r="B214" s="13">
        <v>1911.9</v>
      </c>
      <c r="C214" s="13">
        <v>1904.4</v>
      </c>
      <c r="D214" s="13">
        <v>1913.8</v>
      </c>
      <c r="E214" s="13">
        <v>1898.7</v>
      </c>
      <c r="F214" s="14" t="s">
        <v>422</v>
      </c>
      <c r="G214" s="15">
        <v>3.3E-3</v>
      </c>
    </row>
    <row r="215" spans="1:7" x14ac:dyDescent="0.35">
      <c r="A215" s="12" t="s">
        <v>423</v>
      </c>
      <c r="B215" s="13">
        <v>1879.2</v>
      </c>
      <c r="C215" s="13">
        <v>1909.8</v>
      </c>
      <c r="D215" s="13">
        <v>1912.6</v>
      </c>
      <c r="E215" s="13">
        <v>1869.1</v>
      </c>
      <c r="F215" s="14" t="s">
        <v>424</v>
      </c>
      <c r="G215" s="15">
        <v>-1.7100000000000001E-2</v>
      </c>
    </row>
    <row r="216" spans="1:7" x14ac:dyDescent="0.35">
      <c r="A216" s="12" t="s">
        <v>425</v>
      </c>
      <c r="B216" s="13">
        <v>1868</v>
      </c>
      <c r="C216" s="13">
        <v>1877.5</v>
      </c>
      <c r="D216" s="13">
        <v>1885.1</v>
      </c>
      <c r="E216" s="13">
        <v>1859.2</v>
      </c>
      <c r="F216" s="14" t="s">
        <v>426</v>
      </c>
      <c r="G216" s="15">
        <v>-6.0000000000000001E-3</v>
      </c>
    </row>
    <row r="217" spans="1:7" x14ac:dyDescent="0.35">
      <c r="A217" s="12" t="s">
        <v>427</v>
      </c>
      <c r="B217" s="13">
        <v>1879.9</v>
      </c>
      <c r="C217" s="13">
        <v>1867.9</v>
      </c>
      <c r="D217" s="13">
        <v>1890.9</v>
      </c>
      <c r="E217" s="13">
        <v>1863.3</v>
      </c>
      <c r="F217" s="14" t="s">
        <v>428</v>
      </c>
      <c r="G217" s="15">
        <v>6.4000000000000003E-3</v>
      </c>
    </row>
    <row r="218" spans="1:7" x14ac:dyDescent="0.35">
      <c r="A218" s="12" t="s">
        <v>429</v>
      </c>
      <c r="B218" s="13">
        <v>1892.5</v>
      </c>
      <c r="C218" s="13">
        <v>1877</v>
      </c>
      <c r="D218" s="13">
        <v>1897.1</v>
      </c>
      <c r="E218" s="13">
        <v>1873.3</v>
      </c>
      <c r="F218" s="14" t="s">
        <v>430</v>
      </c>
      <c r="G218" s="15">
        <v>6.7000000000000002E-3</v>
      </c>
    </row>
    <row r="219" spans="1:7" x14ac:dyDescent="0.35">
      <c r="A219" s="12" t="s">
        <v>431</v>
      </c>
      <c r="B219" s="13">
        <v>1910.4</v>
      </c>
      <c r="C219" s="13">
        <v>1896.4</v>
      </c>
      <c r="D219" s="13">
        <v>1912.2</v>
      </c>
      <c r="E219" s="13">
        <v>1887.6</v>
      </c>
      <c r="F219" s="14" t="s">
        <v>432</v>
      </c>
      <c r="G219" s="15">
        <v>9.4999999999999998E-3</v>
      </c>
    </row>
    <row r="220" spans="1:7" x14ac:dyDescent="0.35">
      <c r="A220" s="12" t="s">
        <v>433</v>
      </c>
      <c r="B220" s="13">
        <v>1896.2</v>
      </c>
      <c r="C220" s="13">
        <v>1910.3</v>
      </c>
      <c r="D220" s="13">
        <v>1917.9</v>
      </c>
      <c r="E220" s="13">
        <v>1881.8</v>
      </c>
      <c r="F220" s="14" t="s">
        <v>434</v>
      </c>
      <c r="G220" s="15">
        <v>-7.4000000000000003E-3</v>
      </c>
    </row>
    <row r="221" spans="1:7" x14ac:dyDescent="0.35">
      <c r="A221" s="12" t="s">
        <v>435</v>
      </c>
      <c r="B221" s="13">
        <v>1946.8</v>
      </c>
      <c r="C221" s="13">
        <v>1903.4</v>
      </c>
      <c r="D221" s="13">
        <v>1954.3</v>
      </c>
      <c r="E221" s="13">
        <v>1902.2</v>
      </c>
      <c r="F221" s="14" t="s">
        <v>436</v>
      </c>
      <c r="G221" s="15">
        <v>2.6700000000000002E-2</v>
      </c>
    </row>
    <row r="222" spans="1:7" x14ac:dyDescent="0.35">
      <c r="A222" s="12" t="s">
        <v>437</v>
      </c>
      <c r="B222" s="13">
        <v>1951.7</v>
      </c>
      <c r="C222" s="13">
        <v>1950</v>
      </c>
      <c r="D222" s="13">
        <v>1961.8</v>
      </c>
      <c r="E222" s="13">
        <v>1937.2</v>
      </c>
      <c r="F222" s="14" t="s">
        <v>438</v>
      </c>
      <c r="G222" s="15">
        <v>2.5000000000000001E-3</v>
      </c>
    </row>
    <row r="223" spans="1:7" x14ac:dyDescent="0.35">
      <c r="A223" s="12" t="s">
        <v>439</v>
      </c>
      <c r="B223" s="13">
        <v>1854.4</v>
      </c>
      <c r="C223" s="13">
        <v>1956</v>
      </c>
      <c r="D223" s="13">
        <v>1966.1</v>
      </c>
      <c r="E223" s="13">
        <v>1848</v>
      </c>
      <c r="F223" s="14" t="s">
        <v>440</v>
      </c>
      <c r="G223" s="15">
        <v>-4.99E-2</v>
      </c>
    </row>
    <row r="224" spans="1:7" x14ac:dyDescent="0.35">
      <c r="A224" s="12" t="s">
        <v>441</v>
      </c>
      <c r="B224" s="13">
        <v>1876.4</v>
      </c>
      <c r="C224" s="13">
        <v>1864.1</v>
      </c>
      <c r="D224" s="13">
        <v>1888.9</v>
      </c>
      <c r="E224" s="13">
        <v>1858.9</v>
      </c>
      <c r="F224" s="14" t="s">
        <v>442</v>
      </c>
      <c r="G224" s="15">
        <v>1.1900000000000001E-2</v>
      </c>
    </row>
    <row r="225" spans="1:7" x14ac:dyDescent="0.35">
      <c r="A225" s="12" t="s">
        <v>443</v>
      </c>
      <c r="B225" s="13">
        <v>1861.6</v>
      </c>
      <c r="C225" s="13">
        <v>1876.1</v>
      </c>
      <c r="D225" s="13">
        <v>1882.5</v>
      </c>
      <c r="E225" s="13">
        <v>1853.9</v>
      </c>
      <c r="F225" s="14" t="s">
        <v>444</v>
      </c>
      <c r="G225" s="15">
        <v>-7.9000000000000008E-3</v>
      </c>
    </row>
    <row r="226" spans="1:7" x14ac:dyDescent="0.35">
      <c r="A226" s="12" t="s">
        <v>445</v>
      </c>
      <c r="B226" s="13">
        <v>1873.3</v>
      </c>
      <c r="C226" s="13">
        <v>1863.9</v>
      </c>
      <c r="D226" s="13">
        <v>1883</v>
      </c>
      <c r="E226" s="13">
        <v>1860.7</v>
      </c>
      <c r="F226" s="14" t="s">
        <v>446</v>
      </c>
      <c r="G226" s="15">
        <v>6.3E-3</v>
      </c>
    </row>
    <row r="227" spans="1:7" x14ac:dyDescent="0.35">
      <c r="A227" s="12" t="s">
        <v>447</v>
      </c>
      <c r="B227" s="13">
        <v>1886.2</v>
      </c>
      <c r="C227" s="13">
        <v>1875.6</v>
      </c>
      <c r="D227" s="13">
        <v>1895.8</v>
      </c>
      <c r="E227" s="13">
        <v>1872.1</v>
      </c>
      <c r="F227" s="14" t="s">
        <v>448</v>
      </c>
      <c r="G227" s="15">
        <v>6.8999999999999999E-3</v>
      </c>
    </row>
    <row r="228" spans="1:7" x14ac:dyDescent="0.35">
      <c r="A228" s="12" t="s">
        <v>449</v>
      </c>
      <c r="B228" s="13">
        <v>1887.8</v>
      </c>
      <c r="C228" s="13">
        <v>1886.6</v>
      </c>
      <c r="D228" s="13">
        <v>1898</v>
      </c>
      <c r="E228" s="13">
        <v>1861.5</v>
      </c>
      <c r="F228" s="14" t="s">
        <v>450</v>
      </c>
      <c r="G228" s="15">
        <v>8.0000000000000004E-4</v>
      </c>
    </row>
    <row r="229" spans="1:7" x14ac:dyDescent="0.35">
      <c r="A229" s="12" t="s">
        <v>451</v>
      </c>
      <c r="B229" s="13">
        <v>1885.1</v>
      </c>
      <c r="C229" s="13">
        <v>1888.2</v>
      </c>
      <c r="D229" s="13">
        <v>1892.7</v>
      </c>
      <c r="E229" s="13">
        <v>1876.3</v>
      </c>
      <c r="F229" s="14" t="s">
        <v>452</v>
      </c>
      <c r="G229" s="15">
        <v>-1.4E-3</v>
      </c>
    </row>
    <row r="230" spans="1:7" x14ac:dyDescent="0.35">
      <c r="A230" s="12" t="s">
        <v>453</v>
      </c>
      <c r="B230" s="13">
        <v>1873.9</v>
      </c>
      <c r="C230" s="13">
        <v>1879.5</v>
      </c>
      <c r="D230" s="13">
        <v>1884.2</v>
      </c>
      <c r="E230" s="13">
        <v>1860.3</v>
      </c>
      <c r="F230" s="14" t="s">
        <v>454</v>
      </c>
      <c r="G230" s="15">
        <v>-5.8999999999999999E-3</v>
      </c>
    </row>
    <row r="231" spans="1:7" x14ac:dyDescent="0.35">
      <c r="A231" s="12" t="s">
        <v>455</v>
      </c>
      <c r="B231" s="13">
        <v>1861.5</v>
      </c>
      <c r="C231" s="13">
        <v>1872</v>
      </c>
      <c r="D231" s="13">
        <v>1872.6</v>
      </c>
      <c r="E231" s="13">
        <v>1850</v>
      </c>
      <c r="F231" s="14" t="s">
        <v>456</v>
      </c>
      <c r="G231" s="15">
        <v>-6.6E-3</v>
      </c>
    </row>
    <row r="232" spans="1:7" x14ac:dyDescent="0.35">
      <c r="A232" s="12" t="s">
        <v>457</v>
      </c>
      <c r="B232" s="13">
        <v>1872.4</v>
      </c>
      <c r="C232" s="13">
        <v>1864.8</v>
      </c>
      <c r="D232" s="13">
        <v>1879.2</v>
      </c>
      <c r="E232" s="13">
        <v>1859.1</v>
      </c>
      <c r="F232" s="14" t="s">
        <v>458</v>
      </c>
      <c r="G232" s="15">
        <v>5.8999999999999999E-3</v>
      </c>
    </row>
    <row r="233" spans="1:7" x14ac:dyDescent="0.35">
      <c r="A233" s="12" t="s">
        <v>459</v>
      </c>
      <c r="B233" s="13">
        <v>1837.8</v>
      </c>
      <c r="C233" s="13">
        <v>1869.8</v>
      </c>
      <c r="D233" s="13">
        <v>1875</v>
      </c>
      <c r="E233" s="13">
        <v>1828</v>
      </c>
      <c r="F233" s="14" t="s">
        <v>460</v>
      </c>
      <c r="G233" s="15">
        <v>-1.8499999999999999E-2</v>
      </c>
    </row>
    <row r="234" spans="1:7" x14ac:dyDescent="0.35">
      <c r="A234" s="12" t="s">
        <v>461</v>
      </c>
      <c r="B234" s="13">
        <v>1804.6</v>
      </c>
      <c r="C234" s="13">
        <v>1835.7</v>
      </c>
      <c r="D234" s="13">
        <v>1836.9</v>
      </c>
      <c r="E234" s="13">
        <v>1797.1</v>
      </c>
      <c r="F234" s="14" t="s">
        <v>462</v>
      </c>
      <c r="G234" s="15">
        <v>-1.8100000000000002E-2</v>
      </c>
    </row>
    <row r="235" spans="1:7" x14ac:dyDescent="0.35">
      <c r="A235" s="12" t="s">
        <v>463</v>
      </c>
      <c r="B235" s="13">
        <v>1805.5</v>
      </c>
      <c r="C235" s="13">
        <v>1805.2</v>
      </c>
      <c r="D235" s="13">
        <v>1816.3</v>
      </c>
      <c r="E235" s="13">
        <v>1798.6</v>
      </c>
      <c r="F235" s="14" t="s">
        <v>464</v>
      </c>
      <c r="G235" s="15">
        <v>5.0000000000000001E-4</v>
      </c>
    </row>
    <row r="236" spans="1:7" x14ac:dyDescent="0.35">
      <c r="A236" s="12" t="s">
        <v>465</v>
      </c>
      <c r="B236" s="13">
        <v>1788.1</v>
      </c>
      <c r="C236" s="13">
        <v>1812.1</v>
      </c>
      <c r="D236" s="13">
        <v>1822.6</v>
      </c>
      <c r="E236" s="13">
        <v>1776.5</v>
      </c>
      <c r="F236" s="14" t="s">
        <v>466</v>
      </c>
      <c r="G236" s="15">
        <v>-9.5999999999999992E-3</v>
      </c>
    </row>
    <row r="237" spans="1:7" x14ac:dyDescent="0.35">
      <c r="A237" s="12" t="s">
        <v>467</v>
      </c>
      <c r="B237" s="13">
        <v>1781.9</v>
      </c>
      <c r="C237" s="13">
        <v>1806.1</v>
      </c>
      <c r="D237" s="13">
        <v>1817</v>
      </c>
      <c r="E237" s="13">
        <v>1770.7</v>
      </c>
      <c r="F237" s="14" t="s">
        <v>466</v>
      </c>
      <c r="G237" s="15">
        <v>-3.5000000000000001E-3</v>
      </c>
    </row>
    <row r="238" spans="1:7" x14ac:dyDescent="0.35">
      <c r="A238" s="12" t="s">
        <v>468</v>
      </c>
      <c r="B238" s="13">
        <v>1780.9</v>
      </c>
      <c r="C238" s="13">
        <v>1790.8</v>
      </c>
      <c r="D238" s="13">
        <v>1793.3</v>
      </c>
      <c r="E238" s="13">
        <v>1767.2</v>
      </c>
      <c r="F238" s="14" t="s">
        <v>469</v>
      </c>
      <c r="G238" s="15">
        <v>-5.9999999999999995E-4</v>
      </c>
    </row>
    <row r="239" spans="1:7" x14ac:dyDescent="0.35">
      <c r="A239" s="12" t="s">
        <v>470</v>
      </c>
      <c r="B239" s="13">
        <v>1818.9</v>
      </c>
      <c r="C239" s="13">
        <v>1780.3</v>
      </c>
      <c r="D239" s="13">
        <v>1821.1</v>
      </c>
      <c r="E239" s="13">
        <v>1778.4</v>
      </c>
      <c r="F239" s="14" t="s">
        <v>471</v>
      </c>
      <c r="G239" s="15">
        <v>2.1299999999999999E-2</v>
      </c>
    </row>
    <row r="240" spans="1:7" x14ac:dyDescent="0.35">
      <c r="A240" s="12" t="s">
        <v>472</v>
      </c>
      <c r="B240" s="13">
        <v>1830.2</v>
      </c>
      <c r="C240" s="13">
        <v>1819.1</v>
      </c>
      <c r="D240" s="13">
        <v>1835.7</v>
      </c>
      <c r="E240" s="13">
        <v>1810.5</v>
      </c>
      <c r="F240" s="14" t="s">
        <v>473</v>
      </c>
      <c r="G240" s="15">
        <v>6.1999999999999998E-3</v>
      </c>
    </row>
    <row r="241" spans="1:7" x14ac:dyDescent="0.35">
      <c r="A241" s="12" t="s">
        <v>474</v>
      </c>
      <c r="B241" s="13">
        <v>1841.1</v>
      </c>
      <c r="C241" s="13">
        <v>1833.9</v>
      </c>
      <c r="D241" s="13">
        <v>1847.4</v>
      </c>
      <c r="E241" s="13">
        <v>1826.7</v>
      </c>
      <c r="F241" s="14" t="s">
        <v>475</v>
      </c>
      <c r="G241" s="15">
        <v>6.0000000000000001E-3</v>
      </c>
    </row>
    <row r="242" spans="1:7" x14ac:dyDescent="0.35">
      <c r="A242" s="12" t="s">
        <v>476</v>
      </c>
      <c r="B242" s="13">
        <v>1840</v>
      </c>
      <c r="C242" s="13">
        <v>1844.7</v>
      </c>
      <c r="D242" s="13">
        <v>1852.7</v>
      </c>
      <c r="E242" s="13">
        <v>1832</v>
      </c>
      <c r="F242" s="14" t="s">
        <v>477</v>
      </c>
      <c r="G242" s="15">
        <v>-5.9999999999999995E-4</v>
      </c>
    </row>
    <row r="243" spans="1:7" x14ac:dyDescent="0.35">
      <c r="A243" s="12" t="s">
        <v>478</v>
      </c>
      <c r="B243" s="13">
        <v>1866</v>
      </c>
      <c r="C243" s="13">
        <v>1841.1</v>
      </c>
      <c r="D243" s="13">
        <v>1873</v>
      </c>
      <c r="E243" s="13">
        <v>1824.8</v>
      </c>
      <c r="F243" s="14" t="s">
        <v>479</v>
      </c>
      <c r="G243" s="15">
        <v>1.41E-2</v>
      </c>
    </row>
    <row r="244" spans="1:7" x14ac:dyDescent="0.35">
      <c r="A244" s="12" t="s">
        <v>480</v>
      </c>
      <c r="B244" s="13">
        <v>1874.9</v>
      </c>
      <c r="C244" s="13">
        <v>1866.1</v>
      </c>
      <c r="D244" s="13">
        <v>1879.8</v>
      </c>
      <c r="E244" s="13">
        <v>1863.9</v>
      </c>
      <c r="F244" s="14" t="s">
        <v>481</v>
      </c>
      <c r="G244" s="15">
        <v>4.7999999999999996E-3</v>
      </c>
    </row>
    <row r="245" spans="1:7" x14ac:dyDescent="0.35">
      <c r="A245" s="12" t="s">
        <v>482</v>
      </c>
      <c r="B245" s="13">
        <v>1838.5</v>
      </c>
      <c r="C245" s="13">
        <v>1875.4</v>
      </c>
      <c r="D245" s="13">
        <v>1875.9</v>
      </c>
      <c r="E245" s="13">
        <v>1828.2</v>
      </c>
      <c r="F245" s="14" t="s">
        <v>483</v>
      </c>
      <c r="G245" s="15">
        <v>-1.9400000000000001E-2</v>
      </c>
    </row>
    <row r="246" spans="1:7" x14ac:dyDescent="0.35">
      <c r="A246" s="12" t="s">
        <v>484</v>
      </c>
      <c r="B246" s="13">
        <v>1837.4</v>
      </c>
      <c r="C246" s="13">
        <v>1843</v>
      </c>
      <c r="D246" s="13">
        <v>1854.2</v>
      </c>
      <c r="E246" s="13">
        <v>1831.5</v>
      </c>
      <c r="F246" s="14" t="s">
        <v>485</v>
      </c>
      <c r="G246" s="15">
        <v>-5.9999999999999995E-4</v>
      </c>
    </row>
    <row r="247" spans="1:7" x14ac:dyDescent="0.35">
      <c r="A247" s="12" t="s">
        <v>486</v>
      </c>
      <c r="B247" s="13">
        <v>1843.6</v>
      </c>
      <c r="C247" s="13">
        <v>1840</v>
      </c>
      <c r="D247" s="13">
        <v>1851.8</v>
      </c>
      <c r="E247" s="13">
        <v>1826.8</v>
      </c>
      <c r="F247" s="14" t="s">
        <v>487</v>
      </c>
      <c r="G247" s="15">
        <v>3.3999999999999998E-3</v>
      </c>
    </row>
    <row r="248" spans="1:7" x14ac:dyDescent="0.35">
      <c r="A248" s="12" t="s">
        <v>488</v>
      </c>
      <c r="B248" s="13">
        <v>1832.1</v>
      </c>
      <c r="C248" s="13">
        <v>1845</v>
      </c>
      <c r="D248" s="13">
        <v>1845.6</v>
      </c>
      <c r="E248" s="13">
        <v>1820</v>
      </c>
      <c r="F248" s="14" t="s">
        <v>489</v>
      </c>
      <c r="G248" s="15">
        <v>-6.1999999999999998E-3</v>
      </c>
    </row>
    <row r="249" spans="1:7" x14ac:dyDescent="0.35">
      <c r="A249" s="12" t="s">
        <v>490</v>
      </c>
      <c r="B249" s="13">
        <v>1855.3</v>
      </c>
      <c r="C249" s="13">
        <v>1830.5</v>
      </c>
      <c r="D249" s="13">
        <v>1859.3</v>
      </c>
      <c r="E249" s="13">
        <v>1828.5</v>
      </c>
      <c r="F249" s="14" t="s">
        <v>491</v>
      </c>
      <c r="G249" s="15">
        <v>1.2699999999999999E-2</v>
      </c>
    </row>
    <row r="250" spans="1:7" x14ac:dyDescent="0.35">
      <c r="A250" s="12" t="s">
        <v>492</v>
      </c>
      <c r="B250" s="13">
        <v>1859.1</v>
      </c>
      <c r="C250" s="13">
        <v>1857.7</v>
      </c>
      <c r="D250" s="13">
        <v>1870</v>
      </c>
      <c r="E250" s="13">
        <v>1848.2</v>
      </c>
      <c r="F250" s="14" t="s">
        <v>493</v>
      </c>
      <c r="G250" s="15">
        <v>2E-3</v>
      </c>
    </row>
    <row r="251" spans="1:7" x14ac:dyDescent="0.35">
      <c r="A251" s="12" t="s">
        <v>494</v>
      </c>
      <c r="B251" s="13">
        <v>1890.4</v>
      </c>
      <c r="C251" s="13">
        <v>1868.4</v>
      </c>
      <c r="D251" s="13">
        <v>1902</v>
      </c>
      <c r="E251" s="13">
        <v>1865.9</v>
      </c>
      <c r="F251" s="14" t="s">
        <v>495</v>
      </c>
      <c r="G251" s="15">
        <v>1.6799999999999999E-2</v>
      </c>
    </row>
    <row r="252" spans="1:7" x14ac:dyDescent="0.35">
      <c r="A252" s="12" t="s">
        <v>496</v>
      </c>
      <c r="B252" s="13">
        <v>1888.9</v>
      </c>
      <c r="C252" s="13">
        <v>1891.3</v>
      </c>
      <c r="D252" s="13">
        <v>1895.7</v>
      </c>
      <c r="E252" s="13">
        <v>1881.9</v>
      </c>
      <c r="F252" s="14" t="s">
        <v>497</v>
      </c>
      <c r="G252" s="15">
        <v>-8.0000000000000004E-4</v>
      </c>
    </row>
    <row r="253" spans="1:7" x14ac:dyDescent="0.35">
      <c r="A253" s="12" t="s">
        <v>498</v>
      </c>
      <c r="B253" s="13">
        <v>1882.8</v>
      </c>
      <c r="C253" s="13">
        <v>1892.9</v>
      </c>
      <c r="D253" s="13">
        <v>1912</v>
      </c>
      <c r="E253" s="13">
        <v>1859</v>
      </c>
      <c r="F253" s="14" t="s">
        <v>499</v>
      </c>
      <c r="G253" s="15">
        <v>-3.2000000000000002E-3</v>
      </c>
    </row>
    <row r="254" spans="1:7" x14ac:dyDescent="0.35">
      <c r="A254" s="12" t="s">
        <v>500</v>
      </c>
      <c r="B254" s="13">
        <v>1870.3</v>
      </c>
      <c r="C254" s="13">
        <v>1883</v>
      </c>
      <c r="D254" s="13">
        <v>1889.4</v>
      </c>
      <c r="E254" s="13">
        <v>1863.7</v>
      </c>
      <c r="F254" s="14" t="s">
        <v>501</v>
      </c>
      <c r="G254" s="15">
        <v>-6.6E-3</v>
      </c>
    </row>
    <row r="255" spans="1:7" x14ac:dyDescent="0.35">
      <c r="A255" s="12" t="s">
        <v>502</v>
      </c>
      <c r="B255" s="13">
        <v>1878.1</v>
      </c>
      <c r="C255" s="13">
        <v>1865.6</v>
      </c>
      <c r="D255" s="13">
        <v>1883.7</v>
      </c>
      <c r="E255" s="13">
        <v>1860.9</v>
      </c>
      <c r="F255" s="14" t="s">
        <v>448</v>
      </c>
      <c r="G255" s="15">
        <v>4.1999999999999997E-3</v>
      </c>
    </row>
    <row r="256" spans="1:7" x14ac:dyDescent="0.35">
      <c r="A256" s="12" t="s">
        <v>503</v>
      </c>
      <c r="B256" s="13">
        <v>1883.2</v>
      </c>
      <c r="C256" s="13">
        <v>1877.3</v>
      </c>
      <c r="D256" s="13">
        <v>1887.4</v>
      </c>
      <c r="E256" s="13">
        <v>1873.1</v>
      </c>
      <c r="F256" s="14" t="s">
        <v>504</v>
      </c>
      <c r="G256" s="15">
        <v>2.7000000000000001E-3</v>
      </c>
    </row>
    <row r="257" spans="1:7" x14ac:dyDescent="0.35">
      <c r="A257" s="12" t="s">
        <v>505</v>
      </c>
      <c r="B257" s="13">
        <v>1880.4</v>
      </c>
      <c r="C257" s="13">
        <v>1887</v>
      </c>
      <c r="D257" s="13">
        <v>1904.1</v>
      </c>
      <c r="E257" s="13">
        <v>1873</v>
      </c>
      <c r="F257" s="14" t="s">
        <v>506</v>
      </c>
      <c r="G257" s="15">
        <v>-1.5E-3</v>
      </c>
    </row>
    <row r="258" spans="1:7" x14ac:dyDescent="0.35">
      <c r="A258" s="12" t="s">
        <v>507</v>
      </c>
      <c r="B258" s="13">
        <v>1882.9</v>
      </c>
      <c r="C258" s="13">
        <v>1878</v>
      </c>
      <c r="D258" s="13">
        <v>1891.3</v>
      </c>
      <c r="E258" s="13">
        <v>1875.6</v>
      </c>
      <c r="F258" s="14" t="s">
        <v>508</v>
      </c>
      <c r="G258" s="15">
        <v>1.2999999999999999E-3</v>
      </c>
    </row>
    <row r="259" spans="1:7" x14ac:dyDescent="0.35">
      <c r="A259" s="12" t="s">
        <v>509</v>
      </c>
      <c r="B259" s="13">
        <v>1893.4</v>
      </c>
      <c r="C259" s="13">
        <v>1881.8</v>
      </c>
      <c r="D259" s="13">
        <v>1899</v>
      </c>
      <c r="E259" s="13">
        <v>1879.5</v>
      </c>
      <c r="F259" s="14" t="s">
        <v>510</v>
      </c>
      <c r="G259" s="15">
        <v>5.5999999999999999E-3</v>
      </c>
    </row>
    <row r="260" spans="1:7" x14ac:dyDescent="0.35">
      <c r="A260" s="12" t="s">
        <v>511</v>
      </c>
      <c r="B260" s="13">
        <v>1895.1</v>
      </c>
      <c r="C260" s="13">
        <v>1899</v>
      </c>
      <c r="D260" s="13">
        <v>1904.9</v>
      </c>
      <c r="E260" s="13">
        <v>1889.1</v>
      </c>
      <c r="F260" s="14" t="s">
        <v>512</v>
      </c>
      <c r="G260" s="15">
        <v>8.9999999999999998E-4</v>
      </c>
    </row>
    <row r="261" spans="1:7" x14ac:dyDescent="0.35">
      <c r="A261" s="12" t="s">
        <v>513</v>
      </c>
      <c r="B261" s="13">
        <v>1946.6</v>
      </c>
      <c r="C261" s="13">
        <v>1908.2</v>
      </c>
      <c r="D261" s="13">
        <v>1948.7</v>
      </c>
      <c r="E261" s="13">
        <v>1906.1</v>
      </c>
      <c r="F261" s="14" t="s">
        <v>514</v>
      </c>
      <c r="G261" s="15">
        <v>2.7199999999999998E-2</v>
      </c>
    </row>
    <row r="262" spans="1:7" x14ac:dyDescent="0.35">
      <c r="A262" s="12" t="s">
        <v>515</v>
      </c>
      <c r="B262" s="13">
        <v>1954.4</v>
      </c>
      <c r="C262" s="13">
        <v>1946</v>
      </c>
      <c r="D262" s="13">
        <v>1957</v>
      </c>
      <c r="E262" s="13">
        <v>1938.4</v>
      </c>
      <c r="F262" s="14" t="s">
        <v>516</v>
      </c>
      <c r="G262" s="15">
        <v>4.0000000000000001E-3</v>
      </c>
    </row>
    <row r="263" spans="1:7" x14ac:dyDescent="0.35">
      <c r="A263" s="12" t="s">
        <v>517</v>
      </c>
      <c r="B263" s="13">
        <v>1908.6</v>
      </c>
      <c r="C263" s="13">
        <v>1952.8</v>
      </c>
      <c r="D263" s="13">
        <v>1962.5</v>
      </c>
      <c r="E263" s="13">
        <v>1902.6</v>
      </c>
      <c r="F263" s="14" t="s">
        <v>518</v>
      </c>
      <c r="G263" s="15">
        <v>-2.3400000000000001E-2</v>
      </c>
    </row>
    <row r="264" spans="1:7" x14ac:dyDescent="0.35">
      <c r="A264" s="12" t="s">
        <v>519</v>
      </c>
      <c r="B264" s="13">
        <v>1913.6</v>
      </c>
      <c r="C264" s="13">
        <v>1921.5</v>
      </c>
      <c r="D264" s="13">
        <v>1929.6</v>
      </c>
      <c r="E264" s="13">
        <v>1907.5</v>
      </c>
      <c r="F264" s="14" t="s">
        <v>520</v>
      </c>
      <c r="G264" s="15">
        <v>2.5999999999999999E-3</v>
      </c>
    </row>
    <row r="265" spans="1:7" x14ac:dyDescent="0.35">
      <c r="A265" s="12" t="s">
        <v>521</v>
      </c>
      <c r="B265" s="13">
        <v>1835.4</v>
      </c>
      <c r="C265" s="13">
        <v>1915.2</v>
      </c>
      <c r="D265" s="13">
        <v>1918.4</v>
      </c>
      <c r="E265" s="13">
        <v>1827.8</v>
      </c>
      <c r="F265" s="14" t="s">
        <v>522</v>
      </c>
      <c r="G265" s="15">
        <v>-4.0899999999999999E-2</v>
      </c>
    </row>
    <row r="266" spans="1:7" x14ac:dyDescent="0.35">
      <c r="A266" s="12" t="s">
        <v>523</v>
      </c>
      <c r="B266" s="13">
        <v>1850.8</v>
      </c>
      <c r="C266" s="13">
        <v>1849.4</v>
      </c>
      <c r="D266" s="13">
        <v>1856</v>
      </c>
      <c r="E266" s="13">
        <v>1817.1</v>
      </c>
      <c r="F266" s="14" t="s">
        <v>524</v>
      </c>
      <c r="G266" s="15">
        <v>8.3999999999999995E-3</v>
      </c>
    </row>
    <row r="267" spans="1:7" x14ac:dyDescent="0.35">
      <c r="A267" s="12" t="s">
        <v>525</v>
      </c>
      <c r="B267" s="13">
        <v>1844.2</v>
      </c>
      <c r="C267" s="13">
        <v>1845.4</v>
      </c>
      <c r="D267" s="13">
        <v>1864</v>
      </c>
      <c r="E267" s="13">
        <v>1835.8</v>
      </c>
      <c r="F267" s="14" t="s">
        <v>526</v>
      </c>
      <c r="G267" s="15">
        <v>-3.5999999999999999E-3</v>
      </c>
    </row>
    <row r="268" spans="1:7" x14ac:dyDescent="0.35">
      <c r="A268" s="12" t="s">
        <v>527</v>
      </c>
      <c r="B268" s="13">
        <v>1854.9</v>
      </c>
      <c r="C268" s="13">
        <v>1855</v>
      </c>
      <c r="D268" s="13">
        <v>1863</v>
      </c>
      <c r="E268" s="13">
        <v>1841.6</v>
      </c>
      <c r="F268" s="14" t="s">
        <v>528</v>
      </c>
      <c r="G268" s="15">
        <v>5.7999999999999996E-3</v>
      </c>
    </row>
    <row r="269" spans="1:7" x14ac:dyDescent="0.35">
      <c r="A269" s="12" t="s">
        <v>529</v>
      </c>
      <c r="B269" s="13">
        <v>1851.4</v>
      </c>
      <c r="C269" s="13">
        <v>1845.6</v>
      </c>
      <c r="D269" s="13">
        <v>1857.6</v>
      </c>
      <c r="E269" s="13">
        <v>1826.6</v>
      </c>
      <c r="F269" s="14" t="s">
        <v>530</v>
      </c>
      <c r="G269" s="15">
        <v>-1.9E-3</v>
      </c>
    </row>
    <row r="270" spans="1:7" x14ac:dyDescent="0.35">
      <c r="A270" s="12" t="s">
        <v>531</v>
      </c>
      <c r="B270" s="13">
        <v>1829.9</v>
      </c>
      <c r="C270" s="13">
        <v>1847.3</v>
      </c>
      <c r="D270" s="13">
        <v>1856.6</v>
      </c>
      <c r="E270" s="13">
        <v>1822.1</v>
      </c>
      <c r="F270" s="14" t="s">
        <v>532</v>
      </c>
      <c r="G270" s="15">
        <v>-1.1599999999999999E-2</v>
      </c>
    </row>
    <row r="271" spans="1:7" x14ac:dyDescent="0.35">
      <c r="A271" s="12" t="s">
        <v>533</v>
      </c>
      <c r="B271" s="13">
        <v>1840.2</v>
      </c>
      <c r="C271" s="13">
        <v>1828.8</v>
      </c>
      <c r="D271" s="13">
        <v>1845</v>
      </c>
      <c r="E271" s="13">
        <v>1800.8</v>
      </c>
      <c r="F271" s="14" t="s">
        <v>534</v>
      </c>
      <c r="G271" s="15">
        <v>5.5999999999999999E-3</v>
      </c>
    </row>
    <row r="272" spans="1:7" x14ac:dyDescent="0.35">
      <c r="A272" s="12" t="s">
        <v>535</v>
      </c>
      <c r="B272" s="13">
        <v>1840.2</v>
      </c>
      <c r="C272" s="13">
        <v>1828.8</v>
      </c>
      <c r="D272" s="13">
        <v>1845</v>
      </c>
      <c r="E272" s="13">
        <v>1800.8</v>
      </c>
      <c r="F272" s="14" t="s">
        <v>534</v>
      </c>
      <c r="G272" s="15">
        <v>0</v>
      </c>
    </row>
    <row r="273" spans="1:7" x14ac:dyDescent="0.35">
      <c r="A273" s="12" t="s">
        <v>536</v>
      </c>
      <c r="B273" s="13">
        <v>1866.5</v>
      </c>
      <c r="C273" s="13">
        <v>1839.9</v>
      </c>
      <c r="D273" s="13">
        <v>1872</v>
      </c>
      <c r="E273" s="13">
        <v>1831.1</v>
      </c>
      <c r="F273" s="14" t="s">
        <v>537</v>
      </c>
      <c r="G273" s="15">
        <v>1.43E-2</v>
      </c>
    </row>
    <row r="274" spans="1:7" x14ac:dyDescent="0.35">
      <c r="A274" s="12" t="s">
        <v>538</v>
      </c>
      <c r="B274" s="13">
        <v>1865.9</v>
      </c>
      <c r="C274" s="13">
        <v>1871</v>
      </c>
      <c r="D274" s="13">
        <v>1874.6</v>
      </c>
      <c r="E274" s="13">
        <v>1857.5</v>
      </c>
      <c r="F274" s="14" t="s">
        <v>539</v>
      </c>
      <c r="G274" s="15">
        <v>-2.9999999999999997E-4</v>
      </c>
    </row>
    <row r="275" spans="1:7" x14ac:dyDescent="0.35">
      <c r="A275" s="12" t="s">
        <v>540</v>
      </c>
      <c r="B275" s="13">
        <v>1856.2</v>
      </c>
      <c r="C275" s="13">
        <v>1870.1</v>
      </c>
      <c r="D275" s="13">
        <v>1870.8</v>
      </c>
      <c r="E275" s="13">
        <v>1836.3</v>
      </c>
      <c r="F275" s="14" t="s">
        <v>541</v>
      </c>
      <c r="G275" s="15">
        <v>-5.1999999999999998E-3</v>
      </c>
    </row>
    <row r="276" spans="1:7" x14ac:dyDescent="0.35">
      <c r="A276" s="12" t="s">
        <v>542</v>
      </c>
      <c r="B276" s="13">
        <v>1855.2</v>
      </c>
      <c r="C276" s="13">
        <v>1855.3</v>
      </c>
      <c r="D276" s="13">
        <v>1867.4</v>
      </c>
      <c r="E276" s="13">
        <v>1846.2</v>
      </c>
      <c r="F276" s="14" t="s">
        <v>543</v>
      </c>
      <c r="G276" s="15">
        <v>-5.0000000000000001E-4</v>
      </c>
    </row>
    <row r="277" spans="1:7" x14ac:dyDescent="0.35">
      <c r="A277" s="12" t="s">
        <v>544</v>
      </c>
      <c r="B277" s="13">
        <v>1850.9</v>
      </c>
      <c r="C277" s="13">
        <v>1854.9</v>
      </c>
      <c r="D277" s="13">
        <v>1860.8</v>
      </c>
      <c r="E277" s="13">
        <v>1847.2</v>
      </c>
      <c r="F277" s="14" t="s">
        <v>545</v>
      </c>
      <c r="G277" s="15">
        <v>-2.3E-3</v>
      </c>
    </row>
    <row r="278" spans="1:7" x14ac:dyDescent="0.35">
      <c r="A278" s="12" t="s">
        <v>546</v>
      </c>
      <c r="B278" s="13">
        <v>1844.9</v>
      </c>
      <c r="C278" s="13">
        <v>1849.7</v>
      </c>
      <c r="D278" s="13">
        <v>1851.5</v>
      </c>
      <c r="E278" s="13">
        <v>1828.4</v>
      </c>
      <c r="F278" s="14" t="s">
        <v>547</v>
      </c>
      <c r="G278" s="15">
        <v>-3.2000000000000002E-3</v>
      </c>
    </row>
    <row r="279" spans="1:7" x14ac:dyDescent="0.35">
      <c r="A279" s="12" t="s">
        <v>548</v>
      </c>
      <c r="B279" s="13">
        <v>1841.2</v>
      </c>
      <c r="C279" s="13">
        <v>1843.4</v>
      </c>
      <c r="D279" s="13">
        <v>1862.9</v>
      </c>
      <c r="E279" s="13">
        <v>1831.5</v>
      </c>
      <c r="F279" s="14" t="s">
        <v>549</v>
      </c>
      <c r="G279" s="15">
        <v>-2E-3</v>
      </c>
    </row>
    <row r="280" spans="1:7" x14ac:dyDescent="0.35">
      <c r="A280" s="12" t="s">
        <v>550</v>
      </c>
      <c r="B280" s="13">
        <v>1850.3</v>
      </c>
      <c r="C280" s="13">
        <v>1845.6</v>
      </c>
      <c r="D280" s="13">
        <v>1878.9</v>
      </c>
      <c r="E280" s="13">
        <v>1841.2</v>
      </c>
      <c r="F280" s="14" t="s">
        <v>551</v>
      </c>
      <c r="G280" s="15">
        <v>4.8999999999999998E-3</v>
      </c>
    </row>
    <row r="281" spans="1:7" x14ac:dyDescent="0.35">
      <c r="A281" s="12" t="s">
        <v>552</v>
      </c>
      <c r="B281" s="13">
        <v>1863.9</v>
      </c>
      <c r="C281" s="13">
        <v>1865</v>
      </c>
      <c r="D281" s="13">
        <v>1876</v>
      </c>
      <c r="E281" s="13">
        <v>1851.7</v>
      </c>
      <c r="F281" s="14" t="s">
        <v>553</v>
      </c>
      <c r="G281" s="15">
        <v>7.4000000000000003E-3</v>
      </c>
    </row>
    <row r="282" spans="1:7" x14ac:dyDescent="0.35">
      <c r="A282" s="12" t="s">
        <v>554</v>
      </c>
      <c r="B282" s="13">
        <v>1833.4</v>
      </c>
      <c r="C282" s="13">
        <v>1863.6</v>
      </c>
      <c r="D282" s="13">
        <v>1866.3</v>
      </c>
      <c r="E282" s="13">
        <v>1830.4</v>
      </c>
      <c r="F282" s="14" t="s">
        <v>555</v>
      </c>
      <c r="G282" s="15">
        <v>-1.6400000000000001E-2</v>
      </c>
    </row>
    <row r="283" spans="1:7" x14ac:dyDescent="0.35">
      <c r="A283" s="12" t="s">
        <v>556</v>
      </c>
      <c r="B283" s="13">
        <v>1835.1</v>
      </c>
      <c r="C283" s="13">
        <v>1838.5</v>
      </c>
      <c r="D283" s="13">
        <v>1845.9</v>
      </c>
      <c r="E283" s="13">
        <v>1830.1</v>
      </c>
      <c r="F283" s="14" t="s">
        <v>557</v>
      </c>
      <c r="G283" s="15">
        <v>8.9999999999999998E-4</v>
      </c>
    </row>
    <row r="284" spans="1:7" x14ac:dyDescent="0.35">
      <c r="A284" s="12" t="s">
        <v>558</v>
      </c>
      <c r="B284" s="13">
        <v>1791.2</v>
      </c>
      <c r="C284" s="13">
        <v>1834.5</v>
      </c>
      <c r="D284" s="13">
        <v>1835.7</v>
      </c>
      <c r="E284" s="13">
        <v>1784.6</v>
      </c>
      <c r="F284" s="14" t="s">
        <v>559</v>
      </c>
      <c r="G284" s="15">
        <v>-2.3900000000000001E-2</v>
      </c>
    </row>
    <row r="285" spans="1:7" x14ac:dyDescent="0.35">
      <c r="A285" s="12" t="s">
        <v>560</v>
      </c>
      <c r="B285" s="13">
        <v>1813</v>
      </c>
      <c r="C285" s="13">
        <v>1794.3</v>
      </c>
      <c r="D285" s="13">
        <v>1816</v>
      </c>
      <c r="E285" s="13">
        <v>1792.2</v>
      </c>
      <c r="F285" s="14" t="s">
        <v>561</v>
      </c>
      <c r="G285" s="15">
        <v>1.2200000000000001E-2</v>
      </c>
    </row>
    <row r="286" spans="1:7" x14ac:dyDescent="0.35">
      <c r="A286" s="12" t="s">
        <v>562</v>
      </c>
      <c r="B286" s="13">
        <v>1834.2</v>
      </c>
      <c r="C286" s="13">
        <v>1818.1</v>
      </c>
      <c r="D286" s="13">
        <v>1840.6</v>
      </c>
      <c r="E286" s="13">
        <v>1807.3</v>
      </c>
      <c r="F286" s="14" t="s">
        <v>563</v>
      </c>
      <c r="G286" s="15">
        <v>1.17E-2</v>
      </c>
    </row>
    <row r="287" spans="1:7" x14ac:dyDescent="0.35">
      <c r="A287" s="12" t="s">
        <v>564</v>
      </c>
      <c r="B287" s="13">
        <v>1837.5</v>
      </c>
      <c r="C287" s="13">
        <v>1832.4</v>
      </c>
      <c r="D287" s="13">
        <v>1849.5</v>
      </c>
      <c r="E287" s="13">
        <v>1830.3</v>
      </c>
      <c r="F287" s="14" t="s">
        <v>565</v>
      </c>
      <c r="G287" s="15">
        <v>1.8E-3</v>
      </c>
    </row>
    <row r="288" spans="1:7" x14ac:dyDescent="0.35">
      <c r="A288" s="12" t="s">
        <v>566</v>
      </c>
      <c r="B288" s="13">
        <v>1842.7</v>
      </c>
      <c r="C288" s="13">
        <v>1838.3</v>
      </c>
      <c r="D288" s="13">
        <v>1856.6</v>
      </c>
      <c r="E288" s="13">
        <v>1834</v>
      </c>
      <c r="F288" s="14" t="s">
        <v>567</v>
      </c>
      <c r="G288" s="15">
        <v>2.8E-3</v>
      </c>
    </row>
    <row r="289" spans="1:7" x14ac:dyDescent="0.35">
      <c r="A289" s="12" t="s">
        <v>568</v>
      </c>
      <c r="B289" s="13">
        <v>1826.8</v>
      </c>
      <c r="C289" s="13">
        <v>1844.3</v>
      </c>
      <c r="D289" s="13">
        <v>1848.6</v>
      </c>
      <c r="E289" s="13">
        <v>1821.7</v>
      </c>
      <c r="F289" s="14" t="s">
        <v>569</v>
      </c>
      <c r="G289" s="15">
        <v>-8.6E-3</v>
      </c>
    </row>
    <row r="290" spans="1:7" x14ac:dyDescent="0.35">
      <c r="A290" s="12" t="s">
        <v>570</v>
      </c>
      <c r="B290" s="13">
        <v>1823.2</v>
      </c>
      <c r="C290" s="13">
        <v>1825.4</v>
      </c>
      <c r="D290" s="13">
        <v>1831.5</v>
      </c>
      <c r="E290" s="13">
        <v>1810.1</v>
      </c>
      <c r="F290" s="14" t="s">
        <v>571</v>
      </c>
      <c r="G290" s="15">
        <v>-2E-3</v>
      </c>
    </row>
    <row r="291" spans="1:7" x14ac:dyDescent="0.35">
      <c r="A291" s="12" t="s">
        <v>572</v>
      </c>
      <c r="B291" s="13">
        <v>1799</v>
      </c>
      <c r="C291" s="13">
        <v>1826</v>
      </c>
      <c r="D291" s="13">
        <v>1827.1</v>
      </c>
      <c r="E291" s="13">
        <v>1788.1</v>
      </c>
      <c r="F291" s="14" t="s">
        <v>573</v>
      </c>
      <c r="G291" s="15">
        <v>-1.3299999999999999E-2</v>
      </c>
    </row>
    <row r="292" spans="1:7" x14ac:dyDescent="0.35">
      <c r="A292" s="12" t="s">
        <v>574</v>
      </c>
      <c r="B292" s="13">
        <v>1799</v>
      </c>
      <c r="C292" s="13">
        <v>1826</v>
      </c>
      <c r="D292" s="13">
        <v>1827.1</v>
      </c>
      <c r="E292" s="13">
        <v>1788.1</v>
      </c>
      <c r="F292" s="14" t="s">
        <v>573</v>
      </c>
      <c r="G292" s="15">
        <v>0</v>
      </c>
    </row>
    <row r="293" spans="1:7" x14ac:dyDescent="0.35">
      <c r="A293" s="12" t="s">
        <v>575</v>
      </c>
      <c r="B293" s="13">
        <v>1772.8</v>
      </c>
      <c r="C293" s="13">
        <v>1793.1</v>
      </c>
      <c r="D293" s="13">
        <v>1794.2</v>
      </c>
      <c r="E293" s="13">
        <v>1767.9</v>
      </c>
      <c r="F293" s="14" t="s">
        <v>576</v>
      </c>
      <c r="G293" s="15">
        <v>-1.46E-2</v>
      </c>
    </row>
    <row r="294" spans="1:7" x14ac:dyDescent="0.35">
      <c r="A294" s="12" t="s">
        <v>577</v>
      </c>
      <c r="B294" s="13">
        <v>1775</v>
      </c>
      <c r="C294" s="13">
        <v>1776</v>
      </c>
      <c r="D294" s="13">
        <v>1788.8</v>
      </c>
      <c r="E294" s="13">
        <v>1766.6</v>
      </c>
      <c r="F294" s="14" t="s">
        <v>578</v>
      </c>
      <c r="G294" s="15">
        <v>1.1999999999999999E-3</v>
      </c>
    </row>
    <row r="295" spans="1:7" x14ac:dyDescent="0.35">
      <c r="A295" s="12" t="s">
        <v>579</v>
      </c>
      <c r="B295" s="13">
        <v>1777.4</v>
      </c>
      <c r="C295" s="13">
        <v>1774.6</v>
      </c>
      <c r="D295" s="13">
        <v>1790.9</v>
      </c>
      <c r="E295" s="13">
        <v>1759</v>
      </c>
      <c r="F295" s="14" t="s">
        <v>580</v>
      </c>
      <c r="G295" s="15">
        <v>1.4E-3</v>
      </c>
    </row>
    <row r="296" spans="1:7" x14ac:dyDescent="0.35">
      <c r="A296" s="12" t="s">
        <v>581</v>
      </c>
      <c r="B296" s="13">
        <v>1808.4</v>
      </c>
      <c r="C296" s="13">
        <v>1782</v>
      </c>
      <c r="D296" s="13">
        <v>1812.4</v>
      </c>
      <c r="E296" s="13">
        <v>1778.6</v>
      </c>
      <c r="F296" s="14" t="s">
        <v>582</v>
      </c>
      <c r="G296" s="15">
        <v>1.7399999999999999E-2</v>
      </c>
    </row>
    <row r="297" spans="1:7" x14ac:dyDescent="0.35">
      <c r="A297" s="12" t="s">
        <v>583</v>
      </c>
      <c r="B297" s="13">
        <v>1805.9</v>
      </c>
      <c r="C297" s="13">
        <v>1809.3</v>
      </c>
      <c r="D297" s="13">
        <v>1815.2</v>
      </c>
      <c r="E297" s="13">
        <v>1794.5</v>
      </c>
      <c r="F297" s="14" t="s">
        <v>584</v>
      </c>
      <c r="G297" s="15">
        <v>-1.4E-3</v>
      </c>
    </row>
    <row r="298" spans="1:7" x14ac:dyDescent="0.35">
      <c r="A298" s="12" t="s">
        <v>585</v>
      </c>
      <c r="B298" s="13">
        <v>1797.9</v>
      </c>
      <c r="C298" s="13">
        <v>1805</v>
      </c>
      <c r="D298" s="13">
        <v>1813</v>
      </c>
      <c r="E298" s="13">
        <v>1782.2</v>
      </c>
      <c r="F298" s="14" t="s">
        <v>586</v>
      </c>
      <c r="G298" s="15">
        <v>-4.4000000000000003E-3</v>
      </c>
    </row>
    <row r="299" spans="1:7" x14ac:dyDescent="0.35">
      <c r="A299" s="12" t="s">
        <v>587</v>
      </c>
      <c r="B299" s="13">
        <v>1775.4</v>
      </c>
      <c r="C299" s="13">
        <v>1804.9</v>
      </c>
      <c r="D299" s="13">
        <v>1805</v>
      </c>
      <c r="E299" s="13">
        <v>1763.9</v>
      </c>
      <c r="F299" s="14" t="s">
        <v>588</v>
      </c>
      <c r="G299" s="15">
        <v>-1.2500000000000001E-2</v>
      </c>
    </row>
    <row r="300" spans="1:7" x14ac:dyDescent="0.35">
      <c r="A300" s="12" t="s">
        <v>589</v>
      </c>
      <c r="B300" s="13">
        <v>1728.8</v>
      </c>
      <c r="C300" s="13">
        <v>1770.9</v>
      </c>
      <c r="D300" s="13">
        <v>1773.8</v>
      </c>
      <c r="E300" s="13">
        <v>1714.9</v>
      </c>
      <c r="F300" s="14" t="s">
        <v>590</v>
      </c>
      <c r="G300" s="15">
        <v>-2.6200000000000001E-2</v>
      </c>
    </row>
    <row r="301" spans="1:7" x14ac:dyDescent="0.35">
      <c r="A301" s="12" t="s">
        <v>591</v>
      </c>
      <c r="B301" s="13">
        <v>1723</v>
      </c>
      <c r="C301" s="13">
        <v>1732.8</v>
      </c>
      <c r="D301" s="13">
        <v>1757.4</v>
      </c>
      <c r="E301" s="13">
        <v>1717.2</v>
      </c>
      <c r="F301" s="14" t="s">
        <v>592</v>
      </c>
      <c r="G301" s="15">
        <v>-3.3999999999999998E-3</v>
      </c>
    </row>
    <row r="302" spans="1:7" x14ac:dyDescent="0.35">
      <c r="A302" s="12" t="s">
        <v>593</v>
      </c>
      <c r="B302" s="13">
        <v>1733.6</v>
      </c>
      <c r="C302" s="13">
        <v>1722.8</v>
      </c>
      <c r="D302" s="13">
        <v>1737.8</v>
      </c>
      <c r="E302" s="13">
        <v>1704.6</v>
      </c>
      <c r="F302" s="14" t="s">
        <v>594</v>
      </c>
      <c r="G302" s="15">
        <v>6.1999999999999998E-3</v>
      </c>
    </row>
    <row r="303" spans="1:7" x14ac:dyDescent="0.35">
      <c r="A303" s="12" t="s">
        <v>595</v>
      </c>
      <c r="B303" s="13">
        <v>1715.8</v>
      </c>
      <c r="C303" s="13">
        <v>1736.5</v>
      </c>
      <c r="D303" s="13">
        <v>1739.1</v>
      </c>
      <c r="E303" s="13">
        <v>1699.4</v>
      </c>
      <c r="F303" s="14" t="s">
        <v>596</v>
      </c>
      <c r="G303" s="15">
        <v>-1.03E-2</v>
      </c>
    </row>
    <row r="304" spans="1:7" x14ac:dyDescent="0.35">
      <c r="A304" s="12" t="s">
        <v>597</v>
      </c>
      <c r="B304" s="13">
        <v>1700.7</v>
      </c>
      <c r="C304" s="13">
        <v>1708.4</v>
      </c>
      <c r="D304" s="13">
        <v>1721.6</v>
      </c>
      <c r="E304" s="13">
        <v>1687.6</v>
      </c>
      <c r="F304" s="14" t="s">
        <v>598</v>
      </c>
      <c r="G304" s="15">
        <v>-8.8000000000000005E-3</v>
      </c>
    </row>
    <row r="305" spans="1:7" x14ac:dyDescent="0.35">
      <c r="A305" s="12" t="s">
        <v>599</v>
      </c>
      <c r="B305" s="13">
        <v>1698.5</v>
      </c>
      <c r="C305" s="13">
        <v>1695.3</v>
      </c>
      <c r="D305" s="13">
        <v>1705.7</v>
      </c>
      <c r="E305" s="13">
        <v>1683</v>
      </c>
      <c r="F305" s="14" t="s">
        <v>600</v>
      </c>
      <c r="G305" s="15">
        <v>-1.2999999999999999E-3</v>
      </c>
    </row>
    <row r="306" spans="1:7" x14ac:dyDescent="0.35">
      <c r="A306" s="12" t="s">
        <v>601</v>
      </c>
      <c r="B306" s="13">
        <v>1678</v>
      </c>
      <c r="C306" s="13">
        <v>1701.6</v>
      </c>
      <c r="D306" s="13">
        <v>1712</v>
      </c>
      <c r="E306" s="13">
        <v>1673.3</v>
      </c>
      <c r="F306" s="14" t="s">
        <v>602</v>
      </c>
      <c r="G306" s="15">
        <v>-1.21E-2</v>
      </c>
    </row>
    <row r="307" spans="1:7" x14ac:dyDescent="0.35">
      <c r="A307" s="12" t="s">
        <v>603</v>
      </c>
      <c r="B307" s="13">
        <v>1716.9</v>
      </c>
      <c r="C307" s="13">
        <v>1679.3</v>
      </c>
      <c r="D307" s="13">
        <v>1718.7</v>
      </c>
      <c r="E307" s="13">
        <v>1676.7</v>
      </c>
      <c r="F307" s="14" t="s">
        <v>604</v>
      </c>
      <c r="G307" s="15">
        <v>2.3199999999999998E-2</v>
      </c>
    </row>
    <row r="308" spans="1:7" x14ac:dyDescent="0.35">
      <c r="A308" s="12" t="s">
        <v>605</v>
      </c>
      <c r="B308" s="13">
        <v>1721.8</v>
      </c>
      <c r="C308" s="13">
        <v>1714.5</v>
      </c>
      <c r="D308" s="13">
        <v>1725.3</v>
      </c>
      <c r="E308" s="13">
        <v>1705.6</v>
      </c>
      <c r="F308" s="14" t="s">
        <v>606</v>
      </c>
      <c r="G308" s="15">
        <v>2.8999999999999998E-3</v>
      </c>
    </row>
    <row r="309" spans="1:7" x14ac:dyDescent="0.35">
      <c r="A309" s="12" t="s">
        <v>607</v>
      </c>
      <c r="B309" s="13">
        <v>1722.6</v>
      </c>
      <c r="C309" s="13">
        <v>1725</v>
      </c>
      <c r="D309" s="13">
        <v>1738</v>
      </c>
      <c r="E309" s="13">
        <v>1716.8</v>
      </c>
      <c r="F309" s="14" t="s">
        <v>608</v>
      </c>
      <c r="G309" s="15">
        <v>5.0000000000000001E-4</v>
      </c>
    </row>
    <row r="310" spans="1:7" x14ac:dyDescent="0.35">
      <c r="A310" s="12" t="s">
        <v>609</v>
      </c>
      <c r="B310" s="13">
        <v>1719.8</v>
      </c>
      <c r="C310" s="13">
        <v>1720.5</v>
      </c>
      <c r="D310" s="13">
        <v>1728</v>
      </c>
      <c r="E310" s="13">
        <v>1696.6</v>
      </c>
      <c r="F310" s="14" t="s">
        <v>610</v>
      </c>
      <c r="G310" s="15">
        <v>-1.6000000000000001E-3</v>
      </c>
    </row>
    <row r="311" spans="1:7" x14ac:dyDescent="0.35">
      <c r="A311" s="12" t="s">
        <v>611</v>
      </c>
      <c r="B311" s="13">
        <v>1729.2</v>
      </c>
      <c r="C311" s="13">
        <v>1726.5</v>
      </c>
      <c r="D311" s="13">
        <v>1733.2</v>
      </c>
      <c r="E311" s="13">
        <v>1719.2</v>
      </c>
      <c r="F311" s="14" t="s">
        <v>612</v>
      </c>
      <c r="G311" s="15">
        <v>5.4999999999999997E-3</v>
      </c>
    </row>
    <row r="312" spans="1:7" x14ac:dyDescent="0.35">
      <c r="A312" s="12" t="s">
        <v>613</v>
      </c>
      <c r="B312" s="13">
        <v>1730.9</v>
      </c>
      <c r="C312" s="13">
        <v>1730.7</v>
      </c>
      <c r="D312" s="13">
        <v>1740.5</v>
      </c>
      <c r="E312" s="13">
        <v>1724.4</v>
      </c>
      <c r="F312" s="14" t="s">
        <v>614</v>
      </c>
      <c r="G312" s="15">
        <v>1E-3</v>
      </c>
    </row>
    <row r="313" spans="1:7" x14ac:dyDescent="0.35">
      <c r="A313" s="12" t="s">
        <v>615</v>
      </c>
      <c r="B313" s="13">
        <v>1727.1</v>
      </c>
      <c r="C313" s="13">
        <v>1730</v>
      </c>
      <c r="D313" s="13">
        <v>1750.6</v>
      </c>
      <c r="E313" s="13">
        <v>1722</v>
      </c>
      <c r="F313" s="14" t="s">
        <v>616</v>
      </c>
      <c r="G313" s="15">
        <v>-2.2000000000000001E-3</v>
      </c>
    </row>
    <row r="314" spans="1:7" x14ac:dyDescent="0.35">
      <c r="A314" s="12" t="s">
        <v>617</v>
      </c>
      <c r="B314" s="13">
        <v>1732.5</v>
      </c>
      <c r="C314" s="13">
        <v>1744</v>
      </c>
      <c r="D314" s="13">
        <v>1754.2</v>
      </c>
      <c r="E314" s="13">
        <v>1716.6</v>
      </c>
      <c r="F314" s="14" t="s">
        <v>618</v>
      </c>
      <c r="G314" s="15">
        <v>3.0999999999999999E-3</v>
      </c>
    </row>
    <row r="315" spans="1:7" x14ac:dyDescent="0.35">
      <c r="A315" s="12" t="s">
        <v>619</v>
      </c>
      <c r="B315" s="13">
        <v>1741.7</v>
      </c>
      <c r="C315" s="13">
        <v>1733.7</v>
      </c>
      <c r="D315" s="13">
        <v>1746.1</v>
      </c>
      <c r="E315" s="13">
        <v>1727.1</v>
      </c>
      <c r="F315" s="14" t="s">
        <v>620</v>
      </c>
      <c r="G315" s="15">
        <v>5.3E-3</v>
      </c>
    </row>
    <row r="316" spans="1:7" x14ac:dyDescent="0.35">
      <c r="A316" s="12" t="s">
        <v>621</v>
      </c>
      <c r="B316" s="13">
        <v>1738.1</v>
      </c>
      <c r="C316" s="13">
        <v>1745.6</v>
      </c>
      <c r="D316" s="13">
        <v>1747</v>
      </c>
      <c r="E316" s="13">
        <v>1726.4</v>
      </c>
      <c r="F316" s="14" t="s">
        <v>622</v>
      </c>
      <c r="G316" s="15">
        <v>-2.0999999999999999E-3</v>
      </c>
    </row>
    <row r="317" spans="1:7" x14ac:dyDescent="0.35">
      <c r="A317" s="12" t="s">
        <v>623</v>
      </c>
      <c r="B317" s="13">
        <v>1725.1</v>
      </c>
      <c r="C317" s="13">
        <v>1738.5</v>
      </c>
      <c r="D317" s="13">
        <v>1742</v>
      </c>
      <c r="E317" s="13">
        <v>1722.7</v>
      </c>
      <c r="F317" s="14" t="s">
        <v>624</v>
      </c>
      <c r="G317" s="15">
        <v>-7.4999999999999997E-3</v>
      </c>
    </row>
    <row r="318" spans="1:7" x14ac:dyDescent="0.35">
      <c r="A318" s="12" t="s">
        <v>625</v>
      </c>
      <c r="B318" s="13">
        <v>1733.2</v>
      </c>
      <c r="C318" s="13">
        <v>1725.9</v>
      </c>
      <c r="D318" s="13">
        <v>1737.7</v>
      </c>
      <c r="E318" s="13">
        <v>1722.3</v>
      </c>
      <c r="F318" s="14" t="s">
        <v>626</v>
      </c>
      <c r="G318" s="15">
        <v>4.7000000000000002E-3</v>
      </c>
    </row>
    <row r="319" spans="1:7" x14ac:dyDescent="0.35">
      <c r="A319" s="12" t="s">
        <v>627</v>
      </c>
      <c r="B319" s="13">
        <v>1725.1</v>
      </c>
      <c r="C319" s="13">
        <v>1733.2</v>
      </c>
      <c r="D319" s="13">
        <v>1744.8</v>
      </c>
      <c r="E319" s="13">
        <v>1720.3</v>
      </c>
      <c r="F319" s="14" t="s">
        <v>628</v>
      </c>
      <c r="G319" s="15">
        <v>-4.7000000000000002E-3</v>
      </c>
    </row>
    <row r="320" spans="1:7" x14ac:dyDescent="0.35">
      <c r="A320" s="12" t="s">
        <v>629</v>
      </c>
      <c r="B320" s="13">
        <v>1732.3</v>
      </c>
      <c r="C320" s="13">
        <v>1725.5</v>
      </c>
      <c r="D320" s="13">
        <v>1735.5</v>
      </c>
      <c r="E320" s="13">
        <v>1718.8</v>
      </c>
      <c r="F320" s="14" t="s">
        <v>630</v>
      </c>
      <c r="G320" s="15">
        <v>4.1999999999999997E-3</v>
      </c>
    </row>
    <row r="321" spans="1:7" x14ac:dyDescent="0.35">
      <c r="A321" s="12" t="s">
        <v>631</v>
      </c>
      <c r="B321" s="13">
        <v>1714.6</v>
      </c>
      <c r="C321" s="13">
        <v>1731.5</v>
      </c>
      <c r="D321" s="13">
        <v>1732.6</v>
      </c>
      <c r="E321" s="13">
        <v>1703.3</v>
      </c>
      <c r="F321" s="14" t="s">
        <v>632</v>
      </c>
      <c r="G321" s="15">
        <v>-1.0200000000000001E-2</v>
      </c>
    </row>
    <row r="322" spans="1:7" x14ac:dyDescent="0.35">
      <c r="A322" s="12" t="s">
        <v>633</v>
      </c>
      <c r="B322" s="13">
        <v>1686</v>
      </c>
      <c r="C322" s="13">
        <v>1713</v>
      </c>
      <c r="D322" s="13">
        <v>1714.8</v>
      </c>
      <c r="E322" s="13">
        <v>1678.3</v>
      </c>
      <c r="F322" s="14" t="s">
        <v>634</v>
      </c>
      <c r="G322" s="15">
        <v>-1.67E-2</v>
      </c>
    </row>
    <row r="323" spans="1:7" x14ac:dyDescent="0.35">
      <c r="A323" s="12" t="s">
        <v>635</v>
      </c>
      <c r="B323" s="13">
        <v>1715.6</v>
      </c>
      <c r="C323" s="13">
        <v>1685.9</v>
      </c>
      <c r="D323" s="13">
        <v>1716.3</v>
      </c>
      <c r="E323" s="13">
        <v>1677.3</v>
      </c>
      <c r="F323" s="14" t="s">
        <v>636</v>
      </c>
      <c r="G323" s="15">
        <v>1.7600000000000001E-2</v>
      </c>
    </row>
    <row r="324" spans="1:7" x14ac:dyDescent="0.35">
      <c r="A324" s="12" t="s">
        <v>637</v>
      </c>
      <c r="B324" s="13">
        <v>1728.4</v>
      </c>
      <c r="C324" s="13">
        <v>1709</v>
      </c>
      <c r="D324" s="13">
        <v>1732</v>
      </c>
      <c r="E324" s="13">
        <v>1706.4</v>
      </c>
      <c r="F324" s="14" t="s">
        <v>638</v>
      </c>
      <c r="G324" s="15">
        <v>7.4999999999999997E-3</v>
      </c>
    </row>
    <row r="325" spans="1:7" x14ac:dyDescent="0.35">
      <c r="A325" s="12" t="s">
        <v>639</v>
      </c>
      <c r="B325" s="13">
        <v>1728.8</v>
      </c>
      <c r="C325" s="13">
        <v>1730</v>
      </c>
      <c r="D325" s="13">
        <v>1734.4</v>
      </c>
      <c r="E325" s="13">
        <v>1721.6</v>
      </c>
      <c r="F325" s="14" t="s">
        <v>640</v>
      </c>
      <c r="G325" s="15">
        <v>2.0000000000000001E-4</v>
      </c>
    </row>
    <row r="326" spans="1:7" x14ac:dyDescent="0.35">
      <c r="A326" s="12" t="s">
        <v>641</v>
      </c>
      <c r="B326" s="13">
        <v>1743</v>
      </c>
      <c r="C326" s="13">
        <v>1729.2</v>
      </c>
      <c r="D326" s="13">
        <v>1746.7</v>
      </c>
      <c r="E326" s="13">
        <v>1728.2</v>
      </c>
      <c r="F326" s="14" t="s">
        <v>642</v>
      </c>
      <c r="G326" s="15">
        <v>8.2000000000000007E-3</v>
      </c>
    </row>
    <row r="327" spans="1:7" x14ac:dyDescent="0.35">
      <c r="A327" s="12" t="s">
        <v>643</v>
      </c>
      <c r="B327" s="13">
        <v>1741.6</v>
      </c>
      <c r="C327" s="13">
        <v>1744.4</v>
      </c>
      <c r="D327" s="13">
        <v>1745.4</v>
      </c>
      <c r="E327" s="13">
        <v>1731.2</v>
      </c>
      <c r="F327" s="14" t="s">
        <v>644</v>
      </c>
      <c r="G327" s="15">
        <v>-8.0000000000000004E-4</v>
      </c>
    </row>
    <row r="328" spans="1:7" x14ac:dyDescent="0.35">
      <c r="A328" s="12" t="s">
        <v>645</v>
      </c>
      <c r="B328" s="13">
        <v>1758.2</v>
      </c>
      <c r="C328" s="13">
        <v>1738.6</v>
      </c>
      <c r="D328" s="13">
        <v>1759.4</v>
      </c>
      <c r="E328" s="13">
        <v>1733.6</v>
      </c>
      <c r="F328" s="14" t="s">
        <v>646</v>
      </c>
      <c r="G328" s="15">
        <v>9.4999999999999998E-3</v>
      </c>
    </row>
    <row r="329" spans="1:7" x14ac:dyDescent="0.35">
      <c r="A329" s="12" t="s">
        <v>647</v>
      </c>
      <c r="B329" s="13">
        <v>1744.8</v>
      </c>
      <c r="C329" s="13">
        <v>1756.5</v>
      </c>
      <c r="D329" s="13">
        <v>1758.2</v>
      </c>
      <c r="E329" s="13">
        <v>1730.8</v>
      </c>
      <c r="F329" s="14" t="s">
        <v>648</v>
      </c>
      <c r="G329" s="15">
        <v>-7.6E-3</v>
      </c>
    </row>
    <row r="330" spans="1:7" x14ac:dyDescent="0.35">
      <c r="A330" s="12" t="s">
        <v>649</v>
      </c>
      <c r="B330" s="13">
        <v>1732.7</v>
      </c>
      <c r="C330" s="13">
        <v>1744.5</v>
      </c>
      <c r="D330" s="13">
        <v>1746.2</v>
      </c>
      <c r="E330" s="13">
        <v>1727</v>
      </c>
      <c r="F330" s="14" t="s">
        <v>650</v>
      </c>
      <c r="G330" s="15">
        <v>-6.8999999999999999E-3</v>
      </c>
    </row>
    <row r="331" spans="1:7" x14ac:dyDescent="0.35">
      <c r="A331" s="12" t="s">
        <v>651</v>
      </c>
      <c r="B331" s="13">
        <v>1747.6</v>
      </c>
      <c r="C331" s="13">
        <v>1732.2</v>
      </c>
      <c r="D331" s="13">
        <v>1749.5</v>
      </c>
      <c r="E331" s="13">
        <v>1723.2</v>
      </c>
      <c r="F331" s="14" t="s">
        <v>652</v>
      </c>
      <c r="G331" s="15">
        <v>8.6E-3</v>
      </c>
    </row>
    <row r="332" spans="1:7" x14ac:dyDescent="0.35">
      <c r="A332" s="12" t="s">
        <v>653</v>
      </c>
      <c r="B332" s="13">
        <v>1736.3</v>
      </c>
      <c r="C332" s="13">
        <v>1746.4</v>
      </c>
      <c r="D332" s="13">
        <v>1750.7</v>
      </c>
      <c r="E332" s="13">
        <v>1732.3</v>
      </c>
      <c r="F332" s="14" t="s">
        <v>654</v>
      </c>
      <c r="G332" s="15">
        <v>-6.4999999999999997E-3</v>
      </c>
    </row>
    <row r="333" spans="1:7" x14ac:dyDescent="0.35">
      <c r="A333" s="12" t="s">
        <v>655</v>
      </c>
      <c r="B333" s="13">
        <v>1766.8</v>
      </c>
      <c r="C333" s="13">
        <v>1736.6</v>
      </c>
      <c r="D333" s="13">
        <v>1770.6</v>
      </c>
      <c r="E333" s="13">
        <v>1734.4</v>
      </c>
      <c r="F333" s="14" t="s">
        <v>656</v>
      </c>
      <c r="G333" s="15">
        <v>1.7600000000000001E-2</v>
      </c>
    </row>
    <row r="334" spans="1:7" x14ac:dyDescent="0.35">
      <c r="A334" s="12" t="s">
        <v>657</v>
      </c>
      <c r="B334" s="13">
        <v>1780.2</v>
      </c>
      <c r="C334" s="13">
        <v>1764.8</v>
      </c>
      <c r="D334" s="13">
        <v>1784.7</v>
      </c>
      <c r="E334" s="13">
        <v>1760.3</v>
      </c>
      <c r="F334" s="14" t="s">
        <v>658</v>
      </c>
      <c r="G334" s="15">
        <v>7.6E-3</v>
      </c>
    </row>
    <row r="335" spans="1:7" x14ac:dyDescent="0.35">
      <c r="A335" s="12" t="s">
        <v>659</v>
      </c>
      <c r="B335" s="13">
        <v>1770.6</v>
      </c>
      <c r="C335" s="13">
        <v>1778.8</v>
      </c>
      <c r="D335" s="13">
        <v>1790.4</v>
      </c>
      <c r="E335" s="13">
        <v>1766.6</v>
      </c>
      <c r="F335" s="14" t="s">
        <v>660</v>
      </c>
      <c r="G335" s="15">
        <v>-5.4000000000000003E-3</v>
      </c>
    </row>
    <row r="336" spans="1:7" x14ac:dyDescent="0.35">
      <c r="A336" s="12" t="s">
        <v>661</v>
      </c>
      <c r="B336" s="13">
        <v>1778.4</v>
      </c>
      <c r="C336" s="13">
        <v>1770.5</v>
      </c>
      <c r="D336" s="13">
        <v>1780.8</v>
      </c>
      <c r="E336" s="13">
        <v>1763.5</v>
      </c>
      <c r="F336" s="14" t="s">
        <v>662</v>
      </c>
      <c r="G336" s="15">
        <v>4.4000000000000003E-3</v>
      </c>
    </row>
    <row r="337" spans="1:7" x14ac:dyDescent="0.35">
      <c r="A337" s="12" t="s">
        <v>663</v>
      </c>
      <c r="B337" s="13">
        <v>1793.1</v>
      </c>
      <c r="C337" s="13">
        <v>1779.1</v>
      </c>
      <c r="D337" s="13">
        <v>1798.4</v>
      </c>
      <c r="E337" s="13">
        <v>1776.6</v>
      </c>
      <c r="F337" s="14" t="s">
        <v>664</v>
      </c>
      <c r="G337" s="15">
        <v>8.3000000000000001E-3</v>
      </c>
    </row>
    <row r="338" spans="1:7" x14ac:dyDescent="0.35">
      <c r="A338" s="12" t="s">
        <v>665</v>
      </c>
      <c r="B338" s="13">
        <v>1782</v>
      </c>
      <c r="C338" s="13">
        <v>1794.5</v>
      </c>
      <c r="D338" s="13">
        <v>1798.1</v>
      </c>
      <c r="E338" s="13">
        <v>1777.1</v>
      </c>
      <c r="F338" s="14" t="s">
        <v>666</v>
      </c>
      <c r="G338" s="15">
        <v>-6.1999999999999998E-3</v>
      </c>
    </row>
    <row r="339" spans="1:7" x14ac:dyDescent="0.35">
      <c r="A339" s="12" t="s">
        <v>667</v>
      </c>
      <c r="B339" s="13">
        <v>1777.8</v>
      </c>
      <c r="C339" s="13">
        <v>1784</v>
      </c>
      <c r="D339" s="13">
        <v>1796.3</v>
      </c>
      <c r="E339" s="13">
        <v>1769.5</v>
      </c>
      <c r="F339" s="14" t="s">
        <v>668</v>
      </c>
      <c r="G339" s="15">
        <v>-2.3999999999999998E-3</v>
      </c>
    </row>
    <row r="340" spans="1:7" x14ac:dyDescent="0.35">
      <c r="A340" s="12" t="s">
        <v>669</v>
      </c>
      <c r="B340" s="13">
        <v>1780.1</v>
      </c>
      <c r="C340" s="13">
        <v>1776.1</v>
      </c>
      <c r="D340" s="13">
        <v>1783.1</v>
      </c>
      <c r="E340" s="13">
        <v>1768.2</v>
      </c>
      <c r="F340" s="14" t="s">
        <v>670</v>
      </c>
      <c r="G340" s="15">
        <v>1.2999999999999999E-3</v>
      </c>
    </row>
    <row r="341" spans="1:7" x14ac:dyDescent="0.35">
      <c r="A341" s="12" t="s">
        <v>671</v>
      </c>
      <c r="B341" s="13">
        <v>1778.8</v>
      </c>
      <c r="C341" s="13">
        <v>1781.1</v>
      </c>
      <c r="D341" s="13">
        <v>1785.9</v>
      </c>
      <c r="E341" s="13">
        <v>1773.9</v>
      </c>
      <c r="F341" s="14" t="s">
        <v>672</v>
      </c>
      <c r="G341" s="15">
        <v>-6.9999999999999999E-4</v>
      </c>
    </row>
    <row r="342" spans="1:7" x14ac:dyDescent="0.35">
      <c r="A342" s="12" t="s">
        <v>673</v>
      </c>
      <c r="B342" s="13">
        <v>1773.9</v>
      </c>
      <c r="C342" s="13">
        <v>1776.4</v>
      </c>
      <c r="D342" s="13">
        <v>1782.7</v>
      </c>
      <c r="E342" s="13">
        <v>1761.8</v>
      </c>
      <c r="F342" s="14" t="s">
        <v>674</v>
      </c>
      <c r="G342" s="15">
        <v>-2.8E-3</v>
      </c>
    </row>
    <row r="343" spans="1:7" x14ac:dyDescent="0.35">
      <c r="A343" s="12" t="s">
        <v>675</v>
      </c>
      <c r="B343" s="13">
        <v>1768.3</v>
      </c>
      <c r="C343" s="13">
        <v>1781.9</v>
      </c>
      <c r="D343" s="13">
        <v>1789.9</v>
      </c>
      <c r="E343" s="13">
        <v>1754.6</v>
      </c>
      <c r="F343" s="14" t="s">
        <v>676</v>
      </c>
      <c r="G343" s="15">
        <v>-3.2000000000000002E-3</v>
      </c>
    </row>
    <row r="344" spans="1:7" x14ac:dyDescent="0.35">
      <c r="A344" s="12" t="s">
        <v>677</v>
      </c>
      <c r="B344" s="13">
        <v>1767.7</v>
      </c>
      <c r="C344" s="13">
        <v>1772.4</v>
      </c>
      <c r="D344" s="13">
        <v>1773.3</v>
      </c>
      <c r="E344" s="13">
        <v>1763.3</v>
      </c>
      <c r="F344" s="14" t="s">
        <v>678</v>
      </c>
      <c r="G344" s="15">
        <v>-2.9999999999999997E-4</v>
      </c>
    </row>
    <row r="345" spans="1:7" x14ac:dyDescent="0.35">
      <c r="A345" s="12" t="s">
        <v>679</v>
      </c>
      <c r="B345" s="13">
        <v>1791.8</v>
      </c>
      <c r="C345" s="13">
        <v>1768.1</v>
      </c>
      <c r="D345" s="13">
        <v>1798.9</v>
      </c>
      <c r="E345" s="13">
        <v>1765.6</v>
      </c>
      <c r="F345" s="14" t="s">
        <v>680</v>
      </c>
      <c r="G345" s="15">
        <v>1.3599999999999999E-2</v>
      </c>
    </row>
    <row r="346" spans="1:7" x14ac:dyDescent="0.35">
      <c r="A346" s="12" t="s">
        <v>681</v>
      </c>
      <c r="B346" s="13">
        <v>1776</v>
      </c>
      <c r="C346" s="13">
        <v>1793.2</v>
      </c>
      <c r="D346" s="13">
        <v>1799.5</v>
      </c>
      <c r="E346" s="13">
        <v>1769.2</v>
      </c>
      <c r="F346" s="14" t="s">
        <v>682</v>
      </c>
      <c r="G346" s="15">
        <v>-8.8000000000000005E-3</v>
      </c>
    </row>
    <row r="347" spans="1:7" x14ac:dyDescent="0.35">
      <c r="A347" s="12" t="s">
        <v>683</v>
      </c>
      <c r="B347" s="13">
        <v>1784.3</v>
      </c>
      <c r="C347" s="13">
        <v>1778.4</v>
      </c>
      <c r="D347" s="13">
        <v>1788.1</v>
      </c>
      <c r="E347" s="13">
        <v>1769.3</v>
      </c>
      <c r="F347" s="14" t="s">
        <v>684</v>
      </c>
      <c r="G347" s="15">
        <v>4.7000000000000002E-3</v>
      </c>
    </row>
    <row r="348" spans="1:7" x14ac:dyDescent="0.35">
      <c r="A348" s="12" t="s">
        <v>685</v>
      </c>
      <c r="B348" s="13">
        <v>1815.7</v>
      </c>
      <c r="C348" s="13">
        <v>1787</v>
      </c>
      <c r="D348" s="13">
        <v>1818.6</v>
      </c>
      <c r="E348" s="13">
        <v>1781.8</v>
      </c>
      <c r="F348" s="14" t="s">
        <v>686</v>
      </c>
      <c r="G348" s="15">
        <v>1.7600000000000001E-2</v>
      </c>
    </row>
    <row r="349" spans="1:7" x14ac:dyDescent="0.35">
      <c r="A349" s="12" t="s">
        <v>687</v>
      </c>
      <c r="B349" s="13">
        <v>1831.3</v>
      </c>
      <c r="C349" s="13">
        <v>1815.4</v>
      </c>
      <c r="D349" s="13">
        <v>1844.6</v>
      </c>
      <c r="E349" s="13">
        <v>1813.4</v>
      </c>
      <c r="F349" s="14" t="s">
        <v>688</v>
      </c>
      <c r="G349" s="15">
        <v>8.6E-3</v>
      </c>
    </row>
    <row r="350" spans="1:7" x14ac:dyDescent="0.35">
      <c r="A350" s="12" t="s">
        <v>689</v>
      </c>
      <c r="B350" s="13">
        <v>1837.6</v>
      </c>
      <c r="C350" s="13">
        <v>1835.4</v>
      </c>
      <c r="D350" s="13">
        <v>1846.3</v>
      </c>
      <c r="E350" s="13">
        <v>1830.5</v>
      </c>
      <c r="F350" s="14" t="s">
        <v>690</v>
      </c>
      <c r="G350" s="15">
        <v>3.3999999999999998E-3</v>
      </c>
    </row>
    <row r="351" spans="1:7" x14ac:dyDescent="0.35">
      <c r="A351" s="12" t="s">
        <v>691</v>
      </c>
      <c r="B351" s="13">
        <v>1836.1</v>
      </c>
      <c r="C351" s="13">
        <v>1836.2</v>
      </c>
      <c r="D351" s="13">
        <v>1842.5</v>
      </c>
      <c r="E351" s="13">
        <v>1817.8</v>
      </c>
      <c r="F351" s="14" t="s">
        <v>692</v>
      </c>
      <c r="G351" s="15">
        <v>-8.0000000000000004E-4</v>
      </c>
    </row>
    <row r="352" spans="1:7" x14ac:dyDescent="0.35">
      <c r="A352" s="12" t="s">
        <v>693</v>
      </c>
      <c r="B352" s="13">
        <v>1822.8</v>
      </c>
      <c r="C352" s="13">
        <v>1838.2</v>
      </c>
      <c r="D352" s="13">
        <v>1844.7</v>
      </c>
      <c r="E352" s="13">
        <v>1813</v>
      </c>
      <c r="F352" s="14" t="s">
        <v>694</v>
      </c>
      <c r="G352" s="15">
        <v>-7.1999999999999998E-3</v>
      </c>
    </row>
    <row r="353" spans="1:7" x14ac:dyDescent="0.35">
      <c r="A353" s="12" t="s">
        <v>695</v>
      </c>
      <c r="B353" s="13">
        <v>1824</v>
      </c>
      <c r="C353" s="13">
        <v>1816.2</v>
      </c>
      <c r="D353" s="13">
        <v>1829.1</v>
      </c>
      <c r="E353" s="13">
        <v>1808.4</v>
      </c>
      <c r="F353" s="14" t="s">
        <v>696</v>
      </c>
      <c r="G353" s="15">
        <v>6.9999999999999999E-4</v>
      </c>
    </row>
    <row r="354" spans="1:7" x14ac:dyDescent="0.35">
      <c r="A354" s="12" t="s">
        <v>697</v>
      </c>
      <c r="B354" s="13">
        <v>1838.1</v>
      </c>
      <c r="C354" s="13">
        <v>1826.4</v>
      </c>
      <c r="D354" s="13">
        <v>1847.1</v>
      </c>
      <c r="E354" s="13">
        <v>1819</v>
      </c>
      <c r="F354" s="14" t="s">
        <v>698</v>
      </c>
      <c r="G354" s="15">
        <v>7.7000000000000002E-3</v>
      </c>
    </row>
    <row r="355" spans="1:7" x14ac:dyDescent="0.35">
      <c r="A355" s="12" t="s">
        <v>699</v>
      </c>
      <c r="B355" s="13">
        <v>1867.6</v>
      </c>
      <c r="C355" s="13">
        <v>1845.9</v>
      </c>
      <c r="D355" s="13">
        <v>1869.3</v>
      </c>
      <c r="E355" s="13">
        <v>1841.1</v>
      </c>
      <c r="F355" s="14" t="s">
        <v>700</v>
      </c>
      <c r="G355" s="15">
        <v>1.6E-2</v>
      </c>
    </row>
    <row r="356" spans="1:7" x14ac:dyDescent="0.35">
      <c r="A356" s="12" t="s">
        <v>701</v>
      </c>
      <c r="B356" s="13">
        <v>1868</v>
      </c>
      <c r="C356" s="13">
        <v>1867.3</v>
      </c>
      <c r="D356" s="13">
        <v>1875.9</v>
      </c>
      <c r="E356" s="13">
        <v>1863.5</v>
      </c>
      <c r="F356" s="14" t="s">
        <v>702</v>
      </c>
      <c r="G356" s="15">
        <v>2.0000000000000001E-4</v>
      </c>
    </row>
    <row r="357" spans="1:7" x14ac:dyDescent="0.35">
      <c r="A357" s="12" t="s">
        <v>703</v>
      </c>
      <c r="B357" s="13">
        <v>1881.5</v>
      </c>
      <c r="C357" s="13">
        <v>1870.2</v>
      </c>
      <c r="D357" s="13">
        <v>1891.3</v>
      </c>
      <c r="E357" s="13">
        <v>1852.2</v>
      </c>
      <c r="F357" s="14" t="s">
        <v>704</v>
      </c>
      <c r="G357" s="15">
        <v>7.1999999999999998E-3</v>
      </c>
    </row>
    <row r="358" spans="1:7" x14ac:dyDescent="0.35">
      <c r="A358" s="12" t="s">
        <v>705</v>
      </c>
      <c r="B358" s="13">
        <v>1881.9</v>
      </c>
      <c r="C358" s="13">
        <v>1869.9</v>
      </c>
      <c r="D358" s="13">
        <v>1885.3</v>
      </c>
      <c r="E358" s="13">
        <v>1864.2</v>
      </c>
      <c r="F358" s="14" t="s">
        <v>706</v>
      </c>
      <c r="G358" s="15">
        <v>2.0000000000000001E-4</v>
      </c>
    </row>
    <row r="359" spans="1:7" x14ac:dyDescent="0.35">
      <c r="A359" s="12" t="s">
        <v>707</v>
      </c>
      <c r="B359" s="13">
        <v>1876.7</v>
      </c>
      <c r="C359" s="13">
        <v>1878.1</v>
      </c>
      <c r="D359" s="13">
        <v>1890.3</v>
      </c>
      <c r="E359" s="13">
        <v>1870.3</v>
      </c>
      <c r="F359" s="14" t="s">
        <v>708</v>
      </c>
      <c r="G359" s="15">
        <v>-2.8E-3</v>
      </c>
    </row>
    <row r="360" spans="1:7" x14ac:dyDescent="0.35">
      <c r="A360" s="12" t="s">
        <v>709</v>
      </c>
      <c r="B360" s="13">
        <v>1884.5</v>
      </c>
      <c r="C360" s="13">
        <v>1883.5</v>
      </c>
      <c r="D360" s="13">
        <v>1887.9</v>
      </c>
      <c r="E360" s="13">
        <v>1875.7</v>
      </c>
      <c r="F360" s="14" t="s">
        <v>710</v>
      </c>
      <c r="G360" s="15">
        <v>4.1999999999999997E-3</v>
      </c>
    </row>
    <row r="361" spans="1:7" x14ac:dyDescent="0.35">
      <c r="A361" s="12" t="s">
        <v>711</v>
      </c>
      <c r="B361" s="13">
        <v>1898</v>
      </c>
      <c r="C361" s="13">
        <v>1881.2</v>
      </c>
      <c r="D361" s="13">
        <v>1901.2</v>
      </c>
      <c r="E361" s="13">
        <v>1873.2</v>
      </c>
      <c r="F361" s="14" t="s">
        <v>712</v>
      </c>
      <c r="G361" s="15">
        <v>7.1999999999999998E-3</v>
      </c>
    </row>
    <row r="362" spans="1:7" x14ac:dyDescent="0.35">
      <c r="A362" s="12" t="s">
        <v>713</v>
      </c>
      <c r="B362" s="13">
        <v>1903.8</v>
      </c>
      <c r="C362" s="13">
        <v>1900</v>
      </c>
      <c r="D362" s="13">
        <v>1913.3</v>
      </c>
      <c r="E362" s="13">
        <v>1890.7</v>
      </c>
      <c r="F362" s="14" t="s">
        <v>714</v>
      </c>
      <c r="G362" s="15">
        <v>3.0999999999999999E-3</v>
      </c>
    </row>
    <row r="363" spans="1:7" x14ac:dyDescent="0.35">
      <c r="A363" s="12" t="s">
        <v>715</v>
      </c>
      <c r="B363" s="13">
        <v>1898.5</v>
      </c>
      <c r="C363" s="13">
        <v>1899.3</v>
      </c>
      <c r="D363" s="13">
        <v>1906.5</v>
      </c>
      <c r="E363" s="13">
        <v>1890.8</v>
      </c>
      <c r="F363" s="14" t="s">
        <v>716</v>
      </c>
      <c r="G363" s="15">
        <v>-2.8E-3</v>
      </c>
    </row>
    <row r="364" spans="1:7" x14ac:dyDescent="0.35">
      <c r="A364" s="12" t="s">
        <v>717</v>
      </c>
      <c r="B364" s="13">
        <v>1905.3</v>
      </c>
      <c r="C364" s="13">
        <v>1899.8</v>
      </c>
      <c r="D364" s="13">
        <v>1908.8</v>
      </c>
      <c r="E364" s="13">
        <v>1884.3</v>
      </c>
      <c r="F364" s="14" t="s">
        <v>656</v>
      </c>
      <c r="G364" s="15">
        <v>3.5999999999999999E-3</v>
      </c>
    </row>
    <row r="365" spans="1:7" x14ac:dyDescent="0.35">
      <c r="A365" s="12" t="s">
        <v>718</v>
      </c>
      <c r="B365" s="13">
        <v>1905</v>
      </c>
      <c r="C365" s="13">
        <v>1906.8</v>
      </c>
      <c r="D365" s="13">
        <v>1919.2</v>
      </c>
      <c r="E365" s="13">
        <v>1894.5</v>
      </c>
      <c r="F365" s="14" t="s">
        <v>719</v>
      </c>
      <c r="G365" s="15">
        <v>-2.0000000000000001E-4</v>
      </c>
    </row>
    <row r="366" spans="1:7" x14ac:dyDescent="0.35">
      <c r="A366" s="12" t="s">
        <v>720</v>
      </c>
      <c r="B366" s="13">
        <v>1905</v>
      </c>
      <c r="C366" s="13">
        <v>1906.8</v>
      </c>
      <c r="D366" s="13">
        <v>1919.2</v>
      </c>
      <c r="E366" s="13">
        <v>1894.5</v>
      </c>
      <c r="F366" s="14" t="s">
        <v>719</v>
      </c>
      <c r="G366" s="15">
        <v>0</v>
      </c>
    </row>
    <row r="367" spans="1:7" x14ac:dyDescent="0.35">
      <c r="A367" s="12" t="s">
        <v>721</v>
      </c>
      <c r="B367" s="13">
        <v>1909.9</v>
      </c>
      <c r="C367" s="13">
        <v>1903</v>
      </c>
      <c r="D367" s="13">
        <v>1911.8</v>
      </c>
      <c r="E367" s="13">
        <v>1896.4</v>
      </c>
      <c r="F367" s="14" t="s">
        <v>722</v>
      </c>
      <c r="G367" s="15">
        <v>2.5999999999999999E-3</v>
      </c>
    </row>
    <row r="368" spans="1:7" x14ac:dyDescent="0.35">
      <c r="A368" s="12" t="s">
        <v>723</v>
      </c>
      <c r="B368" s="13">
        <v>1873.3</v>
      </c>
      <c r="C368" s="13">
        <v>1910.5</v>
      </c>
      <c r="D368" s="13">
        <v>1912.3</v>
      </c>
      <c r="E368" s="13">
        <v>1866.7</v>
      </c>
      <c r="F368" s="14" t="s">
        <v>724</v>
      </c>
      <c r="G368" s="15">
        <v>-1.9199999999999998E-2</v>
      </c>
    </row>
    <row r="369" spans="1:7" x14ac:dyDescent="0.35">
      <c r="A369" s="12" t="s">
        <v>725</v>
      </c>
      <c r="B369" s="13">
        <v>1892</v>
      </c>
      <c r="C369" s="13">
        <v>1872.7</v>
      </c>
      <c r="D369" s="13">
        <v>1899</v>
      </c>
      <c r="E369" s="13">
        <v>1855.6</v>
      </c>
      <c r="F369" s="14" t="s">
        <v>726</v>
      </c>
      <c r="G369" s="15">
        <v>0.01</v>
      </c>
    </row>
    <row r="370" spans="1:7" x14ac:dyDescent="0.35">
      <c r="A370" s="12" t="s">
        <v>727</v>
      </c>
      <c r="B370" s="13">
        <v>1898.8</v>
      </c>
      <c r="C370" s="13">
        <v>1894.3</v>
      </c>
      <c r="D370" s="13">
        <v>1902.9</v>
      </c>
      <c r="E370" s="13">
        <v>1883.7</v>
      </c>
      <c r="F370" s="14" t="s">
        <v>728</v>
      </c>
      <c r="G370" s="15">
        <v>3.5999999999999999E-3</v>
      </c>
    </row>
    <row r="371" spans="1:7" x14ac:dyDescent="0.35">
      <c r="A371" s="12" t="s">
        <v>729</v>
      </c>
      <c r="B371" s="13">
        <v>1894.4</v>
      </c>
      <c r="C371" s="13">
        <v>1901.6</v>
      </c>
      <c r="D371" s="13">
        <v>1906.9</v>
      </c>
      <c r="E371" s="13">
        <v>1885.7</v>
      </c>
      <c r="F371" s="14" t="s">
        <v>730</v>
      </c>
      <c r="G371" s="15">
        <v>-2.3E-3</v>
      </c>
    </row>
    <row r="372" spans="1:7" x14ac:dyDescent="0.35">
      <c r="A372" s="12" t="s">
        <v>731</v>
      </c>
      <c r="B372" s="13">
        <v>1895.5</v>
      </c>
      <c r="C372" s="13">
        <v>1894.4</v>
      </c>
      <c r="D372" s="13">
        <v>1901.7</v>
      </c>
      <c r="E372" s="13">
        <v>1889.3</v>
      </c>
      <c r="F372" s="14" t="s">
        <v>732</v>
      </c>
      <c r="G372" s="15">
        <v>5.9999999999999995E-4</v>
      </c>
    </row>
    <row r="373" spans="1:7" x14ac:dyDescent="0.35">
      <c r="A373" s="12" t="s">
        <v>733</v>
      </c>
      <c r="B373" s="13">
        <v>1896.4</v>
      </c>
      <c r="C373" s="13">
        <v>1891.4</v>
      </c>
      <c r="D373" s="13">
        <v>1903</v>
      </c>
      <c r="E373" s="13">
        <v>1871.8</v>
      </c>
      <c r="F373" s="14" t="s">
        <v>734</v>
      </c>
      <c r="G373" s="15">
        <v>5.0000000000000001E-4</v>
      </c>
    </row>
    <row r="374" spans="1:7" x14ac:dyDescent="0.35">
      <c r="A374" s="12" t="s">
        <v>735</v>
      </c>
      <c r="B374" s="13">
        <v>1879.6</v>
      </c>
      <c r="C374" s="13">
        <v>1901.9</v>
      </c>
      <c r="D374" s="13">
        <v>1906.2</v>
      </c>
      <c r="E374" s="13">
        <v>1876.1</v>
      </c>
      <c r="F374" s="14" t="s">
        <v>736</v>
      </c>
      <c r="G374" s="15">
        <v>-8.8999999999999999E-3</v>
      </c>
    </row>
    <row r="375" spans="1:7" x14ac:dyDescent="0.35">
      <c r="A375" s="12" t="s">
        <v>737</v>
      </c>
      <c r="B375" s="13">
        <v>1865.9</v>
      </c>
      <c r="C375" s="13">
        <v>1879.6</v>
      </c>
      <c r="D375" s="13">
        <v>1879.7</v>
      </c>
      <c r="E375" s="13">
        <v>1845.7</v>
      </c>
      <c r="F375" s="14" t="s">
        <v>738</v>
      </c>
      <c r="G375" s="15">
        <v>-7.3000000000000001E-3</v>
      </c>
    </row>
    <row r="376" spans="1:7" x14ac:dyDescent="0.35">
      <c r="A376" s="12" t="s">
        <v>739</v>
      </c>
      <c r="B376" s="13">
        <v>1856.4</v>
      </c>
      <c r="C376" s="13">
        <v>1867.8</v>
      </c>
      <c r="D376" s="13">
        <v>1870.9</v>
      </c>
      <c r="E376" s="13">
        <v>1853</v>
      </c>
      <c r="F376" s="14" t="s">
        <v>740</v>
      </c>
      <c r="G376" s="15">
        <v>-5.1000000000000004E-3</v>
      </c>
    </row>
    <row r="377" spans="1:7" x14ac:dyDescent="0.35">
      <c r="A377" s="12" t="s">
        <v>741</v>
      </c>
      <c r="B377" s="13">
        <v>1861.4</v>
      </c>
      <c r="C377" s="13">
        <v>1861</v>
      </c>
      <c r="D377" s="13">
        <v>1866</v>
      </c>
      <c r="E377" s="13">
        <v>1804.4</v>
      </c>
      <c r="F377" s="14" t="s">
        <v>742</v>
      </c>
      <c r="G377" s="15">
        <v>2.7000000000000001E-3</v>
      </c>
    </row>
    <row r="378" spans="1:7" x14ac:dyDescent="0.35">
      <c r="A378" s="12" t="s">
        <v>743</v>
      </c>
      <c r="B378" s="13">
        <v>1774.8</v>
      </c>
      <c r="C378" s="13">
        <v>1812.3</v>
      </c>
      <c r="D378" s="13">
        <v>1826.4</v>
      </c>
      <c r="E378" s="13">
        <v>1767.9</v>
      </c>
      <c r="F378" s="14" t="s">
        <v>744</v>
      </c>
      <c r="G378" s="15">
        <v>-4.65E-2</v>
      </c>
    </row>
    <row r="379" spans="1:7" x14ac:dyDescent="0.35">
      <c r="A379" s="12" t="s">
        <v>745</v>
      </c>
      <c r="B379" s="13">
        <v>1769</v>
      </c>
      <c r="C379" s="13">
        <v>1773.9</v>
      </c>
      <c r="D379" s="13">
        <v>1797.9</v>
      </c>
      <c r="E379" s="13">
        <v>1761.2</v>
      </c>
      <c r="F379" s="14" t="s">
        <v>746</v>
      </c>
      <c r="G379" s="15">
        <v>-3.3E-3</v>
      </c>
    </row>
    <row r="380" spans="1:7" x14ac:dyDescent="0.35">
      <c r="A380" s="12" t="s">
        <v>747</v>
      </c>
      <c r="B380" s="13">
        <v>1782.9</v>
      </c>
      <c r="C380" s="13">
        <v>1764.3</v>
      </c>
      <c r="D380" s="13">
        <v>1786.9</v>
      </c>
      <c r="E380" s="13">
        <v>1764.1</v>
      </c>
      <c r="F380" s="14" t="s">
        <v>748</v>
      </c>
      <c r="G380" s="15">
        <v>7.9000000000000008E-3</v>
      </c>
    </row>
    <row r="381" spans="1:7" x14ac:dyDescent="0.35">
      <c r="A381" s="12" t="s">
        <v>749</v>
      </c>
      <c r="B381" s="13">
        <v>1777.4</v>
      </c>
      <c r="C381" s="13">
        <v>1783.2</v>
      </c>
      <c r="D381" s="13">
        <v>1790.1</v>
      </c>
      <c r="E381" s="13">
        <v>1771.2</v>
      </c>
      <c r="F381" s="14" t="s">
        <v>750</v>
      </c>
      <c r="G381" s="15">
        <v>-3.0999999999999999E-3</v>
      </c>
    </row>
    <row r="382" spans="1:7" x14ac:dyDescent="0.35">
      <c r="A382" s="12" t="s">
        <v>751</v>
      </c>
      <c r="B382" s="13">
        <v>1783.4</v>
      </c>
      <c r="C382" s="13">
        <v>1779.1</v>
      </c>
      <c r="D382" s="13">
        <v>1795.6</v>
      </c>
      <c r="E382" s="13">
        <v>1773.1</v>
      </c>
      <c r="F382" s="14" t="s">
        <v>752</v>
      </c>
      <c r="G382" s="15">
        <v>3.3999999999999998E-3</v>
      </c>
    </row>
    <row r="383" spans="1:7" x14ac:dyDescent="0.35">
      <c r="A383" s="12" t="s">
        <v>753</v>
      </c>
      <c r="B383" s="13">
        <v>1776.7</v>
      </c>
      <c r="C383" s="13">
        <v>1778.2</v>
      </c>
      <c r="D383" s="13">
        <v>1788.6</v>
      </c>
      <c r="E383" s="13">
        <v>1772.7</v>
      </c>
      <c r="F383" s="14" t="s">
        <v>754</v>
      </c>
      <c r="G383" s="15">
        <v>-3.8E-3</v>
      </c>
    </row>
    <row r="384" spans="1:7" x14ac:dyDescent="0.35">
      <c r="A384" s="12" t="s">
        <v>755</v>
      </c>
      <c r="B384" s="13">
        <v>1777.8</v>
      </c>
      <c r="C384" s="13">
        <v>1775.7</v>
      </c>
      <c r="D384" s="13">
        <v>1791</v>
      </c>
      <c r="E384" s="13">
        <v>1773.6</v>
      </c>
      <c r="F384" s="14" t="s">
        <v>756</v>
      </c>
      <c r="G384" s="15">
        <v>5.9999999999999995E-4</v>
      </c>
    </row>
    <row r="385" spans="1:7" x14ac:dyDescent="0.35">
      <c r="A385" s="12" t="s">
        <v>757</v>
      </c>
      <c r="B385" s="13">
        <v>1780.7</v>
      </c>
      <c r="C385" s="13">
        <v>1782</v>
      </c>
      <c r="D385" s="13">
        <v>1786.1</v>
      </c>
      <c r="E385" s="13">
        <v>1770.4</v>
      </c>
      <c r="F385" s="14" t="s">
        <v>758</v>
      </c>
      <c r="G385" s="15">
        <v>1.6000000000000001E-3</v>
      </c>
    </row>
    <row r="386" spans="1:7" x14ac:dyDescent="0.35">
      <c r="A386" s="12" t="s">
        <v>759</v>
      </c>
      <c r="B386" s="13">
        <v>1763.6</v>
      </c>
      <c r="C386" s="13">
        <v>1778.8</v>
      </c>
      <c r="D386" s="13">
        <v>1779.2</v>
      </c>
      <c r="E386" s="13">
        <v>1750.1</v>
      </c>
      <c r="F386" s="14" t="s">
        <v>760</v>
      </c>
      <c r="G386" s="15">
        <v>-9.5999999999999992E-3</v>
      </c>
    </row>
    <row r="387" spans="1:7" x14ac:dyDescent="0.35">
      <c r="A387" s="12" t="s">
        <v>761</v>
      </c>
      <c r="B387" s="13">
        <v>1771.6</v>
      </c>
      <c r="C387" s="13">
        <v>1761.9</v>
      </c>
      <c r="D387" s="13">
        <v>1774.7</v>
      </c>
      <c r="E387" s="13">
        <v>1753.2</v>
      </c>
      <c r="F387" s="14" t="s">
        <v>762</v>
      </c>
      <c r="G387" s="15">
        <v>4.4999999999999997E-3</v>
      </c>
    </row>
    <row r="388" spans="1:7" x14ac:dyDescent="0.35">
      <c r="A388" s="12" t="s">
        <v>763</v>
      </c>
      <c r="B388" s="13">
        <v>1776.8</v>
      </c>
      <c r="C388" s="13">
        <v>1770.8</v>
      </c>
      <c r="D388" s="13">
        <v>1783.4</v>
      </c>
      <c r="E388" s="13">
        <v>1765.9</v>
      </c>
      <c r="F388" s="14" t="s">
        <v>764</v>
      </c>
      <c r="G388" s="15">
        <v>2.8999999999999998E-3</v>
      </c>
    </row>
    <row r="389" spans="1:7" x14ac:dyDescent="0.35">
      <c r="A389" s="12" t="s">
        <v>765</v>
      </c>
      <c r="B389" s="13">
        <v>1783.3</v>
      </c>
      <c r="C389" s="13">
        <v>1777.5</v>
      </c>
      <c r="D389" s="13">
        <v>1795.9</v>
      </c>
      <c r="E389" s="13">
        <v>1774.4</v>
      </c>
      <c r="F389" s="14" t="s">
        <v>766</v>
      </c>
      <c r="G389" s="15">
        <v>3.7000000000000002E-3</v>
      </c>
    </row>
    <row r="390" spans="1:7" x14ac:dyDescent="0.35">
      <c r="A390" s="12" t="s">
        <v>767</v>
      </c>
      <c r="B390" s="13">
        <v>1794.2</v>
      </c>
      <c r="C390" s="13">
        <v>1787.5</v>
      </c>
      <c r="D390" s="13">
        <v>1815.7</v>
      </c>
      <c r="E390" s="13">
        <v>1784.7</v>
      </c>
      <c r="F390" s="14" t="s">
        <v>768</v>
      </c>
      <c r="G390" s="15">
        <v>6.1000000000000004E-3</v>
      </c>
    </row>
    <row r="391" spans="1:7" x14ac:dyDescent="0.35">
      <c r="A391" s="12" t="s">
        <v>769</v>
      </c>
      <c r="B391" s="13">
        <v>1794.2</v>
      </c>
      <c r="C391" s="13">
        <v>1787.5</v>
      </c>
      <c r="D391" s="13">
        <v>1815.7</v>
      </c>
      <c r="E391" s="13">
        <v>1784.7</v>
      </c>
      <c r="F391" s="14" t="s">
        <v>768</v>
      </c>
      <c r="G391" s="15">
        <v>0</v>
      </c>
    </row>
    <row r="392" spans="1:7" x14ac:dyDescent="0.35">
      <c r="A392" s="12" t="s">
        <v>770</v>
      </c>
      <c r="B392" s="13">
        <v>1802.1</v>
      </c>
      <c r="C392" s="13">
        <v>1797</v>
      </c>
      <c r="D392" s="13">
        <v>1810.2</v>
      </c>
      <c r="E392" s="13">
        <v>1794.1</v>
      </c>
      <c r="F392" s="14" t="s">
        <v>771</v>
      </c>
      <c r="G392" s="15">
        <v>4.4000000000000003E-3</v>
      </c>
    </row>
    <row r="393" spans="1:7" x14ac:dyDescent="0.35">
      <c r="A393" s="12" t="s">
        <v>772</v>
      </c>
      <c r="B393" s="13">
        <v>1800.2</v>
      </c>
      <c r="C393" s="13">
        <v>1803.8</v>
      </c>
      <c r="D393" s="13">
        <v>1819.5</v>
      </c>
      <c r="E393" s="13">
        <v>1793.5</v>
      </c>
      <c r="F393" s="14" t="s">
        <v>773</v>
      </c>
      <c r="G393" s="15">
        <v>-1.1000000000000001E-3</v>
      </c>
    </row>
    <row r="394" spans="1:7" x14ac:dyDescent="0.35">
      <c r="A394" s="12" t="s">
        <v>774</v>
      </c>
      <c r="B394" s="13">
        <v>1810.6</v>
      </c>
      <c r="C394" s="13">
        <v>1803.2</v>
      </c>
      <c r="D394" s="13">
        <v>1813</v>
      </c>
      <c r="E394" s="13">
        <v>1796.6</v>
      </c>
      <c r="F394" s="14" t="s">
        <v>775</v>
      </c>
      <c r="G394" s="15">
        <v>5.7999999999999996E-3</v>
      </c>
    </row>
    <row r="395" spans="1:7" x14ac:dyDescent="0.35">
      <c r="A395" s="12" t="s">
        <v>776</v>
      </c>
      <c r="B395" s="13">
        <v>1805.9</v>
      </c>
      <c r="C395" s="13">
        <v>1808.5</v>
      </c>
      <c r="D395" s="13">
        <v>1811</v>
      </c>
      <c r="E395" s="13">
        <v>1791</v>
      </c>
      <c r="F395" s="14" t="s">
        <v>777</v>
      </c>
      <c r="G395" s="15">
        <v>-2.5999999999999999E-3</v>
      </c>
    </row>
    <row r="396" spans="1:7" x14ac:dyDescent="0.35">
      <c r="A396" s="12" t="s">
        <v>778</v>
      </c>
      <c r="B396" s="13">
        <v>1809.9</v>
      </c>
      <c r="C396" s="13">
        <v>1806.7</v>
      </c>
      <c r="D396" s="13">
        <v>1818</v>
      </c>
      <c r="E396" s="13">
        <v>1798.7</v>
      </c>
      <c r="F396" s="14" t="s">
        <v>779</v>
      </c>
      <c r="G396" s="15">
        <v>2.2000000000000001E-3</v>
      </c>
    </row>
    <row r="397" spans="1:7" x14ac:dyDescent="0.35">
      <c r="A397" s="12" t="s">
        <v>780</v>
      </c>
      <c r="B397" s="13">
        <v>1825</v>
      </c>
      <c r="C397" s="13">
        <v>1808.3</v>
      </c>
      <c r="D397" s="13">
        <v>1831.1</v>
      </c>
      <c r="E397" s="13">
        <v>1804.9</v>
      </c>
      <c r="F397" s="14" t="s">
        <v>781</v>
      </c>
      <c r="G397" s="15">
        <v>8.3000000000000001E-3</v>
      </c>
    </row>
    <row r="398" spans="1:7" x14ac:dyDescent="0.35">
      <c r="A398" s="12" t="s">
        <v>782</v>
      </c>
      <c r="B398" s="13">
        <v>1829</v>
      </c>
      <c r="C398" s="13">
        <v>1828.7</v>
      </c>
      <c r="D398" s="13">
        <v>1835</v>
      </c>
      <c r="E398" s="13">
        <v>1820.6</v>
      </c>
      <c r="F398" s="14" t="s">
        <v>783</v>
      </c>
      <c r="G398" s="15">
        <v>2.2000000000000001E-3</v>
      </c>
    </row>
    <row r="399" spans="1:7" x14ac:dyDescent="0.35">
      <c r="A399" s="12" t="s">
        <v>784</v>
      </c>
      <c r="B399" s="13">
        <v>1815</v>
      </c>
      <c r="C399" s="13">
        <v>1830.7</v>
      </c>
      <c r="D399" s="13">
        <v>1832.7</v>
      </c>
      <c r="E399" s="13">
        <v>1809.5</v>
      </c>
      <c r="F399" s="14" t="s">
        <v>785</v>
      </c>
      <c r="G399" s="15">
        <v>-7.7000000000000002E-3</v>
      </c>
    </row>
    <row r="400" spans="1:7" x14ac:dyDescent="0.35">
      <c r="A400" s="12" t="s">
        <v>786</v>
      </c>
      <c r="B400" s="13">
        <v>1809.2</v>
      </c>
      <c r="C400" s="13">
        <v>1811.6</v>
      </c>
      <c r="D400" s="13">
        <v>1818</v>
      </c>
      <c r="E400" s="13">
        <v>1795</v>
      </c>
      <c r="F400" s="14" t="s">
        <v>787</v>
      </c>
      <c r="G400" s="15">
        <v>-3.2000000000000002E-3</v>
      </c>
    </row>
    <row r="401" spans="1:7" x14ac:dyDescent="0.35">
      <c r="A401" s="12" t="s">
        <v>788</v>
      </c>
      <c r="B401" s="13">
        <v>1811.4</v>
      </c>
      <c r="C401" s="13">
        <v>1813.5</v>
      </c>
      <c r="D401" s="13">
        <v>1825.9</v>
      </c>
      <c r="E401" s="13">
        <v>1805.2</v>
      </c>
      <c r="F401" s="14" t="s">
        <v>789</v>
      </c>
      <c r="G401" s="15">
        <v>1.1999999999999999E-3</v>
      </c>
    </row>
    <row r="402" spans="1:7" x14ac:dyDescent="0.35">
      <c r="A402" s="12" t="s">
        <v>790</v>
      </c>
      <c r="B402" s="13">
        <v>1803.4</v>
      </c>
      <c r="C402" s="13">
        <v>1810.6</v>
      </c>
      <c r="D402" s="13">
        <v>1814.4</v>
      </c>
      <c r="E402" s="13">
        <v>1794.3</v>
      </c>
      <c r="F402" s="14" t="s">
        <v>791</v>
      </c>
      <c r="G402" s="15">
        <v>-4.4000000000000003E-3</v>
      </c>
    </row>
    <row r="403" spans="1:7" x14ac:dyDescent="0.35">
      <c r="A403" s="12" t="s">
        <v>792</v>
      </c>
      <c r="B403" s="13">
        <v>1805.4</v>
      </c>
      <c r="C403" s="13">
        <v>1803.9</v>
      </c>
      <c r="D403" s="13">
        <v>1808.4</v>
      </c>
      <c r="E403" s="13">
        <v>1791.9</v>
      </c>
      <c r="F403" s="14" t="s">
        <v>793</v>
      </c>
      <c r="G403" s="15">
        <v>1.1000000000000001E-3</v>
      </c>
    </row>
    <row r="404" spans="1:7" x14ac:dyDescent="0.35">
      <c r="A404" s="12" t="s">
        <v>794</v>
      </c>
      <c r="B404" s="13">
        <v>1801.8</v>
      </c>
      <c r="C404" s="13">
        <v>1807.7</v>
      </c>
      <c r="D404" s="13">
        <v>1810.7</v>
      </c>
      <c r="E404" s="13">
        <v>1789.1</v>
      </c>
      <c r="F404" s="14" t="s">
        <v>795</v>
      </c>
      <c r="G404" s="15">
        <v>-2E-3</v>
      </c>
    </row>
    <row r="405" spans="1:7" x14ac:dyDescent="0.35">
      <c r="A405" s="12" t="s">
        <v>796</v>
      </c>
      <c r="B405" s="13">
        <v>1799.2</v>
      </c>
      <c r="C405" s="13">
        <v>1802.3</v>
      </c>
      <c r="D405" s="13">
        <v>1812</v>
      </c>
      <c r="E405" s="13">
        <v>1796</v>
      </c>
      <c r="F405" s="14" t="s">
        <v>797</v>
      </c>
      <c r="G405" s="15">
        <v>-1.4E-3</v>
      </c>
    </row>
    <row r="406" spans="1:7" x14ac:dyDescent="0.35">
      <c r="A406" s="12" t="s">
        <v>798</v>
      </c>
      <c r="B406" s="13">
        <v>1799.8</v>
      </c>
      <c r="C406" s="13">
        <v>1797.1</v>
      </c>
      <c r="D406" s="13">
        <v>1805.4</v>
      </c>
      <c r="E406" s="13">
        <v>1792.8</v>
      </c>
      <c r="F406" s="14" t="s">
        <v>799</v>
      </c>
      <c r="G406" s="15">
        <v>2.9999999999999997E-4</v>
      </c>
    </row>
    <row r="407" spans="1:7" x14ac:dyDescent="0.35">
      <c r="A407" s="12" t="s">
        <v>800</v>
      </c>
      <c r="B407" s="13">
        <v>1799.7</v>
      </c>
      <c r="C407" s="13">
        <v>1798.6</v>
      </c>
      <c r="D407" s="13">
        <v>1809</v>
      </c>
      <c r="E407" s="13">
        <v>1790.7</v>
      </c>
      <c r="F407" s="14" t="s">
        <v>801</v>
      </c>
      <c r="G407" s="15">
        <v>-1E-4</v>
      </c>
    </row>
    <row r="408" spans="1:7" x14ac:dyDescent="0.35">
      <c r="A408" s="12" t="s">
        <v>802</v>
      </c>
      <c r="B408" s="13">
        <v>1835.8</v>
      </c>
      <c r="C408" s="13">
        <v>1806.6</v>
      </c>
      <c r="D408" s="13">
        <v>1832.6</v>
      </c>
      <c r="E408" s="13">
        <v>1806.1</v>
      </c>
      <c r="F408" s="14" t="s">
        <v>803</v>
      </c>
      <c r="G408" s="15">
        <v>2.01E-2</v>
      </c>
    </row>
    <row r="409" spans="1:7" x14ac:dyDescent="0.35">
      <c r="A409" s="12" t="s">
        <v>804</v>
      </c>
      <c r="B409" s="13">
        <v>1817.2</v>
      </c>
      <c r="C409" s="13">
        <v>1832.5</v>
      </c>
      <c r="D409" s="13">
        <v>1835.5</v>
      </c>
      <c r="E409" s="13">
        <v>1813.1</v>
      </c>
      <c r="F409" s="14" t="s">
        <v>805</v>
      </c>
      <c r="G409" s="15">
        <v>-1.01E-2</v>
      </c>
    </row>
    <row r="410" spans="1:7" x14ac:dyDescent="0.35">
      <c r="A410" s="12" t="s">
        <v>806</v>
      </c>
      <c r="B410" s="13">
        <v>1822.2</v>
      </c>
      <c r="C410" s="13">
        <v>1817</v>
      </c>
      <c r="D410" s="13">
        <v>1823.2</v>
      </c>
      <c r="E410" s="13">
        <v>1808.2</v>
      </c>
      <c r="F410" s="14" t="s">
        <v>807</v>
      </c>
      <c r="G410" s="15">
        <v>2.8E-3</v>
      </c>
    </row>
    <row r="411" spans="1:7" x14ac:dyDescent="0.35">
      <c r="A411" s="12" t="s">
        <v>808</v>
      </c>
      <c r="B411" s="13">
        <v>1814.1</v>
      </c>
      <c r="C411" s="13">
        <v>1816.8</v>
      </c>
      <c r="D411" s="13">
        <v>1818.2</v>
      </c>
      <c r="E411" s="13">
        <v>1809.5</v>
      </c>
      <c r="F411" s="14" t="s">
        <v>809</v>
      </c>
      <c r="G411" s="15">
        <v>-4.4000000000000003E-3</v>
      </c>
    </row>
    <row r="412" spans="1:7" x14ac:dyDescent="0.35">
      <c r="A412" s="12" t="s">
        <v>810</v>
      </c>
      <c r="B412" s="13">
        <v>1814.5</v>
      </c>
      <c r="C412" s="13">
        <v>1813.7</v>
      </c>
      <c r="D412" s="13">
        <v>1835.9</v>
      </c>
      <c r="E412" s="13">
        <v>1808.3</v>
      </c>
      <c r="F412" s="14" t="s">
        <v>811</v>
      </c>
      <c r="G412" s="15">
        <v>2.0000000000000001E-4</v>
      </c>
    </row>
    <row r="413" spans="1:7" x14ac:dyDescent="0.35">
      <c r="A413" s="12" t="s">
        <v>812</v>
      </c>
      <c r="B413" s="13">
        <v>1808.9</v>
      </c>
      <c r="C413" s="13">
        <v>1814.9</v>
      </c>
      <c r="D413" s="13">
        <v>1817.9</v>
      </c>
      <c r="E413" s="13">
        <v>1799.7</v>
      </c>
      <c r="F413" s="14" t="s">
        <v>813</v>
      </c>
      <c r="G413" s="15">
        <v>-3.0999999999999999E-3</v>
      </c>
    </row>
    <row r="414" spans="1:7" x14ac:dyDescent="0.35">
      <c r="A414" s="12" t="s">
        <v>814</v>
      </c>
      <c r="B414" s="13">
        <v>1763.1</v>
      </c>
      <c r="C414" s="13">
        <v>1806.7</v>
      </c>
      <c r="D414" s="13">
        <v>1807</v>
      </c>
      <c r="E414" s="13">
        <v>1759.5</v>
      </c>
      <c r="F414" s="14" t="s">
        <v>815</v>
      </c>
      <c r="G414" s="15">
        <v>-2.53E-2</v>
      </c>
    </row>
    <row r="415" spans="1:7" x14ac:dyDescent="0.35">
      <c r="A415" s="12" t="s">
        <v>816</v>
      </c>
      <c r="B415" s="13">
        <v>1726.5</v>
      </c>
      <c r="C415" s="13">
        <v>1765</v>
      </c>
      <c r="D415" s="13">
        <v>1765.7</v>
      </c>
      <c r="E415" s="13">
        <v>1677.9</v>
      </c>
      <c r="F415" s="14" t="s">
        <v>817</v>
      </c>
      <c r="G415" s="15">
        <v>-2.0799999999999999E-2</v>
      </c>
    </row>
    <row r="416" spans="1:7" x14ac:dyDescent="0.35">
      <c r="A416" s="12" t="s">
        <v>818</v>
      </c>
      <c r="B416" s="13">
        <v>1731.7</v>
      </c>
      <c r="C416" s="13">
        <v>1732</v>
      </c>
      <c r="D416" s="13">
        <v>1739.4</v>
      </c>
      <c r="E416" s="13">
        <v>1718.5</v>
      </c>
      <c r="F416" s="14" t="s">
        <v>819</v>
      </c>
      <c r="G416" s="15">
        <v>3.0000000000000001E-3</v>
      </c>
    </row>
    <row r="417" spans="1:7" x14ac:dyDescent="0.35">
      <c r="A417" s="12" t="s">
        <v>820</v>
      </c>
      <c r="B417" s="13">
        <v>1753.3</v>
      </c>
      <c r="C417" s="13">
        <v>1730.4</v>
      </c>
      <c r="D417" s="13">
        <v>1756.7</v>
      </c>
      <c r="E417" s="13">
        <v>1724.6</v>
      </c>
      <c r="F417" s="14" t="s">
        <v>821</v>
      </c>
      <c r="G417" s="15">
        <v>1.2500000000000001E-2</v>
      </c>
    </row>
    <row r="418" spans="1:7" x14ac:dyDescent="0.35">
      <c r="A418" s="12" t="s">
        <v>822</v>
      </c>
      <c r="B418" s="13">
        <v>1751.8</v>
      </c>
      <c r="C418" s="13">
        <v>1752.9</v>
      </c>
      <c r="D418" s="13">
        <v>1759.6</v>
      </c>
      <c r="E418" s="13">
        <v>1742.6</v>
      </c>
      <c r="F418" s="14" t="s">
        <v>823</v>
      </c>
      <c r="G418" s="15">
        <v>-8.9999999999999998E-4</v>
      </c>
    </row>
    <row r="419" spans="1:7" x14ac:dyDescent="0.35">
      <c r="A419" s="12" t="s">
        <v>824</v>
      </c>
      <c r="B419" s="13">
        <v>1778.2</v>
      </c>
      <c r="C419" s="13">
        <v>1754.4</v>
      </c>
      <c r="D419" s="13">
        <v>1781.9</v>
      </c>
      <c r="E419" s="13">
        <v>1753</v>
      </c>
      <c r="F419" s="14" t="s">
        <v>825</v>
      </c>
      <c r="G419" s="15">
        <v>1.5100000000000001E-2</v>
      </c>
    </row>
    <row r="420" spans="1:7" x14ac:dyDescent="0.35">
      <c r="A420" s="12" t="s">
        <v>826</v>
      </c>
      <c r="B420" s="13">
        <v>1789.8</v>
      </c>
      <c r="C420" s="13">
        <v>1780.9</v>
      </c>
      <c r="D420" s="13">
        <v>1791.3</v>
      </c>
      <c r="E420" s="13">
        <v>1772</v>
      </c>
      <c r="F420" s="14" t="s">
        <v>827</v>
      </c>
      <c r="G420" s="15">
        <v>6.4999999999999997E-3</v>
      </c>
    </row>
    <row r="421" spans="1:7" x14ac:dyDescent="0.35">
      <c r="A421" s="12" t="s">
        <v>828</v>
      </c>
      <c r="B421" s="13">
        <v>1787.8</v>
      </c>
      <c r="C421" s="13">
        <v>1789.1</v>
      </c>
      <c r="D421" s="13">
        <v>1797.6</v>
      </c>
      <c r="E421" s="13">
        <v>1782.1</v>
      </c>
      <c r="F421" s="14" t="s">
        <v>829</v>
      </c>
      <c r="G421" s="15">
        <v>-1.1000000000000001E-3</v>
      </c>
    </row>
    <row r="422" spans="1:7" x14ac:dyDescent="0.35">
      <c r="A422" s="12" t="s">
        <v>830</v>
      </c>
      <c r="B422" s="13">
        <v>1784.4</v>
      </c>
      <c r="C422" s="13">
        <v>1787.8</v>
      </c>
      <c r="D422" s="13">
        <v>1795.7</v>
      </c>
      <c r="E422" s="13">
        <v>1778.8</v>
      </c>
      <c r="F422" s="14" t="s">
        <v>831</v>
      </c>
      <c r="G422" s="15">
        <v>-1.9E-3</v>
      </c>
    </row>
    <row r="423" spans="1:7" x14ac:dyDescent="0.35">
      <c r="A423" s="12" t="s">
        <v>832</v>
      </c>
      <c r="B423" s="13">
        <v>1783.1</v>
      </c>
      <c r="C423" s="13">
        <v>1789.5</v>
      </c>
      <c r="D423" s="13">
        <v>1795</v>
      </c>
      <c r="E423" s="13">
        <v>1774.6</v>
      </c>
      <c r="F423" s="14" t="s">
        <v>833</v>
      </c>
      <c r="G423" s="15">
        <v>-6.9999999999999999E-4</v>
      </c>
    </row>
    <row r="424" spans="1:7" x14ac:dyDescent="0.35">
      <c r="A424" s="12" t="s">
        <v>834</v>
      </c>
      <c r="B424" s="13">
        <v>1784</v>
      </c>
      <c r="C424" s="13">
        <v>1782.8</v>
      </c>
      <c r="D424" s="13">
        <v>1791</v>
      </c>
      <c r="E424" s="13">
        <v>1780</v>
      </c>
      <c r="F424" s="14" t="s">
        <v>835</v>
      </c>
      <c r="G424" s="15">
        <v>5.0000000000000001E-4</v>
      </c>
    </row>
    <row r="425" spans="1:7" x14ac:dyDescent="0.35">
      <c r="A425" s="12" t="s">
        <v>836</v>
      </c>
      <c r="B425" s="13">
        <v>1806.3</v>
      </c>
      <c r="C425" s="13">
        <v>1781.2</v>
      </c>
      <c r="D425" s="13">
        <v>1809.1</v>
      </c>
      <c r="E425" s="13">
        <v>1778</v>
      </c>
      <c r="F425" s="14" t="s">
        <v>837</v>
      </c>
      <c r="G425" s="15">
        <v>1.2500000000000001E-2</v>
      </c>
    </row>
    <row r="426" spans="1:7" x14ac:dyDescent="0.35">
      <c r="A426" s="12" t="s">
        <v>838</v>
      </c>
      <c r="B426" s="13">
        <v>1808.5</v>
      </c>
      <c r="C426" s="13">
        <v>1807.6</v>
      </c>
      <c r="D426" s="13">
        <v>1812.2</v>
      </c>
      <c r="E426" s="13">
        <v>1802.6</v>
      </c>
      <c r="F426" s="14" t="s">
        <v>839</v>
      </c>
      <c r="G426" s="15">
        <v>1.1999999999999999E-3</v>
      </c>
    </row>
    <row r="427" spans="1:7" x14ac:dyDescent="0.35">
      <c r="A427" s="12" t="s">
        <v>840</v>
      </c>
      <c r="B427" s="13">
        <v>1791</v>
      </c>
      <c r="C427" s="13">
        <v>1805.1</v>
      </c>
      <c r="D427" s="13">
        <v>1805.3</v>
      </c>
      <c r="E427" s="13">
        <v>1784</v>
      </c>
      <c r="F427" s="14" t="s">
        <v>841</v>
      </c>
      <c r="G427" s="15">
        <v>-9.7000000000000003E-3</v>
      </c>
    </row>
    <row r="428" spans="1:7" x14ac:dyDescent="0.35">
      <c r="A428" s="12" t="s">
        <v>842</v>
      </c>
      <c r="B428" s="13">
        <v>1795.2</v>
      </c>
      <c r="C428" s="13">
        <v>1793</v>
      </c>
      <c r="D428" s="13">
        <v>1800.4</v>
      </c>
      <c r="E428" s="13">
        <v>1781.3</v>
      </c>
      <c r="F428" s="14" t="s">
        <v>843</v>
      </c>
      <c r="G428" s="15">
        <v>2.3E-3</v>
      </c>
    </row>
    <row r="429" spans="1:7" x14ac:dyDescent="0.35">
      <c r="A429" s="12" t="s">
        <v>844</v>
      </c>
      <c r="B429" s="13">
        <v>1819.5</v>
      </c>
      <c r="C429" s="13">
        <v>1795.2</v>
      </c>
      <c r="D429" s="13">
        <v>1821.9</v>
      </c>
      <c r="E429" s="13">
        <v>1785.2</v>
      </c>
      <c r="F429" s="14" t="s">
        <v>845</v>
      </c>
      <c r="G429" s="15">
        <v>1.35E-2</v>
      </c>
    </row>
    <row r="430" spans="1:7" x14ac:dyDescent="0.35">
      <c r="A430" s="12" t="s">
        <v>846</v>
      </c>
      <c r="B430" s="13">
        <v>1812.2</v>
      </c>
      <c r="C430" s="13">
        <v>1821.6</v>
      </c>
      <c r="D430" s="13">
        <v>1826.5</v>
      </c>
      <c r="E430" s="13">
        <v>1810</v>
      </c>
      <c r="F430" s="14" t="s">
        <v>847</v>
      </c>
      <c r="G430" s="15">
        <v>-4.0000000000000001E-3</v>
      </c>
    </row>
    <row r="431" spans="1:7" x14ac:dyDescent="0.35">
      <c r="A431" s="12" t="s">
        <v>848</v>
      </c>
      <c r="B431" s="13">
        <v>1818.1</v>
      </c>
      <c r="C431" s="13">
        <v>1812.2</v>
      </c>
      <c r="D431" s="13">
        <v>1821.9</v>
      </c>
      <c r="E431" s="13">
        <v>1803.4</v>
      </c>
      <c r="F431" s="14" t="s">
        <v>849</v>
      </c>
      <c r="G431" s="15">
        <v>3.3E-3</v>
      </c>
    </row>
    <row r="432" spans="1:7" x14ac:dyDescent="0.35">
      <c r="A432" s="12" t="s">
        <v>850</v>
      </c>
      <c r="B432" s="13">
        <v>1816</v>
      </c>
      <c r="C432" s="13">
        <v>1816.7</v>
      </c>
      <c r="D432" s="13">
        <v>1822.7</v>
      </c>
      <c r="E432" s="13">
        <v>1810.6</v>
      </c>
      <c r="F432" s="14" t="s">
        <v>851</v>
      </c>
      <c r="G432" s="15">
        <v>-1.1999999999999999E-3</v>
      </c>
    </row>
    <row r="433" spans="1:7" x14ac:dyDescent="0.35">
      <c r="A433" s="12" t="s">
        <v>852</v>
      </c>
      <c r="B433" s="13">
        <v>1811.5</v>
      </c>
      <c r="C433" s="13">
        <v>1816.2</v>
      </c>
      <c r="D433" s="13">
        <v>1819.6</v>
      </c>
      <c r="E433" s="13">
        <v>1806.5</v>
      </c>
      <c r="F433" s="14" t="s">
        <v>853</v>
      </c>
      <c r="G433" s="15">
        <v>-2.5000000000000001E-3</v>
      </c>
    </row>
    <row r="434" spans="1:7" x14ac:dyDescent="0.35">
      <c r="A434" s="12" t="s">
        <v>854</v>
      </c>
      <c r="B434" s="13">
        <v>1833.7</v>
      </c>
      <c r="C434" s="13">
        <v>1811.5</v>
      </c>
      <c r="D434" s="13">
        <v>1836.9</v>
      </c>
      <c r="E434" s="13">
        <v>1810.9</v>
      </c>
      <c r="F434" s="14" t="s">
        <v>855</v>
      </c>
      <c r="G434" s="15">
        <v>1.23E-2</v>
      </c>
    </row>
    <row r="435" spans="1:7" x14ac:dyDescent="0.35">
      <c r="A435" s="12" t="s">
        <v>856</v>
      </c>
      <c r="B435" s="13">
        <v>1798.5</v>
      </c>
      <c r="C435" s="13">
        <v>1833.5</v>
      </c>
      <c r="D435" s="13">
        <v>1833.5</v>
      </c>
      <c r="E435" s="13">
        <v>1793.7</v>
      </c>
      <c r="F435" s="14" t="s">
        <v>857</v>
      </c>
      <c r="G435" s="15">
        <v>-1.9199999999999998E-2</v>
      </c>
    </row>
    <row r="436" spans="1:7" x14ac:dyDescent="0.35">
      <c r="A436" s="12" t="s">
        <v>858</v>
      </c>
      <c r="B436" s="13">
        <v>1798.5</v>
      </c>
      <c r="C436" s="13">
        <v>1833.5</v>
      </c>
      <c r="D436" s="13">
        <v>1833.5</v>
      </c>
      <c r="E436" s="13">
        <v>1793.7</v>
      </c>
      <c r="F436" s="14" t="s">
        <v>857</v>
      </c>
      <c r="G436" s="15">
        <v>0</v>
      </c>
    </row>
    <row r="437" spans="1:7" x14ac:dyDescent="0.35">
      <c r="A437" s="12" t="s">
        <v>859</v>
      </c>
      <c r="B437" s="13">
        <v>1793.5</v>
      </c>
      <c r="C437" s="13">
        <v>1796.1</v>
      </c>
      <c r="D437" s="13">
        <v>1804.4</v>
      </c>
      <c r="E437" s="13">
        <v>1783.1</v>
      </c>
      <c r="F437" s="14" t="s">
        <v>860</v>
      </c>
      <c r="G437" s="15">
        <v>-2.8E-3</v>
      </c>
    </row>
    <row r="438" spans="1:7" x14ac:dyDescent="0.35">
      <c r="A438" s="12" t="s">
        <v>861</v>
      </c>
      <c r="B438" s="13">
        <v>1800</v>
      </c>
      <c r="C438" s="13">
        <v>1790.9</v>
      </c>
      <c r="D438" s="13">
        <v>1803.4</v>
      </c>
      <c r="E438" s="13">
        <v>1785.1</v>
      </c>
      <c r="F438" s="14" t="s">
        <v>862</v>
      </c>
      <c r="G438" s="15">
        <v>3.5999999999999999E-3</v>
      </c>
    </row>
    <row r="439" spans="1:7" x14ac:dyDescent="0.35">
      <c r="A439" s="12" t="s">
        <v>863</v>
      </c>
      <c r="B439" s="13">
        <v>1792.1</v>
      </c>
      <c r="C439" s="13">
        <v>1796.2</v>
      </c>
      <c r="D439" s="13">
        <v>1806</v>
      </c>
      <c r="E439" s="13">
        <v>1788.2</v>
      </c>
      <c r="F439" s="14" t="s">
        <v>864</v>
      </c>
      <c r="G439" s="15">
        <v>-4.4000000000000003E-3</v>
      </c>
    </row>
    <row r="440" spans="1:7" x14ac:dyDescent="0.35">
      <c r="A440" s="12" t="s">
        <v>865</v>
      </c>
      <c r="B440" s="13">
        <v>1794.4</v>
      </c>
      <c r="C440" s="13">
        <v>1789.8</v>
      </c>
      <c r="D440" s="13">
        <v>1800.2</v>
      </c>
      <c r="E440" s="13">
        <v>1784.4</v>
      </c>
      <c r="F440" s="14" t="s">
        <v>866</v>
      </c>
      <c r="G440" s="15">
        <v>1.2999999999999999E-3</v>
      </c>
    </row>
    <row r="441" spans="1:7" x14ac:dyDescent="0.35">
      <c r="A441" s="12" t="s">
        <v>867</v>
      </c>
      <c r="B441" s="13">
        <v>1807.1</v>
      </c>
      <c r="C441" s="13">
        <v>1794.8</v>
      </c>
      <c r="D441" s="13">
        <v>1810.6</v>
      </c>
      <c r="E441" s="13">
        <v>1780.6</v>
      </c>
      <c r="F441" s="14" t="s">
        <v>868</v>
      </c>
      <c r="G441" s="15">
        <v>7.1000000000000004E-3</v>
      </c>
    </row>
    <row r="442" spans="1:7" x14ac:dyDescent="0.35">
      <c r="A442" s="12" t="s">
        <v>869</v>
      </c>
      <c r="B442" s="13">
        <v>1794.8</v>
      </c>
      <c r="C442" s="13">
        <v>1806.6</v>
      </c>
      <c r="D442" s="13">
        <v>1808.5</v>
      </c>
      <c r="E442" s="13">
        <v>1791.7</v>
      </c>
      <c r="F442" s="14" t="s">
        <v>870</v>
      </c>
      <c r="G442" s="15">
        <v>-6.7999999999999996E-3</v>
      </c>
    </row>
    <row r="443" spans="1:7" x14ac:dyDescent="0.35">
      <c r="A443" s="12" t="s">
        <v>871</v>
      </c>
      <c r="B443" s="13">
        <v>1756.7</v>
      </c>
      <c r="C443" s="13">
        <v>1795.5</v>
      </c>
      <c r="D443" s="13">
        <v>1797.3</v>
      </c>
      <c r="E443" s="13">
        <v>1745.5</v>
      </c>
      <c r="F443" s="14" t="s">
        <v>872</v>
      </c>
      <c r="G443" s="15">
        <v>-2.12E-2</v>
      </c>
    </row>
    <row r="444" spans="1:7" x14ac:dyDescent="0.35">
      <c r="A444" s="12" t="s">
        <v>873</v>
      </c>
      <c r="B444" s="13">
        <v>1751.4</v>
      </c>
      <c r="C444" s="13">
        <v>1754.6</v>
      </c>
      <c r="D444" s="13">
        <v>1767.8</v>
      </c>
      <c r="E444" s="13">
        <v>1747.1</v>
      </c>
      <c r="F444" s="14" t="s">
        <v>874</v>
      </c>
      <c r="G444" s="15">
        <v>-3.0000000000000001E-3</v>
      </c>
    </row>
    <row r="445" spans="1:7" x14ac:dyDescent="0.35">
      <c r="A445" s="12" t="s">
        <v>875</v>
      </c>
      <c r="B445" s="13">
        <v>1763.8</v>
      </c>
      <c r="C445" s="13">
        <v>1754.2</v>
      </c>
      <c r="D445" s="13">
        <v>1768.4</v>
      </c>
      <c r="E445" s="13">
        <v>1742.3</v>
      </c>
      <c r="F445" s="14" t="s">
        <v>876</v>
      </c>
      <c r="G445" s="15">
        <v>7.1000000000000004E-3</v>
      </c>
    </row>
    <row r="446" spans="1:7" x14ac:dyDescent="0.35">
      <c r="A446" s="12" t="s">
        <v>877</v>
      </c>
      <c r="B446" s="13">
        <v>1778.2</v>
      </c>
      <c r="C446" s="13">
        <v>1765.5</v>
      </c>
      <c r="D446" s="13">
        <v>1782.8</v>
      </c>
      <c r="E446" s="13">
        <v>1758.3</v>
      </c>
      <c r="F446" s="14" t="s">
        <v>878</v>
      </c>
      <c r="G446" s="15">
        <v>8.2000000000000007E-3</v>
      </c>
    </row>
    <row r="447" spans="1:7" x14ac:dyDescent="0.35">
      <c r="A447" s="12" t="s">
        <v>879</v>
      </c>
      <c r="B447" s="13">
        <v>1778.8</v>
      </c>
      <c r="C447" s="13">
        <v>1775</v>
      </c>
      <c r="D447" s="13">
        <v>1788.4</v>
      </c>
      <c r="E447" s="13">
        <v>1764.6</v>
      </c>
      <c r="F447" s="14" t="s">
        <v>880</v>
      </c>
      <c r="G447" s="15">
        <v>2.9999999999999997E-4</v>
      </c>
    </row>
    <row r="448" spans="1:7" x14ac:dyDescent="0.35">
      <c r="A448" s="12" t="s">
        <v>881</v>
      </c>
      <c r="B448" s="13">
        <v>1749.8</v>
      </c>
      <c r="C448" s="13">
        <v>1769.2</v>
      </c>
      <c r="D448" s="13">
        <v>1777.1</v>
      </c>
      <c r="E448" s="13">
        <v>1737.5</v>
      </c>
      <c r="F448" s="14" t="s">
        <v>882</v>
      </c>
      <c r="G448" s="15">
        <v>-1.6299999999999999E-2</v>
      </c>
    </row>
    <row r="449" spans="1:7" x14ac:dyDescent="0.35">
      <c r="A449" s="12" t="s">
        <v>883</v>
      </c>
      <c r="B449" s="13">
        <v>1751.7</v>
      </c>
      <c r="C449" s="13">
        <v>1743.7</v>
      </c>
      <c r="D449" s="13">
        <v>1758</v>
      </c>
      <c r="E449" s="13">
        <v>1740.2</v>
      </c>
      <c r="F449" s="14" t="s">
        <v>884</v>
      </c>
      <c r="G449" s="15">
        <v>1.1000000000000001E-3</v>
      </c>
    </row>
    <row r="450" spans="1:7" x14ac:dyDescent="0.35">
      <c r="A450" s="12" t="s">
        <v>885</v>
      </c>
      <c r="B450" s="13">
        <v>1752</v>
      </c>
      <c r="C450" s="13">
        <v>1751.8</v>
      </c>
      <c r="D450" s="13">
        <v>1760.9</v>
      </c>
      <c r="E450" s="13">
        <v>1744.7</v>
      </c>
      <c r="F450" s="14" t="s">
        <v>886</v>
      </c>
      <c r="G450" s="15">
        <v>2.0000000000000001E-4</v>
      </c>
    </row>
    <row r="451" spans="1:7" x14ac:dyDescent="0.35">
      <c r="A451" s="12" t="s">
        <v>887</v>
      </c>
      <c r="B451" s="13">
        <v>1737.5</v>
      </c>
      <c r="C451" s="13">
        <v>1750</v>
      </c>
      <c r="D451" s="13">
        <v>1754.3</v>
      </c>
      <c r="E451" s="13">
        <v>1727.8</v>
      </c>
      <c r="F451" s="14" t="s">
        <v>888</v>
      </c>
      <c r="G451" s="15">
        <v>-8.3000000000000001E-3</v>
      </c>
    </row>
    <row r="452" spans="1:7" x14ac:dyDescent="0.35">
      <c r="A452" s="12" t="s">
        <v>889</v>
      </c>
      <c r="B452" s="13">
        <v>1722.9</v>
      </c>
      <c r="C452" s="13">
        <v>1734</v>
      </c>
      <c r="D452" s="13">
        <v>1746</v>
      </c>
      <c r="E452" s="13">
        <v>1721.1</v>
      </c>
      <c r="F452" s="14" t="s">
        <v>890</v>
      </c>
      <c r="G452" s="15">
        <v>-8.3999999999999995E-3</v>
      </c>
    </row>
    <row r="453" spans="1:7" x14ac:dyDescent="0.35">
      <c r="A453" s="12" t="s">
        <v>891</v>
      </c>
      <c r="B453" s="13">
        <v>1757</v>
      </c>
      <c r="C453" s="13">
        <v>1726</v>
      </c>
      <c r="D453" s="13">
        <v>1765</v>
      </c>
      <c r="E453" s="13">
        <v>1721.8</v>
      </c>
      <c r="F453" s="14" t="s">
        <v>892</v>
      </c>
      <c r="G453" s="15">
        <v>1.9800000000000002E-2</v>
      </c>
    </row>
    <row r="454" spans="1:7" x14ac:dyDescent="0.35">
      <c r="A454" s="12" t="s">
        <v>893</v>
      </c>
      <c r="B454" s="13">
        <v>1758.4</v>
      </c>
      <c r="C454" s="13">
        <v>1757.2</v>
      </c>
      <c r="D454" s="13">
        <v>1765.2</v>
      </c>
      <c r="E454" s="13">
        <v>1749.9</v>
      </c>
      <c r="F454" s="14" t="s">
        <v>894</v>
      </c>
      <c r="G454" s="15">
        <v>8.0000000000000004E-4</v>
      </c>
    </row>
    <row r="455" spans="1:7" x14ac:dyDescent="0.35">
      <c r="A455" s="12" t="s">
        <v>895</v>
      </c>
      <c r="B455" s="13">
        <v>1767.6</v>
      </c>
      <c r="C455" s="13">
        <v>1762.6</v>
      </c>
      <c r="D455" s="13">
        <v>1771.5</v>
      </c>
      <c r="E455" s="13">
        <v>1747.7</v>
      </c>
      <c r="F455" s="14" t="s">
        <v>896</v>
      </c>
      <c r="G455" s="15">
        <v>5.1999999999999998E-3</v>
      </c>
    </row>
    <row r="456" spans="1:7" x14ac:dyDescent="0.35">
      <c r="A456" s="12" t="s">
        <v>897</v>
      </c>
      <c r="B456" s="13">
        <v>1760.9</v>
      </c>
      <c r="C456" s="13">
        <v>1770.8</v>
      </c>
      <c r="D456" s="13">
        <v>1771.1</v>
      </c>
      <c r="E456" s="13">
        <v>1748.6</v>
      </c>
      <c r="F456" s="14" t="s">
        <v>898</v>
      </c>
      <c r="G456" s="15">
        <v>-3.8E-3</v>
      </c>
    </row>
    <row r="457" spans="1:7" x14ac:dyDescent="0.35">
      <c r="A457" s="12" t="s">
        <v>899</v>
      </c>
      <c r="B457" s="13">
        <v>1761.8</v>
      </c>
      <c r="C457" s="13">
        <v>1760.5</v>
      </c>
      <c r="D457" s="13">
        <v>1765.9</v>
      </c>
      <c r="E457" s="13">
        <v>1745.4</v>
      </c>
      <c r="F457" s="14" t="s">
        <v>900</v>
      </c>
      <c r="G457" s="15">
        <v>5.0000000000000001E-4</v>
      </c>
    </row>
    <row r="458" spans="1:7" x14ac:dyDescent="0.35">
      <c r="A458" s="12" t="s">
        <v>901</v>
      </c>
      <c r="B458" s="13">
        <v>1759.2</v>
      </c>
      <c r="C458" s="13">
        <v>1763.8</v>
      </c>
      <c r="D458" s="13">
        <v>1767.7</v>
      </c>
      <c r="E458" s="13">
        <v>1752</v>
      </c>
      <c r="F458" s="14" t="s">
        <v>902</v>
      </c>
      <c r="G458" s="15">
        <v>-1.5E-3</v>
      </c>
    </row>
    <row r="459" spans="1:7" x14ac:dyDescent="0.35">
      <c r="A459" s="12" t="s">
        <v>903</v>
      </c>
      <c r="B459" s="13">
        <v>1757.4</v>
      </c>
      <c r="C459" s="13">
        <v>1757</v>
      </c>
      <c r="D459" s="13">
        <v>1782.4</v>
      </c>
      <c r="E459" s="13">
        <v>1753.6</v>
      </c>
      <c r="F459" s="14" t="s">
        <v>904</v>
      </c>
      <c r="G459" s="15">
        <v>-1E-3</v>
      </c>
    </row>
    <row r="460" spans="1:7" x14ac:dyDescent="0.35">
      <c r="A460" s="12" t="s">
        <v>905</v>
      </c>
      <c r="B460" s="13">
        <v>1755.7</v>
      </c>
      <c r="C460" s="13">
        <v>1757.4</v>
      </c>
      <c r="D460" s="13">
        <v>1761.1</v>
      </c>
      <c r="E460" s="13">
        <v>1749.9</v>
      </c>
      <c r="F460" s="14" t="s">
        <v>906</v>
      </c>
      <c r="G460" s="15">
        <v>-1E-3</v>
      </c>
    </row>
    <row r="461" spans="1:7" x14ac:dyDescent="0.35">
      <c r="A461" s="12" t="s">
        <v>907</v>
      </c>
      <c r="B461" s="13">
        <v>1759.3</v>
      </c>
      <c r="C461" s="13">
        <v>1753.6</v>
      </c>
      <c r="D461" s="13">
        <v>1770</v>
      </c>
      <c r="E461" s="13">
        <v>1750.5</v>
      </c>
      <c r="F461" s="14" t="s">
        <v>908</v>
      </c>
      <c r="G461" s="15">
        <v>2.0999999999999999E-3</v>
      </c>
    </row>
    <row r="462" spans="1:7" x14ac:dyDescent="0.35">
      <c r="A462" s="12" t="s">
        <v>909</v>
      </c>
      <c r="B462" s="13">
        <v>1794.7</v>
      </c>
      <c r="C462" s="13">
        <v>1760.4</v>
      </c>
      <c r="D462" s="13">
        <v>1797.4</v>
      </c>
      <c r="E462" s="13">
        <v>1757.9</v>
      </c>
      <c r="F462" s="14" t="s">
        <v>910</v>
      </c>
      <c r="G462" s="15">
        <v>2.01E-2</v>
      </c>
    </row>
    <row r="463" spans="1:7" x14ac:dyDescent="0.35">
      <c r="A463" s="12" t="s">
        <v>911</v>
      </c>
      <c r="B463" s="13">
        <v>1797.9</v>
      </c>
      <c r="C463" s="13">
        <v>1793.6</v>
      </c>
      <c r="D463" s="13">
        <v>1801.9</v>
      </c>
      <c r="E463" s="13">
        <v>1787.6</v>
      </c>
      <c r="F463" s="14" t="s">
        <v>912</v>
      </c>
      <c r="G463" s="15">
        <v>1.8E-3</v>
      </c>
    </row>
    <row r="464" spans="1:7" x14ac:dyDescent="0.35">
      <c r="A464" s="12" t="s">
        <v>913</v>
      </c>
      <c r="B464" s="13">
        <v>1768.3</v>
      </c>
      <c r="C464" s="13">
        <v>1797.3</v>
      </c>
      <c r="D464" s="13">
        <v>1797.7</v>
      </c>
      <c r="E464" s="13">
        <v>1765.1</v>
      </c>
      <c r="F464" s="14" t="s">
        <v>914</v>
      </c>
      <c r="G464" s="15">
        <v>-1.6500000000000001E-2</v>
      </c>
    </row>
    <row r="465" spans="1:7" x14ac:dyDescent="0.35">
      <c r="A465" s="12" t="s">
        <v>915</v>
      </c>
      <c r="B465" s="13">
        <v>1765.7</v>
      </c>
      <c r="C465" s="13">
        <v>1767.5</v>
      </c>
      <c r="D465" s="13">
        <v>1772.5</v>
      </c>
      <c r="E465" s="13">
        <v>1760.3</v>
      </c>
      <c r="F465" s="14" t="s">
        <v>916</v>
      </c>
      <c r="G465" s="15">
        <v>-1.5E-3</v>
      </c>
    </row>
    <row r="466" spans="1:7" x14ac:dyDescent="0.35">
      <c r="A466" s="12" t="s">
        <v>917</v>
      </c>
      <c r="B466" s="13">
        <v>1770.5</v>
      </c>
      <c r="C466" s="13">
        <v>1764.8</v>
      </c>
      <c r="D466" s="13">
        <v>1786</v>
      </c>
      <c r="E466" s="13">
        <v>1763.4</v>
      </c>
      <c r="F466" s="14" t="s">
        <v>918</v>
      </c>
      <c r="G466" s="15">
        <v>2.7000000000000001E-3</v>
      </c>
    </row>
    <row r="467" spans="1:7" x14ac:dyDescent="0.35">
      <c r="A467" s="12" t="s">
        <v>919</v>
      </c>
      <c r="B467" s="13">
        <v>1784.9</v>
      </c>
      <c r="C467" s="13">
        <v>1769.4</v>
      </c>
      <c r="D467" s="13">
        <v>1789.6</v>
      </c>
      <c r="E467" s="13">
        <v>1767.1</v>
      </c>
      <c r="F467" s="14" t="s">
        <v>920</v>
      </c>
      <c r="G467" s="15">
        <v>8.0999999999999996E-3</v>
      </c>
    </row>
    <row r="468" spans="1:7" x14ac:dyDescent="0.35">
      <c r="A468" s="12" t="s">
        <v>921</v>
      </c>
      <c r="B468" s="13">
        <v>1781.9</v>
      </c>
      <c r="C468" s="13">
        <v>1782.5</v>
      </c>
      <c r="D468" s="13">
        <v>1790.3</v>
      </c>
      <c r="E468" s="13">
        <v>1776.8</v>
      </c>
      <c r="F468" s="14" t="s">
        <v>922</v>
      </c>
      <c r="G468" s="15">
        <v>-1.6999999999999999E-3</v>
      </c>
    </row>
    <row r="469" spans="1:7" x14ac:dyDescent="0.35">
      <c r="A469" s="12" t="s">
        <v>923</v>
      </c>
      <c r="B469" s="13">
        <v>1796.3</v>
      </c>
      <c r="C469" s="13">
        <v>1783.7</v>
      </c>
      <c r="D469" s="13">
        <v>1815.5</v>
      </c>
      <c r="E469" s="13">
        <v>1783.4</v>
      </c>
      <c r="F469" s="14" t="s">
        <v>924</v>
      </c>
      <c r="G469" s="15">
        <v>8.0999999999999996E-3</v>
      </c>
    </row>
    <row r="470" spans="1:7" x14ac:dyDescent="0.35">
      <c r="A470" s="12" t="s">
        <v>925</v>
      </c>
      <c r="B470" s="13">
        <v>1806.8</v>
      </c>
      <c r="C470" s="13">
        <v>1794.2</v>
      </c>
      <c r="D470" s="13">
        <v>1811.5</v>
      </c>
      <c r="E470" s="13">
        <v>1793</v>
      </c>
      <c r="F470" s="14" t="s">
        <v>926</v>
      </c>
      <c r="G470" s="15">
        <v>5.7999999999999996E-3</v>
      </c>
    </row>
    <row r="471" spans="1:7" x14ac:dyDescent="0.35">
      <c r="A471" s="12" t="s">
        <v>927</v>
      </c>
      <c r="B471" s="13">
        <v>1793.4</v>
      </c>
      <c r="C471" s="13">
        <v>1808.7</v>
      </c>
      <c r="D471" s="13">
        <v>1809.8</v>
      </c>
      <c r="E471" s="13">
        <v>1783</v>
      </c>
      <c r="F471" s="14" t="s">
        <v>928</v>
      </c>
      <c r="G471" s="15">
        <v>-7.4000000000000003E-3</v>
      </c>
    </row>
    <row r="472" spans="1:7" x14ac:dyDescent="0.35">
      <c r="A472" s="12" t="s">
        <v>929</v>
      </c>
      <c r="B472" s="13">
        <v>1798.8</v>
      </c>
      <c r="C472" s="13">
        <v>1795</v>
      </c>
      <c r="D472" s="13">
        <v>1801</v>
      </c>
      <c r="E472" s="13">
        <v>1784.3</v>
      </c>
      <c r="F472" s="14" t="s">
        <v>930</v>
      </c>
      <c r="G472" s="15">
        <v>3.0000000000000001E-3</v>
      </c>
    </row>
    <row r="473" spans="1:7" x14ac:dyDescent="0.35">
      <c r="A473" s="12" t="s">
        <v>931</v>
      </c>
      <c r="B473" s="13">
        <v>1802.6</v>
      </c>
      <c r="C473" s="13">
        <v>1798.7</v>
      </c>
      <c r="D473" s="13">
        <v>1812.7</v>
      </c>
      <c r="E473" s="13">
        <v>1793.1</v>
      </c>
      <c r="F473" s="14" t="s">
        <v>932</v>
      </c>
      <c r="G473" s="15">
        <v>2.0999999999999999E-3</v>
      </c>
    </row>
    <row r="474" spans="1:7" x14ac:dyDescent="0.35">
      <c r="A474" s="12" t="s">
        <v>933</v>
      </c>
      <c r="B474" s="13">
        <v>1783.9</v>
      </c>
      <c r="C474" s="13">
        <v>1801.5</v>
      </c>
      <c r="D474" s="13">
        <v>1802.9</v>
      </c>
      <c r="E474" s="13">
        <v>1772.4</v>
      </c>
      <c r="F474" s="14" t="s">
        <v>934</v>
      </c>
      <c r="G474" s="15">
        <v>-1.04E-2</v>
      </c>
    </row>
    <row r="475" spans="1:7" x14ac:dyDescent="0.35">
      <c r="A475" s="12" t="s">
        <v>935</v>
      </c>
      <c r="B475" s="13">
        <v>1795.8</v>
      </c>
      <c r="C475" s="13">
        <v>1785.3</v>
      </c>
      <c r="D475" s="13">
        <v>1797.5</v>
      </c>
      <c r="E475" s="13">
        <v>1780.2</v>
      </c>
      <c r="F475" s="14" t="s">
        <v>936</v>
      </c>
      <c r="G475" s="15">
        <v>6.7000000000000002E-3</v>
      </c>
    </row>
    <row r="476" spans="1:7" x14ac:dyDescent="0.35">
      <c r="A476" s="12" t="s">
        <v>937</v>
      </c>
      <c r="B476" s="13">
        <v>1789.4</v>
      </c>
      <c r="C476" s="13">
        <v>1794.8</v>
      </c>
      <c r="D476" s="13">
        <v>1797.8</v>
      </c>
      <c r="E476" s="13">
        <v>1787.4</v>
      </c>
      <c r="F476" s="14" t="s">
        <v>938</v>
      </c>
      <c r="G476" s="15">
        <v>-3.5999999999999999E-3</v>
      </c>
    </row>
    <row r="477" spans="1:7" x14ac:dyDescent="0.35">
      <c r="A477" s="12" t="s">
        <v>939</v>
      </c>
      <c r="B477" s="13">
        <v>1763.9</v>
      </c>
      <c r="C477" s="13">
        <v>1789.2</v>
      </c>
      <c r="D477" s="13">
        <v>1789.3</v>
      </c>
      <c r="E477" s="13">
        <v>1758.5</v>
      </c>
      <c r="F477" s="14" t="s">
        <v>940</v>
      </c>
      <c r="G477" s="15">
        <v>-1.43E-2</v>
      </c>
    </row>
    <row r="478" spans="1:7" x14ac:dyDescent="0.35">
      <c r="A478" s="12" t="s">
        <v>941</v>
      </c>
      <c r="B478" s="13">
        <v>1793.5</v>
      </c>
      <c r="C478" s="13">
        <v>1769.9</v>
      </c>
      <c r="D478" s="13">
        <v>1800.3</v>
      </c>
      <c r="E478" s="13">
        <v>1769.3</v>
      </c>
      <c r="F478" s="14" t="s">
        <v>942</v>
      </c>
      <c r="G478" s="15">
        <v>1.6799999999999999E-2</v>
      </c>
    </row>
    <row r="479" spans="1:7" x14ac:dyDescent="0.35">
      <c r="A479" s="12" t="s">
        <v>943</v>
      </c>
      <c r="B479" s="13">
        <v>1816.8</v>
      </c>
      <c r="C479" s="13">
        <v>1792.6</v>
      </c>
      <c r="D479" s="13">
        <v>1820.1</v>
      </c>
      <c r="E479" s="13">
        <v>1785.3</v>
      </c>
      <c r="F479" s="14" t="s">
        <v>944</v>
      </c>
      <c r="G479" s="15">
        <v>1.2999999999999999E-2</v>
      </c>
    </row>
    <row r="480" spans="1:7" x14ac:dyDescent="0.35">
      <c r="A480" s="12" t="s">
        <v>945</v>
      </c>
      <c r="B480" s="13">
        <v>1828</v>
      </c>
      <c r="C480" s="13">
        <v>1820.6</v>
      </c>
      <c r="D480" s="13">
        <v>1828.3</v>
      </c>
      <c r="E480" s="13">
        <v>1813.8</v>
      </c>
      <c r="F480" s="14" t="s">
        <v>946</v>
      </c>
      <c r="G480" s="15">
        <v>6.1999999999999998E-3</v>
      </c>
    </row>
    <row r="481" spans="1:7" x14ac:dyDescent="0.35">
      <c r="A481" s="12" t="s">
        <v>947</v>
      </c>
      <c r="B481" s="13">
        <v>1830.8</v>
      </c>
      <c r="C481" s="13">
        <v>1826.9</v>
      </c>
      <c r="D481" s="13">
        <v>1834.8</v>
      </c>
      <c r="E481" s="13">
        <v>1821</v>
      </c>
      <c r="F481" s="14" t="s">
        <v>948</v>
      </c>
      <c r="G481" s="15">
        <v>1.5E-3</v>
      </c>
    </row>
    <row r="482" spans="1:7" x14ac:dyDescent="0.35">
      <c r="A482" s="12" t="s">
        <v>949</v>
      </c>
      <c r="B482" s="13">
        <v>1848.3</v>
      </c>
      <c r="C482" s="13">
        <v>1834.5</v>
      </c>
      <c r="D482" s="13">
        <v>1870.6</v>
      </c>
      <c r="E482" s="13">
        <v>1823</v>
      </c>
      <c r="F482" s="14" t="s">
        <v>950</v>
      </c>
      <c r="G482" s="15">
        <v>9.5999999999999992E-3</v>
      </c>
    </row>
    <row r="483" spans="1:7" x14ac:dyDescent="0.35">
      <c r="A483" s="12" t="s">
        <v>951</v>
      </c>
      <c r="B483" s="13">
        <v>1863.9</v>
      </c>
      <c r="C483" s="13">
        <v>1851.5</v>
      </c>
      <c r="D483" s="13">
        <v>1868.7</v>
      </c>
      <c r="E483" s="13">
        <v>1845.1</v>
      </c>
      <c r="F483" s="14" t="s">
        <v>952</v>
      </c>
      <c r="G483" s="15">
        <v>8.3999999999999995E-3</v>
      </c>
    </row>
    <row r="484" spans="1:7" x14ac:dyDescent="0.35">
      <c r="A484" s="12" t="s">
        <v>953</v>
      </c>
      <c r="B484" s="13">
        <v>1868.5</v>
      </c>
      <c r="C484" s="13">
        <v>1864.3</v>
      </c>
      <c r="D484" s="13">
        <v>1871.4</v>
      </c>
      <c r="E484" s="13">
        <v>1847.5</v>
      </c>
      <c r="F484" s="14" t="s">
        <v>954</v>
      </c>
      <c r="G484" s="15">
        <v>2.5000000000000001E-3</v>
      </c>
    </row>
    <row r="485" spans="1:7" x14ac:dyDescent="0.35">
      <c r="A485" s="12" t="s">
        <v>955</v>
      </c>
      <c r="B485" s="13">
        <v>1866.6</v>
      </c>
      <c r="C485" s="13">
        <v>1872.6</v>
      </c>
      <c r="D485" s="13">
        <v>1873</v>
      </c>
      <c r="E485" s="13">
        <v>1858.5</v>
      </c>
      <c r="F485" s="14" t="s">
        <v>956</v>
      </c>
      <c r="G485" s="15">
        <v>-1E-3</v>
      </c>
    </row>
    <row r="486" spans="1:7" x14ac:dyDescent="0.35">
      <c r="A486" s="12" t="s">
        <v>957</v>
      </c>
      <c r="B486" s="13">
        <v>1854.1</v>
      </c>
      <c r="C486" s="13">
        <v>1864.9</v>
      </c>
      <c r="D486" s="13">
        <v>1879.5</v>
      </c>
      <c r="E486" s="13">
        <v>1851</v>
      </c>
      <c r="F486" s="14" t="s">
        <v>958</v>
      </c>
      <c r="G486" s="15">
        <v>-6.7000000000000002E-3</v>
      </c>
    </row>
    <row r="487" spans="1:7" x14ac:dyDescent="0.35">
      <c r="A487" s="12" t="s">
        <v>959</v>
      </c>
      <c r="B487" s="13">
        <v>1870.2</v>
      </c>
      <c r="C487" s="13">
        <v>1851.6</v>
      </c>
      <c r="D487" s="13">
        <v>1870.6</v>
      </c>
      <c r="E487" s="13">
        <v>1851.1</v>
      </c>
      <c r="F487" s="14" t="s">
        <v>960</v>
      </c>
      <c r="G487" s="15">
        <v>8.6999999999999994E-3</v>
      </c>
    </row>
    <row r="488" spans="1:7" x14ac:dyDescent="0.35">
      <c r="A488" s="12" t="s">
        <v>961</v>
      </c>
      <c r="B488" s="13">
        <v>1861.4</v>
      </c>
      <c r="C488" s="13">
        <v>1869.5</v>
      </c>
      <c r="D488" s="13">
        <v>1873.3</v>
      </c>
      <c r="E488" s="13">
        <v>1856.6</v>
      </c>
      <c r="F488" s="14" t="s">
        <v>962</v>
      </c>
      <c r="G488" s="15">
        <v>-4.7000000000000002E-3</v>
      </c>
    </row>
    <row r="489" spans="1:7" x14ac:dyDescent="0.35">
      <c r="A489" s="12" t="s">
        <v>963</v>
      </c>
      <c r="B489" s="13">
        <v>1851.6</v>
      </c>
      <c r="C489" s="13">
        <v>1860.8</v>
      </c>
      <c r="D489" s="13">
        <v>1868.1</v>
      </c>
      <c r="E489" s="13">
        <v>1844.2</v>
      </c>
      <c r="F489" s="14" t="s">
        <v>964</v>
      </c>
      <c r="G489" s="15">
        <v>-5.3E-3</v>
      </c>
    </row>
    <row r="490" spans="1:7" x14ac:dyDescent="0.35">
      <c r="A490" s="12" t="s">
        <v>965</v>
      </c>
      <c r="B490" s="13">
        <v>1806.3</v>
      </c>
      <c r="C490" s="13">
        <v>1848.3</v>
      </c>
      <c r="D490" s="13">
        <v>1850.4</v>
      </c>
      <c r="E490" s="13">
        <v>1802.4</v>
      </c>
      <c r="F490" s="14" t="s">
        <v>966</v>
      </c>
      <c r="G490" s="15">
        <v>-2.4500000000000001E-2</v>
      </c>
    </row>
    <row r="491" spans="1:7" x14ac:dyDescent="0.35">
      <c r="A491" s="12" t="s">
        <v>967</v>
      </c>
      <c r="B491" s="13">
        <v>1783.8</v>
      </c>
      <c r="C491" s="13">
        <v>1807.1</v>
      </c>
      <c r="D491" s="13">
        <v>1812.5</v>
      </c>
      <c r="E491" s="13">
        <v>1781.7</v>
      </c>
      <c r="F491" s="14" t="s">
        <v>968</v>
      </c>
      <c r="G491" s="15">
        <v>-1.2500000000000001E-2</v>
      </c>
    </row>
    <row r="492" spans="1:7" x14ac:dyDescent="0.35">
      <c r="A492" s="12" t="s">
        <v>969</v>
      </c>
      <c r="B492" s="13">
        <v>1784.3</v>
      </c>
      <c r="C492" s="13">
        <v>1789.8</v>
      </c>
      <c r="D492" s="13">
        <v>1796.2</v>
      </c>
      <c r="E492" s="13">
        <v>1777.4</v>
      </c>
      <c r="F492" s="14" t="s">
        <v>970</v>
      </c>
      <c r="G492" s="15">
        <v>2.9999999999999997E-4</v>
      </c>
    </row>
    <row r="493" spans="1:7" x14ac:dyDescent="0.35">
      <c r="A493" s="12" t="s">
        <v>971</v>
      </c>
      <c r="B493" s="13">
        <v>1785.5</v>
      </c>
      <c r="C493" s="13">
        <v>1789.6</v>
      </c>
      <c r="D493" s="13">
        <v>1816.3</v>
      </c>
      <c r="E493" s="13">
        <v>1778.6</v>
      </c>
      <c r="F493" s="14" t="s">
        <v>972</v>
      </c>
      <c r="G493" s="15">
        <v>6.9999999999999999E-4</v>
      </c>
    </row>
    <row r="494" spans="1:7" x14ac:dyDescent="0.35">
      <c r="A494" s="12" t="s">
        <v>973</v>
      </c>
      <c r="B494" s="13">
        <v>1785.5</v>
      </c>
      <c r="C494" s="13">
        <v>1789.6</v>
      </c>
      <c r="D494" s="13">
        <v>1816.3</v>
      </c>
      <c r="E494" s="13">
        <v>1778.6</v>
      </c>
      <c r="F494" s="14" t="s">
        <v>972</v>
      </c>
      <c r="G494" s="15">
        <v>0</v>
      </c>
    </row>
    <row r="495" spans="1:7" x14ac:dyDescent="0.35">
      <c r="A495" s="12" t="s">
        <v>974</v>
      </c>
      <c r="B495" s="13">
        <v>1785.2</v>
      </c>
      <c r="C495" s="13">
        <v>1791.7</v>
      </c>
      <c r="D495" s="13">
        <v>1798.9</v>
      </c>
      <c r="E495" s="13">
        <v>1779.1</v>
      </c>
      <c r="F495" s="14" t="s">
        <v>975</v>
      </c>
      <c r="G495" s="15">
        <v>-2.0000000000000001E-4</v>
      </c>
    </row>
    <row r="496" spans="1:7" x14ac:dyDescent="0.35">
      <c r="A496" s="12" t="s">
        <v>976</v>
      </c>
      <c r="B496" s="13">
        <v>1776.5</v>
      </c>
      <c r="C496" s="13">
        <v>1786.9</v>
      </c>
      <c r="D496" s="13">
        <v>1811.4</v>
      </c>
      <c r="E496" s="13">
        <v>1771.2</v>
      </c>
      <c r="F496" s="14" t="s">
        <v>977</v>
      </c>
      <c r="G496" s="15">
        <v>-4.8999999999999998E-3</v>
      </c>
    </row>
    <row r="497" spans="1:7" x14ac:dyDescent="0.35">
      <c r="A497" s="12" t="s">
        <v>978</v>
      </c>
      <c r="B497" s="13">
        <v>1784.3</v>
      </c>
      <c r="C497" s="13">
        <v>1777.4</v>
      </c>
      <c r="D497" s="13">
        <v>1795.7</v>
      </c>
      <c r="E497" s="13">
        <v>1773.7</v>
      </c>
      <c r="F497" s="14" t="s">
        <v>979</v>
      </c>
      <c r="G497" s="15">
        <v>4.4000000000000003E-3</v>
      </c>
    </row>
    <row r="498" spans="1:7" x14ac:dyDescent="0.35">
      <c r="A498" s="12" t="s">
        <v>980</v>
      </c>
      <c r="B498" s="13">
        <v>1762.7</v>
      </c>
      <c r="C498" s="13">
        <v>1783.8</v>
      </c>
      <c r="D498" s="13">
        <v>1785.2</v>
      </c>
      <c r="E498" s="13">
        <v>1762.2</v>
      </c>
      <c r="F498" s="14" t="s">
        <v>981</v>
      </c>
      <c r="G498" s="15">
        <v>-1.21E-2</v>
      </c>
    </row>
    <row r="499" spans="1:7" x14ac:dyDescent="0.35">
      <c r="A499" s="12" t="s">
        <v>982</v>
      </c>
      <c r="B499" s="13">
        <v>1783.9</v>
      </c>
      <c r="C499" s="13">
        <v>1769.4</v>
      </c>
      <c r="D499" s="13">
        <v>1788</v>
      </c>
      <c r="E499" s="13">
        <v>1766</v>
      </c>
      <c r="F499" s="14" t="s">
        <v>983</v>
      </c>
      <c r="G499" s="15">
        <v>1.2E-2</v>
      </c>
    </row>
    <row r="500" spans="1:7" x14ac:dyDescent="0.35">
      <c r="A500" s="12" t="s">
        <v>984</v>
      </c>
      <c r="B500" s="13">
        <v>1779.5</v>
      </c>
      <c r="C500" s="13">
        <v>1787.7</v>
      </c>
      <c r="D500" s="13">
        <v>1789</v>
      </c>
      <c r="E500" s="13">
        <v>1776.4</v>
      </c>
      <c r="F500" s="14" t="s">
        <v>985</v>
      </c>
      <c r="G500" s="15">
        <v>-2.5000000000000001E-3</v>
      </c>
    </row>
    <row r="501" spans="1:7" x14ac:dyDescent="0.35">
      <c r="A501" s="12" t="s">
        <v>986</v>
      </c>
      <c r="B501" s="13">
        <v>1784.7</v>
      </c>
      <c r="C501" s="13">
        <v>1779.5</v>
      </c>
      <c r="D501" s="13">
        <v>1789.3</v>
      </c>
      <c r="E501" s="13">
        <v>1772.4</v>
      </c>
      <c r="F501" s="14" t="s">
        <v>987</v>
      </c>
      <c r="G501" s="15">
        <v>2.8999999999999998E-3</v>
      </c>
    </row>
    <row r="502" spans="1:7" x14ac:dyDescent="0.35">
      <c r="A502" s="12" t="s">
        <v>988</v>
      </c>
      <c r="B502" s="13">
        <v>1785.5</v>
      </c>
      <c r="C502" s="13">
        <v>1785.1</v>
      </c>
      <c r="D502" s="13">
        <v>1794.3</v>
      </c>
      <c r="E502" s="13">
        <v>1780.1</v>
      </c>
      <c r="F502" s="14" t="s">
        <v>989</v>
      </c>
      <c r="G502" s="15">
        <v>4.0000000000000002E-4</v>
      </c>
    </row>
    <row r="503" spans="1:7" x14ac:dyDescent="0.35">
      <c r="A503" s="12" t="s">
        <v>990</v>
      </c>
      <c r="B503" s="13">
        <v>1776.7</v>
      </c>
      <c r="C503" s="13">
        <v>1784.3</v>
      </c>
      <c r="D503" s="13">
        <v>1788.4</v>
      </c>
      <c r="E503" s="13">
        <v>1773.3</v>
      </c>
      <c r="F503" s="14" t="s">
        <v>991</v>
      </c>
      <c r="G503" s="15">
        <v>-4.8999999999999998E-3</v>
      </c>
    </row>
    <row r="504" spans="1:7" x14ac:dyDescent="0.35">
      <c r="A504" s="12" t="s">
        <v>992</v>
      </c>
      <c r="B504" s="13">
        <v>1784.8</v>
      </c>
      <c r="C504" s="13">
        <v>1776.3</v>
      </c>
      <c r="D504" s="13">
        <v>1791</v>
      </c>
      <c r="E504" s="13">
        <v>1770.4</v>
      </c>
      <c r="F504" s="14" t="s">
        <v>993</v>
      </c>
      <c r="G504" s="15">
        <v>4.5999999999999999E-3</v>
      </c>
    </row>
    <row r="505" spans="1:7" x14ac:dyDescent="0.35">
      <c r="A505" s="12" t="s">
        <v>994</v>
      </c>
      <c r="B505" s="13">
        <v>1788.3</v>
      </c>
      <c r="C505" s="13">
        <v>1784.2</v>
      </c>
      <c r="D505" s="13">
        <v>1792.8</v>
      </c>
      <c r="E505" s="13">
        <v>1782.2</v>
      </c>
      <c r="F505" s="14" t="s">
        <v>995</v>
      </c>
      <c r="G505" s="15">
        <v>2E-3</v>
      </c>
    </row>
    <row r="506" spans="1:7" x14ac:dyDescent="0.35">
      <c r="A506" s="12" t="s">
        <v>996</v>
      </c>
      <c r="B506" s="13">
        <v>1772.3</v>
      </c>
      <c r="C506" s="13">
        <v>1787.6</v>
      </c>
      <c r="D506" s="13">
        <v>1789.8</v>
      </c>
      <c r="E506" s="13">
        <v>1766.1</v>
      </c>
      <c r="F506" s="14" t="s">
        <v>997</v>
      </c>
      <c r="G506" s="15">
        <v>-8.8999999999999999E-3</v>
      </c>
    </row>
    <row r="507" spans="1:7" x14ac:dyDescent="0.35">
      <c r="A507" s="12" t="s">
        <v>998</v>
      </c>
      <c r="B507" s="13">
        <v>1764.5</v>
      </c>
      <c r="C507" s="13">
        <v>1771.9</v>
      </c>
      <c r="D507" s="13">
        <v>1781.3</v>
      </c>
      <c r="E507" s="13">
        <v>1753</v>
      </c>
      <c r="F507" s="14" t="s">
        <v>999</v>
      </c>
      <c r="G507" s="15">
        <v>-4.4000000000000003E-3</v>
      </c>
    </row>
    <row r="508" spans="1:7" x14ac:dyDescent="0.35">
      <c r="A508" s="12" t="s">
        <v>1000</v>
      </c>
      <c r="B508" s="13">
        <v>1798.2</v>
      </c>
      <c r="C508" s="13">
        <v>1777.9</v>
      </c>
      <c r="D508" s="13">
        <v>1800.7</v>
      </c>
      <c r="E508" s="13">
        <v>1775.7</v>
      </c>
      <c r="F508" s="14" t="s">
        <v>1001</v>
      </c>
      <c r="G508" s="15">
        <v>1.9099999999999999E-2</v>
      </c>
    </row>
    <row r="509" spans="1:7" x14ac:dyDescent="0.35">
      <c r="A509" s="12" t="s">
        <v>1002</v>
      </c>
      <c r="B509" s="13">
        <v>1804.9</v>
      </c>
      <c r="C509" s="13">
        <v>1801.5</v>
      </c>
      <c r="D509" s="13">
        <v>1815.7</v>
      </c>
      <c r="E509" s="13">
        <v>1796.5</v>
      </c>
      <c r="F509" s="14" t="s">
        <v>1003</v>
      </c>
      <c r="G509" s="15">
        <v>3.7000000000000002E-3</v>
      </c>
    </row>
    <row r="510" spans="1:7" x14ac:dyDescent="0.35">
      <c r="A510" s="12" t="s">
        <v>1004</v>
      </c>
      <c r="B510" s="13">
        <v>1794.6</v>
      </c>
      <c r="C510" s="13">
        <v>1800.2</v>
      </c>
      <c r="D510" s="13">
        <v>1804.6</v>
      </c>
      <c r="E510" s="13">
        <v>1789</v>
      </c>
      <c r="F510" s="14" t="s">
        <v>1005</v>
      </c>
      <c r="G510" s="15">
        <v>-5.7000000000000002E-3</v>
      </c>
    </row>
    <row r="511" spans="1:7" x14ac:dyDescent="0.35">
      <c r="A511" s="12" t="s">
        <v>1006</v>
      </c>
      <c r="B511" s="13">
        <v>1788.7</v>
      </c>
      <c r="C511" s="13">
        <v>1791.4</v>
      </c>
      <c r="D511" s="13">
        <v>1801.7</v>
      </c>
      <c r="E511" s="13">
        <v>1785</v>
      </c>
      <c r="F511" s="14" t="s">
        <v>1007</v>
      </c>
      <c r="G511" s="15">
        <v>-3.3E-3</v>
      </c>
    </row>
    <row r="512" spans="1:7" x14ac:dyDescent="0.35">
      <c r="A512" s="12" t="s">
        <v>1008</v>
      </c>
      <c r="B512" s="13">
        <v>1802.2</v>
      </c>
      <c r="C512" s="13">
        <v>1789.4</v>
      </c>
      <c r="D512" s="13">
        <v>1806.3</v>
      </c>
      <c r="E512" s="13">
        <v>1785.8</v>
      </c>
      <c r="F512" s="14" t="s">
        <v>1009</v>
      </c>
      <c r="G512" s="15">
        <v>7.4999999999999997E-3</v>
      </c>
    </row>
    <row r="513" spans="1:7" x14ac:dyDescent="0.35">
      <c r="A513" s="12" t="s">
        <v>1010</v>
      </c>
      <c r="B513" s="13">
        <v>1811.7</v>
      </c>
      <c r="C513" s="13">
        <v>1805.6</v>
      </c>
      <c r="D513" s="13">
        <v>1812</v>
      </c>
      <c r="E513" s="13">
        <v>1799</v>
      </c>
      <c r="F513" s="14" t="s">
        <v>1011</v>
      </c>
      <c r="G513" s="15">
        <v>5.3E-3</v>
      </c>
    </row>
    <row r="514" spans="1:7" x14ac:dyDescent="0.35">
      <c r="A514" s="12" t="s">
        <v>1012</v>
      </c>
      <c r="B514" s="13">
        <v>1808.8</v>
      </c>
      <c r="C514" s="13">
        <v>1810.2</v>
      </c>
      <c r="D514" s="13">
        <v>1814.6</v>
      </c>
      <c r="E514" s="13">
        <v>1803.6</v>
      </c>
      <c r="F514" s="14" t="s">
        <v>1013</v>
      </c>
      <c r="G514" s="15">
        <v>-1.6000000000000001E-3</v>
      </c>
    </row>
    <row r="515" spans="1:7" x14ac:dyDescent="0.35">
      <c r="A515" s="12" t="s">
        <v>1014</v>
      </c>
      <c r="B515" s="13">
        <v>1810.9</v>
      </c>
      <c r="C515" s="13">
        <v>1812.1</v>
      </c>
      <c r="D515" s="13">
        <v>1821.6</v>
      </c>
      <c r="E515" s="13">
        <v>1805.5</v>
      </c>
      <c r="F515" s="14" t="s">
        <v>1015</v>
      </c>
      <c r="G515" s="15">
        <v>1.1999999999999999E-3</v>
      </c>
    </row>
    <row r="516" spans="1:7" x14ac:dyDescent="0.35">
      <c r="A516" s="12" t="s">
        <v>1016</v>
      </c>
      <c r="B516" s="13">
        <v>1805.8</v>
      </c>
      <c r="C516" s="13">
        <v>1806.6</v>
      </c>
      <c r="D516" s="13">
        <v>1808</v>
      </c>
      <c r="E516" s="13">
        <v>1789.1</v>
      </c>
      <c r="F516" s="14" t="s">
        <v>1017</v>
      </c>
      <c r="G516" s="15">
        <v>-2.8E-3</v>
      </c>
    </row>
    <row r="517" spans="1:7" x14ac:dyDescent="0.35">
      <c r="A517" s="12" t="s">
        <v>1018</v>
      </c>
      <c r="B517" s="13">
        <v>1814.1</v>
      </c>
      <c r="C517" s="13">
        <v>1805.6</v>
      </c>
      <c r="D517" s="13">
        <v>1818.1</v>
      </c>
      <c r="E517" s="13">
        <v>1796.2</v>
      </c>
      <c r="F517" s="14" t="s">
        <v>1019</v>
      </c>
      <c r="G517" s="15">
        <v>4.5999999999999999E-3</v>
      </c>
    </row>
    <row r="518" spans="1:7" x14ac:dyDescent="0.35">
      <c r="A518" s="12" t="s">
        <v>1020</v>
      </c>
      <c r="B518" s="13">
        <v>1828.6</v>
      </c>
      <c r="C518" s="13">
        <v>1817</v>
      </c>
      <c r="D518" s="13">
        <v>1831.4</v>
      </c>
      <c r="E518" s="13">
        <v>1815.4</v>
      </c>
      <c r="F518" s="14" t="s">
        <v>1021</v>
      </c>
      <c r="G518" s="15">
        <v>8.0000000000000002E-3</v>
      </c>
    </row>
    <row r="519" spans="1:7" x14ac:dyDescent="0.35">
      <c r="A519" s="12" t="s">
        <v>1022</v>
      </c>
      <c r="B519" s="13">
        <v>1800.1</v>
      </c>
      <c r="C519" s="13">
        <v>1830.1</v>
      </c>
      <c r="D519" s="13">
        <v>1833</v>
      </c>
      <c r="E519" s="13">
        <v>1798.2</v>
      </c>
      <c r="F519" s="14" t="s">
        <v>1023</v>
      </c>
      <c r="G519" s="15">
        <v>-1.5599999999999999E-2</v>
      </c>
    </row>
    <row r="520" spans="1:7" x14ac:dyDescent="0.35">
      <c r="A520" s="12" t="s">
        <v>1024</v>
      </c>
      <c r="B520" s="13">
        <v>1814.6</v>
      </c>
      <c r="C520" s="13">
        <v>1801.1</v>
      </c>
      <c r="D520" s="13">
        <v>1817.2</v>
      </c>
      <c r="E520" s="13">
        <v>1798.1</v>
      </c>
      <c r="F520" s="14" t="s">
        <v>131</v>
      </c>
      <c r="G520" s="15">
        <v>8.0999999999999996E-3</v>
      </c>
    </row>
    <row r="521" spans="1:7" x14ac:dyDescent="0.35">
      <c r="A521" s="12" t="s">
        <v>1025</v>
      </c>
      <c r="B521" s="13">
        <v>1825.1</v>
      </c>
      <c r="C521" s="13">
        <v>1815.2</v>
      </c>
      <c r="D521" s="13">
        <v>1830.7</v>
      </c>
      <c r="E521" s="13">
        <v>1808.2</v>
      </c>
      <c r="F521" s="14" t="s">
        <v>1026</v>
      </c>
      <c r="G521" s="15">
        <v>5.7999999999999996E-3</v>
      </c>
    </row>
    <row r="522" spans="1:7" x14ac:dyDescent="0.35">
      <c r="A522" s="12" t="s">
        <v>1027</v>
      </c>
      <c r="B522" s="13">
        <v>1789.2</v>
      </c>
      <c r="C522" s="13">
        <v>1810.6</v>
      </c>
      <c r="D522" s="13">
        <v>1811.6</v>
      </c>
      <c r="E522" s="13">
        <v>1785.4</v>
      </c>
      <c r="F522" s="14" t="s">
        <v>1028</v>
      </c>
      <c r="G522" s="15">
        <v>-1.9699999999999999E-2</v>
      </c>
    </row>
    <row r="523" spans="1:7" x14ac:dyDescent="0.35">
      <c r="A523" s="12" t="s">
        <v>1029</v>
      </c>
      <c r="B523" s="13">
        <v>1797.4</v>
      </c>
      <c r="C523" s="13">
        <v>1791</v>
      </c>
      <c r="D523" s="13">
        <v>1798.4</v>
      </c>
      <c r="E523" s="13">
        <v>1781.3</v>
      </c>
      <c r="F523" s="14" t="s">
        <v>1030</v>
      </c>
      <c r="G523" s="15">
        <v>4.5999999999999999E-3</v>
      </c>
    </row>
    <row r="524" spans="1:7" x14ac:dyDescent="0.35">
      <c r="A524" s="12" t="s">
        <v>1031</v>
      </c>
      <c r="B524" s="13">
        <v>1798.8</v>
      </c>
      <c r="C524" s="13">
        <v>1796.4</v>
      </c>
      <c r="D524" s="13">
        <v>1802</v>
      </c>
      <c r="E524" s="13">
        <v>1789.3</v>
      </c>
      <c r="F524" s="14" t="s">
        <v>1032</v>
      </c>
      <c r="G524" s="15">
        <v>8.0000000000000004E-4</v>
      </c>
    </row>
    <row r="525" spans="1:7" x14ac:dyDescent="0.35">
      <c r="A525" s="12" t="s">
        <v>1033</v>
      </c>
      <c r="B525" s="13">
        <v>1818.5</v>
      </c>
      <c r="C525" s="13">
        <v>1801.3</v>
      </c>
      <c r="D525" s="13">
        <v>1823.1</v>
      </c>
      <c r="E525" s="13">
        <v>1799.7</v>
      </c>
      <c r="F525" s="14" t="s">
        <v>1034</v>
      </c>
      <c r="G525" s="15">
        <v>1.0999999999999999E-2</v>
      </c>
    </row>
    <row r="526" spans="1:7" x14ac:dyDescent="0.35">
      <c r="A526" s="12" t="s">
        <v>1035</v>
      </c>
      <c r="B526" s="13">
        <v>1827.3</v>
      </c>
      <c r="C526" s="13">
        <v>1821.3</v>
      </c>
      <c r="D526" s="13">
        <v>1828.2</v>
      </c>
      <c r="E526" s="13">
        <v>1814.4</v>
      </c>
      <c r="F526" s="14" t="s">
        <v>1036</v>
      </c>
      <c r="G526" s="15">
        <v>4.7999999999999996E-3</v>
      </c>
    </row>
    <row r="527" spans="1:7" x14ac:dyDescent="0.35">
      <c r="A527" s="12" t="s">
        <v>1037</v>
      </c>
      <c r="B527" s="13">
        <v>1821.4</v>
      </c>
      <c r="C527" s="13">
        <v>1825.7</v>
      </c>
      <c r="D527" s="13">
        <v>1828.3</v>
      </c>
      <c r="E527" s="13">
        <v>1811.8</v>
      </c>
      <c r="F527" s="14" t="s">
        <v>1038</v>
      </c>
      <c r="G527" s="15">
        <v>-3.2000000000000002E-3</v>
      </c>
    </row>
    <row r="528" spans="1:7" x14ac:dyDescent="0.35">
      <c r="A528" s="12" t="s">
        <v>1039</v>
      </c>
      <c r="B528" s="13">
        <v>1816.5</v>
      </c>
      <c r="C528" s="13">
        <v>1822.1</v>
      </c>
      <c r="D528" s="13">
        <v>1829.3</v>
      </c>
      <c r="E528" s="13">
        <v>1814.2</v>
      </c>
      <c r="F528" s="14" t="s">
        <v>1040</v>
      </c>
      <c r="G528" s="15">
        <v>-2.7000000000000001E-3</v>
      </c>
    </row>
    <row r="529" spans="1:7" x14ac:dyDescent="0.35">
      <c r="A529" s="12" t="s">
        <v>1041</v>
      </c>
      <c r="B529" s="13">
        <v>1812.4</v>
      </c>
      <c r="C529" s="13">
        <v>1818.7</v>
      </c>
      <c r="D529" s="13">
        <v>1822.9</v>
      </c>
      <c r="E529" s="13">
        <v>1804.7</v>
      </c>
      <c r="F529" s="14" t="s">
        <v>1042</v>
      </c>
      <c r="G529" s="15">
        <v>-2.3E-3</v>
      </c>
    </row>
    <row r="530" spans="1:7" x14ac:dyDescent="0.35">
      <c r="A530" s="12" t="s">
        <v>1043</v>
      </c>
      <c r="B530" s="13">
        <v>1812.4</v>
      </c>
      <c r="C530" s="13">
        <v>1818.7</v>
      </c>
      <c r="D530" s="13">
        <v>1822.9</v>
      </c>
      <c r="E530" s="13">
        <v>1804.7</v>
      </c>
      <c r="F530" s="14" t="s">
        <v>1042</v>
      </c>
      <c r="G530" s="15">
        <v>0</v>
      </c>
    </row>
    <row r="531" spans="1:7" x14ac:dyDescent="0.35">
      <c r="A531" s="12" t="s">
        <v>1044</v>
      </c>
      <c r="B531" s="13">
        <v>1843.2</v>
      </c>
      <c r="C531" s="13">
        <v>1812.9</v>
      </c>
      <c r="D531" s="13">
        <v>1843.9</v>
      </c>
      <c r="E531" s="13">
        <v>1809</v>
      </c>
      <c r="F531" s="14" t="s">
        <v>1045</v>
      </c>
      <c r="G531" s="15">
        <v>1.7000000000000001E-2</v>
      </c>
    </row>
    <row r="532" spans="1:7" x14ac:dyDescent="0.35">
      <c r="A532" s="12" t="s">
        <v>1046</v>
      </c>
      <c r="B532" s="13">
        <v>1842.6</v>
      </c>
      <c r="C532" s="13">
        <v>1840.1</v>
      </c>
      <c r="D532" s="13">
        <v>1848.5</v>
      </c>
      <c r="E532" s="13">
        <v>1836.2</v>
      </c>
      <c r="F532" s="14" t="s">
        <v>1047</v>
      </c>
      <c r="G532" s="15">
        <v>-2.9999999999999997E-4</v>
      </c>
    </row>
    <row r="533" spans="1:7" x14ac:dyDescent="0.35">
      <c r="A533" s="12" t="s">
        <v>1048</v>
      </c>
      <c r="B533" s="13">
        <v>1831.8</v>
      </c>
      <c r="C533" s="13">
        <v>1840.6</v>
      </c>
      <c r="D533" s="13">
        <v>1843.7</v>
      </c>
      <c r="E533" s="13">
        <v>1828.4</v>
      </c>
      <c r="F533" s="14" t="s">
        <v>1049</v>
      </c>
      <c r="G533" s="15">
        <v>-5.8999999999999999E-3</v>
      </c>
    </row>
    <row r="534" spans="1:7" x14ac:dyDescent="0.35">
      <c r="A534" s="12" t="s">
        <v>1050</v>
      </c>
      <c r="B534" s="13">
        <v>1841.7</v>
      </c>
      <c r="C534" s="13">
        <v>1835.2</v>
      </c>
      <c r="D534" s="13">
        <v>1844.9</v>
      </c>
      <c r="E534" s="13">
        <v>1829.3</v>
      </c>
      <c r="F534" s="14" t="s">
        <v>1051</v>
      </c>
      <c r="G534" s="15">
        <v>5.4000000000000003E-3</v>
      </c>
    </row>
    <row r="535" spans="1:7" x14ac:dyDescent="0.35">
      <c r="A535" s="12" t="s">
        <v>1052</v>
      </c>
      <c r="B535" s="13">
        <v>1852.5</v>
      </c>
      <c r="C535" s="13">
        <v>1843.6</v>
      </c>
      <c r="D535" s="13">
        <v>1854.2</v>
      </c>
      <c r="E535" s="13">
        <v>1834.4</v>
      </c>
      <c r="F535" s="14" t="s">
        <v>1053</v>
      </c>
      <c r="G535" s="15">
        <v>5.8999999999999999E-3</v>
      </c>
    </row>
    <row r="536" spans="1:7" x14ac:dyDescent="0.35">
      <c r="A536" s="12" t="s">
        <v>1054</v>
      </c>
      <c r="B536" s="13">
        <v>1829.7</v>
      </c>
      <c r="C536" s="13">
        <v>1848</v>
      </c>
      <c r="D536" s="13">
        <v>1850.2</v>
      </c>
      <c r="E536" s="13">
        <v>1814.1</v>
      </c>
      <c r="F536" s="14" t="s">
        <v>1055</v>
      </c>
      <c r="G536" s="15">
        <v>-1.23E-2</v>
      </c>
    </row>
    <row r="537" spans="1:7" x14ac:dyDescent="0.35">
      <c r="A537" s="12" t="s">
        <v>1056</v>
      </c>
      <c r="B537" s="13">
        <v>1795</v>
      </c>
      <c r="C537" s="13">
        <v>1819</v>
      </c>
      <c r="D537" s="13">
        <v>1821.4</v>
      </c>
      <c r="E537" s="13">
        <v>1790.6</v>
      </c>
      <c r="F537" s="14" t="s">
        <v>1057</v>
      </c>
      <c r="G537" s="15">
        <v>-1.9E-2</v>
      </c>
    </row>
    <row r="538" spans="1:7" x14ac:dyDescent="0.35">
      <c r="A538" s="12" t="s">
        <v>1058</v>
      </c>
      <c r="B538" s="13">
        <v>1786.6</v>
      </c>
      <c r="C538" s="13">
        <v>1799.6</v>
      </c>
      <c r="D538" s="13">
        <v>1800.3</v>
      </c>
      <c r="E538" s="13">
        <v>1780.6</v>
      </c>
      <c r="F538" s="14" t="s">
        <v>1059</v>
      </c>
      <c r="G538" s="15">
        <v>-4.7000000000000002E-3</v>
      </c>
    </row>
    <row r="539" spans="1:7" x14ac:dyDescent="0.35">
      <c r="A539" s="12" t="s">
        <v>1060</v>
      </c>
      <c r="B539" s="13">
        <v>1796.4</v>
      </c>
      <c r="C539" s="13">
        <v>1792.8</v>
      </c>
      <c r="D539" s="13">
        <v>1800.9</v>
      </c>
      <c r="E539" s="13">
        <v>1785.8</v>
      </c>
      <c r="F539" s="14" t="s">
        <v>1061</v>
      </c>
      <c r="G539" s="15">
        <v>5.4999999999999997E-3</v>
      </c>
    </row>
    <row r="540" spans="1:7" x14ac:dyDescent="0.35">
      <c r="A540" s="12" t="s">
        <v>1062</v>
      </c>
      <c r="B540" s="13">
        <v>1801.5</v>
      </c>
      <c r="C540" s="13">
        <v>1798.9</v>
      </c>
      <c r="D540" s="13">
        <v>1809.7</v>
      </c>
      <c r="E540" s="13">
        <v>1796.2</v>
      </c>
      <c r="F540" s="14" t="s">
        <v>1063</v>
      </c>
      <c r="G540" s="15">
        <v>2.8E-3</v>
      </c>
    </row>
    <row r="541" spans="1:7" x14ac:dyDescent="0.35">
      <c r="A541" s="12" t="s">
        <v>1064</v>
      </c>
      <c r="B541" s="13">
        <v>1810.3</v>
      </c>
      <c r="C541" s="13">
        <v>1800.8</v>
      </c>
      <c r="D541" s="13">
        <v>1812</v>
      </c>
      <c r="E541" s="13">
        <v>1794.6</v>
      </c>
      <c r="F541" s="14" t="s">
        <v>1065</v>
      </c>
      <c r="G541" s="15">
        <v>4.8999999999999998E-3</v>
      </c>
    </row>
    <row r="542" spans="1:7" x14ac:dyDescent="0.35">
      <c r="A542" s="12" t="s">
        <v>1066</v>
      </c>
      <c r="B542" s="13">
        <v>1804.1</v>
      </c>
      <c r="C542" s="13">
        <v>1807.4</v>
      </c>
      <c r="D542" s="13">
        <v>1809.5</v>
      </c>
      <c r="E542" s="13">
        <v>1788.5</v>
      </c>
      <c r="F542" s="14" t="s">
        <v>1067</v>
      </c>
      <c r="G542" s="15">
        <v>-3.3999999999999998E-3</v>
      </c>
    </row>
    <row r="543" spans="1:7" x14ac:dyDescent="0.35">
      <c r="A543" s="12" t="s">
        <v>1068</v>
      </c>
      <c r="B543" s="13">
        <v>1807.8</v>
      </c>
      <c r="C543" s="13">
        <v>1805.4</v>
      </c>
      <c r="D543" s="13">
        <v>1815.8</v>
      </c>
      <c r="E543" s="13">
        <v>1792.1</v>
      </c>
      <c r="F543" s="14" t="s">
        <v>1069</v>
      </c>
      <c r="G543" s="15">
        <v>2.0999999999999999E-3</v>
      </c>
    </row>
    <row r="544" spans="1:7" x14ac:dyDescent="0.35">
      <c r="A544" s="12" t="s">
        <v>1070</v>
      </c>
      <c r="B544" s="13">
        <v>1821.8</v>
      </c>
      <c r="C544" s="13">
        <v>1808</v>
      </c>
      <c r="D544" s="13">
        <v>1824.6</v>
      </c>
      <c r="E544" s="13">
        <v>1807.5</v>
      </c>
      <c r="F544" s="14" t="s">
        <v>1071</v>
      </c>
      <c r="G544" s="15">
        <v>7.7000000000000002E-3</v>
      </c>
    </row>
    <row r="545" spans="1:7" x14ac:dyDescent="0.35">
      <c r="A545" s="12" t="s">
        <v>1072</v>
      </c>
      <c r="B545" s="13">
        <v>1827.9</v>
      </c>
      <c r="C545" s="13">
        <v>1821.5</v>
      </c>
      <c r="D545" s="13">
        <v>1829.9</v>
      </c>
      <c r="E545" s="13">
        <v>1816</v>
      </c>
      <c r="F545" s="14" t="s">
        <v>1073</v>
      </c>
      <c r="G545" s="15">
        <v>3.3E-3</v>
      </c>
    </row>
    <row r="546" spans="1:7" x14ac:dyDescent="0.35">
      <c r="A546" s="12" t="s">
        <v>1074</v>
      </c>
      <c r="B546" s="13">
        <v>1836.6</v>
      </c>
      <c r="C546" s="13">
        <v>1827</v>
      </c>
      <c r="D546" s="13">
        <v>1837.1</v>
      </c>
      <c r="E546" s="13">
        <v>1825.5</v>
      </c>
      <c r="F546" s="14" t="s">
        <v>1075</v>
      </c>
      <c r="G546" s="15">
        <v>4.7999999999999996E-3</v>
      </c>
    </row>
    <row r="547" spans="1:7" x14ac:dyDescent="0.35">
      <c r="A547" s="12" t="s">
        <v>1076</v>
      </c>
      <c r="B547" s="13">
        <v>1837.4</v>
      </c>
      <c r="C547" s="13">
        <v>1834</v>
      </c>
      <c r="D547" s="13">
        <v>1843.3</v>
      </c>
      <c r="E547" s="13">
        <v>1821.8</v>
      </c>
      <c r="F547" s="14" t="s">
        <v>1077</v>
      </c>
      <c r="G547" s="15">
        <v>4.0000000000000002E-4</v>
      </c>
    </row>
    <row r="548" spans="1:7" x14ac:dyDescent="0.35">
      <c r="A548" s="12" t="s">
        <v>1078</v>
      </c>
      <c r="B548" s="13">
        <v>1842.1</v>
      </c>
      <c r="C548" s="13">
        <v>1827</v>
      </c>
      <c r="D548" s="13">
        <v>1867.4</v>
      </c>
      <c r="E548" s="13">
        <v>1821.1</v>
      </c>
      <c r="F548" s="14" t="s">
        <v>1079</v>
      </c>
      <c r="G548" s="15">
        <v>2.5999999999999999E-3</v>
      </c>
    </row>
    <row r="549" spans="1:7" x14ac:dyDescent="0.35">
      <c r="A549" s="12" t="s">
        <v>1080</v>
      </c>
      <c r="B549" s="13">
        <v>1869.4</v>
      </c>
      <c r="C549" s="13">
        <v>1862.2</v>
      </c>
      <c r="D549" s="13">
        <v>1876.5</v>
      </c>
      <c r="E549" s="13">
        <v>1851.9</v>
      </c>
      <c r="F549" s="14" t="s">
        <v>1081</v>
      </c>
      <c r="G549" s="15">
        <v>1.4800000000000001E-2</v>
      </c>
    </row>
    <row r="550" spans="1:7" x14ac:dyDescent="0.35">
      <c r="A550" s="12" t="s">
        <v>1082</v>
      </c>
      <c r="B550" s="13">
        <v>1856.2</v>
      </c>
      <c r="C550" s="13">
        <v>1873.8</v>
      </c>
      <c r="D550" s="13">
        <v>1881.6</v>
      </c>
      <c r="E550" s="13">
        <v>1845.4</v>
      </c>
      <c r="F550" s="14" t="s">
        <v>1083</v>
      </c>
      <c r="G550" s="15">
        <v>-7.1000000000000004E-3</v>
      </c>
    </row>
    <row r="551" spans="1:7" x14ac:dyDescent="0.35">
      <c r="A551" s="12" t="s">
        <v>1084</v>
      </c>
      <c r="B551" s="13">
        <v>1871.5</v>
      </c>
      <c r="C551" s="13">
        <v>1855.5</v>
      </c>
      <c r="D551" s="13">
        <v>1874.6</v>
      </c>
      <c r="E551" s="13">
        <v>1851.8</v>
      </c>
      <c r="F551" s="14" t="s">
        <v>1085</v>
      </c>
      <c r="G551" s="15">
        <v>8.2000000000000007E-3</v>
      </c>
    </row>
    <row r="552" spans="1:7" x14ac:dyDescent="0.35">
      <c r="A552" s="12" t="s">
        <v>1086</v>
      </c>
      <c r="B552" s="13">
        <v>1902</v>
      </c>
      <c r="C552" s="13">
        <v>1872</v>
      </c>
      <c r="D552" s="13">
        <v>1904</v>
      </c>
      <c r="E552" s="13">
        <v>1869.7</v>
      </c>
      <c r="F552" s="14" t="s">
        <v>1087</v>
      </c>
      <c r="G552" s="15">
        <v>1.6299999999999999E-2</v>
      </c>
    </row>
    <row r="553" spans="1:7" x14ac:dyDescent="0.35">
      <c r="A553" s="12" t="s">
        <v>1088</v>
      </c>
      <c r="B553" s="13">
        <v>1899.8</v>
      </c>
      <c r="C553" s="13">
        <v>1901.4</v>
      </c>
      <c r="D553" s="13">
        <v>1905</v>
      </c>
      <c r="E553" s="13">
        <v>1888</v>
      </c>
      <c r="F553" s="14" t="s">
        <v>1089</v>
      </c>
      <c r="G553" s="15">
        <v>-1.1999999999999999E-3</v>
      </c>
    </row>
    <row r="554" spans="1:7" x14ac:dyDescent="0.35">
      <c r="A554" s="12" t="s">
        <v>1090</v>
      </c>
      <c r="B554" s="13">
        <v>1907.4</v>
      </c>
      <c r="C554" s="13">
        <v>1903.5</v>
      </c>
      <c r="D554" s="13">
        <v>1918.3</v>
      </c>
      <c r="E554" s="13">
        <v>1889.7</v>
      </c>
      <c r="F554" s="14" t="s">
        <v>1091</v>
      </c>
      <c r="G554" s="15">
        <v>4.0000000000000001E-3</v>
      </c>
    </row>
    <row r="555" spans="1:7" x14ac:dyDescent="0.35">
      <c r="A555" s="12" t="s">
        <v>1092</v>
      </c>
      <c r="B555" s="13">
        <v>1907.4</v>
      </c>
      <c r="C555" s="13">
        <v>1903.5</v>
      </c>
      <c r="D555" s="13">
        <v>1918.3</v>
      </c>
      <c r="E555" s="13">
        <v>1889.7</v>
      </c>
      <c r="F555" s="14" t="s">
        <v>1091</v>
      </c>
      <c r="G555" s="15">
        <v>0</v>
      </c>
    </row>
    <row r="556" spans="1:7" x14ac:dyDescent="0.35">
      <c r="A556" s="12" t="s">
        <v>1093</v>
      </c>
      <c r="B556" s="13">
        <v>1910.4</v>
      </c>
      <c r="C556" s="13">
        <v>1901.2</v>
      </c>
      <c r="D556" s="13">
        <v>1912.9</v>
      </c>
      <c r="E556" s="13">
        <v>1891.1</v>
      </c>
      <c r="F556" s="14" t="s">
        <v>1094</v>
      </c>
      <c r="G556" s="15">
        <v>1.6000000000000001E-3</v>
      </c>
    </row>
    <row r="557" spans="1:7" x14ac:dyDescent="0.35">
      <c r="A557" s="12" t="s">
        <v>1095</v>
      </c>
      <c r="B557" s="13">
        <v>1926.3</v>
      </c>
      <c r="C557" s="13">
        <v>1911.9</v>
      </c>
      <c r="D557" s="13">
        <v>1976.5</v>
      </c>
      <c r="E557" s="13">
        <v>1878.6</v>
      </c>
      <c r="F557" s="14" t="s">
        <v>1096</v>
      </c>
      <c r="G557" s="15">
        <v>8.3000000000000001E-3</v>
      </c>
    </row>
    <row r="558" spans="1:7" x14ac:dyDescent="0.35">
      <c r="A558" s="12" t="s">
        <v>1097</v>
      </c>
      <c r="B558" s="13">
        <v>1887.6</v>
      </c>
      <c r="C558" s="13">
        <v>1906.5</v>
      </c>
      <c r="D558" s="13">
        <v>1925</v>
      </c>
      <c r="E558" s="13">
        <v>1884.4</v>
      </c>
      <c r="F558" s="14" t="s">
        <v>1098</v>
      </c>
      <c r="G558" s="15">
        <v>-2.01E-2</v>
      </c>
    </row>
    <row r="559" spans="1:7" x14ac:dyDescent="0.35">
      <c r="A559" s="12" t="s">
        <v>1099</v>
      </c>
      <c r="B559" s="13">
        <v>1900.7</v>
      </c>
      <c r="C559" s="13">
        <v>1921</v>
      </c>
      <c r="D559" s="13">
        <v>1935.2</v>
      </c>
      <c r="E559" s="13">
        <v>1892.2</v>
      </c>
      <c r="F559" s="14" t="s">
        <v>1100</v>
      </c>
      <c r="G559" s="15">
        <v>6.8999999999999999E-3</v>
      </c>
    </row>
    <row r="560" spans="1:7" x14ac:dyDescent="0.35">
      <c r="A560" s="12" t="s">
        <v>1101</v>
      </c>
      <c r="B560" s="13">
        <v>1943.8</v>
      </c>
      <c r="C560" s="13">
        <v>1908.4</v>
      </c>
      <c r="D560" s="13">
        <v>1952.6</v>
      </c>
      <c r="E560" s="13">
        <v>1903</v>
      </c>
      <c r="F560" s="14" t="s">
        <v>1102</v>
      </c>
      <c r="G560" s="15">
        <v>2.2700000000000001E-2</v>
      </c>
    </row>
    <row r="561" spans="1:7" x14ac:dyDescent="0.35">
      <c r="A561" s="12" t="s">
        <v>1103</v>
      </c>
      <c r="B561" s="13">
        <v>1922.3</v>
      </c>
      <c r="C561" s="13">
        <v>1945.3</v>
      </c>
      <c r="D561" s="13">
        <v>1951.4</v>
      </c>
      <c r="E561" s="13">
        <v>1916</v>
      </c>
      <c r="F561" s="14" t="s">
        <v>1104</v>
      </c>
      <c r="G561" s="15">
        <v>-1.11E-2</v>
      </c>
    </row>
    <row r="562" spans="1:7" x14ac:dyDescent="0.35">
      <c r="A562" s="12" t="s">
        <v>1105</v>
      </c>
      <c r="B562" s="13">
        <v>1935.9</v>
      </c>
      <c r="C562" s="13">
        <v>1931.7</v>
      </c>
      <c r="D562" s="13">
        <v>1944.6</v>
      </c>
      <c r="E562" s="13">
        <v>1923.1</v>
      </c>
      <c r="F562" s="14" t="s">
        <v>1106</v>
      </c>
      <c r="G562" s="15">
        <v>7.1000000000000004E-3</v>
      </c>
    </row>
    <row r="563" spans="1:7" x14ac:dyDescent="0.35">
      <c r="A563" s="12" t="s">
        <v>1107</v>
      </c>
      <c r="B563" s="13">
        <v>1966.6</v>
      </c>
      <c r="C563" s="13">
        <v>1938.5</v>
      </c>
      <c r="D563" s="13">
        <v>1974.9</v>
      </c>
      <c r="E563" s="13">
        <v>1931.5</v>
      </c>
      <c r="F563" s="14" t="s">
        <v>1108</v>
      </c>
      <c r="G563" s="15">
        <v>1.5900000000000001E-2</v>
      </c>
    </row>
    <row r="564" spans="1:7" x14ac:dyDescent="0.35">
      <c r="A564" s="12" t="s">
        <v>1109</v>
      </c>
      <c r="B564" s="13">
        <v>1995.9</v>
      </c>
      <c r="C564" s="13">
        <v>1978.5</v>
      </c>
      <c r="D564" s="13">
        <v>2007.5</v>
      </c>
      <c r="E564" s="13">
        <v>1964.2</v>
      </c>
      <c r="F564" s="14" t="s">
        <v>1110</v>
      </c>
      <c r="G564" s="15">
        <v>1.49E-2</v>
      </c>
    </row>
    <row r="565" spans="1:7" x14ac:dyDescent="0.35">
      <c r="A565" s="12" t="s">
        <v>1111</v>
      </c>
      <c r="B565" s="13">
        <v>2043.3</v>
      </c>
      <c r="C565" s="13">
        <v>2001</v>
      </c>
      <c r="D565" s="13">
        <v>2078.8000000000002</v>
      </c>
      <c r="E565" s="13">
        <v>1985.8</v>
      </c>
      <c r="F565" s="14" t="s">
        <v>1112</v>
      </c>
      <c r="G565" s="15">
        <v>2.3699999999999999E-2</v>
      </c>
    </row>
    <row r="566" spans="1:7" x14ac:dyDescent="0.35">
      <c r="A566" s="12" t="s">
        <v>1113</v>
      </c>
      <c r="B566" s="13">
        <v>1988.2</v>
      </c>
      <c r="C566" s="13">
        <v>2060.1999999999998</v>
      </c>
      <c r="D566" s="13">
        <v>2068.5</v>
      </c>
      <c r="E566" s="13">
        <v>1981</v>
      </c>
      <c r="F566" s="14" t="s">
        <v>1114</v>
      </c>
      <c r="G566" s="15">
        <v>-2.7E-2</v>
      </c>
    </row>
    <row r="567" spans="1:7" x14ac:dyDescent="0.35">
      <c r="A567" s="12" t="s">
        <v>1115</v>
      </c>
      <c r="B567" s="13">
        <v>2000.4</v>
      </c>
      <c r="C567" s="13">
        <v>1992.8</v>
      </c>
      <c r="D567" s="13">
        <v>2015.1</v>
      </c>
      <c r="E567" s="13">
        <v>1975</v>
      </c>
      <c r="F567" s="14" t="s">
        <v>1116</v>
      </c>
      <c r="G567" s="15">
        <v>6.1000000000000004E-3</v>
      </c>
    </row>
    <row r="568" spans="1:7" x14ac:dyDescent="0.35">
      <c r="A568" s="12" t="s">
        <v>1117</v>
      </c>
      <c r="B568" s="13">
        <v>1985</v>
      </c>
      <c r="C568" s="13">
        <v>2000.3</v>
      </c>
      <c r="D568" s="13">
        <v>2004</v>
      </c>
      <c r="E568" s="13">
        <v>1960.6</v>
      </c>
      <c r="F568" s="14" t="s">
        <v>386</v>
      </c>
      <c r="G568" s="15">
        <v>-7.7000000000000002E-3</v>
      </c>
    </row>
    <row r="569" spans="1:7" x14ac:dyDescent="0.35">
      <c r="A569" s="12" t="s">
        <v>1118</v>
      </c>
      <c r="B569" s="13">
        <v>1960.8</v>
      </c>
      <c r="C569" s="13">
        <v>1988.7</v>
      </c>
      <c r="D569" s="13">
        <v>1994.8</v>
      </c>
      <c r="E569" s="13">
        <v>1952</v>
      </c>
      <c r="F569" s="14" t="s">
        <v>1119</v>
      </c>
      <c r="G569" s="15">
        <v>-1.2200000000000001E-2</v>
      </c>
    </row>
    <row r="570" spans="1:7" x14ac:dyDescent="0.35">
      <c r="A570" s="12" t="s">
        <v>1120</v>
      </c>
      <c r="B570" s="13">
        <v>1929.7</v>
      </c>
      <c r="C570" s="13">
        <v>1953.7</v>
      </c>
      <c r="D570" s="13">
        <v>1956.9</v>
      </c>
      <c r="E570" s="13">
        <v>1908.1</v>
      </c>
      <c r="F570" s="14" t="s">
        <v>1121</v>
      </c>
      <c r="G570" s="15">
        <v>-1.5900000000000001E-2</v>
      </c>
    </row>
    <row r="571" spans="1:7" x14ac:dyDescent="0.35">
      <c r="A571" s="12" t="s">
        <v>1122</v>
      </c>
      <c r="B571" s="13">
        <v>1909.2</v>
      </c>
      <c r="C571" s="13">
        <v>1920.1</v>
      </c>
      <c r="D571" s="13">
        <v>1930.1</v>
      </c>
      <c r="E571" s="13">
        <v>1895.2</v>
      </c>
      <c r="F571" s="14" t="s">
        <v>1123</v>
      </c>
      <c r="G571" s="15">
        <v>-1.06E-2</v>
      </c>
    </row>
    <row r="572" spans="1:7" x14ac:dyDescent="0.35">
      <c r="A572" s="12" t="s">
        <v>1124</v>
      </c>
      <c r="B572" s="13">
        <v>1943.2</v>
      </c>
      <c r="C572" s="13">
        <v>1928.4</v>
      </c>
      <c r="D572" s="13">
        <v>1951</v>
      </c>
      <c r="E572" s="13">
        <v>1924</v>
      </c>
      <c r="F572" s="14" t="s">
        <v>1125</v>
      </c>
      <c r="G572" s="15">
        <v>1.78E-2</v>
      </c>
    </row>
    <row r="573" spans="1:7" x14ac:dyDescent="0.35">
      <c r="A573" s="12" t="s">
        <v>1126</v>
      </c>
      <c r="B573" s="13">
        <v>1929.3</v>
      </c>
      <c r="C573" s="13">
        <v>1943.9</v>
      </c>
      <c r="D573" s="13">
        <v>1946.2</v>
      </c>
      <c r="E573" s="13">
        <v>1918</v>
      </c>
      <c r="F573" s="14" t="s">
        <v>1127</v>
      </c>
      <c r="G573" s="15">
        <v>-7.1999999999999998E-3</v>
      </c>
    </row>
    <row r="574" spans="1:7" x14ac:dyDescent="0.35">
      <c r="A574" s="12" t="s">
        <v>1128</v>
      </c>
      <c r="B574" s="13">
        <v>1929.5</v>
      </c>
      <c r="C574" s="13">
        <v>1922.4</v>
      </c>
      <c r="D574" s="13">
        <v>1941.8</v>
      </c>
      <c r="E574" s="13">
        <v>1917.2</v>
      </c>
      <c r="F574" s="14" t="s">
        <v>902</v>
      </c>
      <c r="G574" s="15">
        <v>1E-4</v>
      </c>
    </row>
    <row r="575" spans="1:7" x14ac:dyDescent="0.35">
      <c r="A575" s="12" t="s">
        <v>1129</v>
      </c>
      <c r="B575" s="13">
        <v>1921.5</v>
      </c>
      <c r="C575" s="13">
        <v>1936.1</v>
      </c>
      <c r="D575" s="13">
        <v>1939.5</v>
      </c>
      <c r="E575" s="13">
        <v>1909.8</v>
      </c>
      <c r="F575" s="14" t="s">
        <v>1130</v>
      </c>
      <c r="G575" s="15">
        <v>-4.1000000000000003E-3</v>
      </c>
    </row>
    <row r="576" spans="1:7" x14ac:dyDescent="0.35">
      <c r="A576" s="12" t="s">
        <v>1131</v>
      </c>
      <c r="B576" s="13">
        <v>1937.3</v>
      </c>
      <c r="C576" s="13">
        <v>1920.9</v>
      </c>
      <c r="D576" s="13">
        <v>1948.8</v>
      </c>
      <c r="E576" s="13">
        <v>1915.6</v>
      </c>
      <c r="F576" s="14" t="s">
        <v>1132</v>
      </c>
      <c r="G576" s="15">
        <v>8.2000000000000007E-3</v>
      </c>
    </row>
    <row r="577" spans="1:7" x14ac:dyDescent="0.35">
      <c r="A577" s="12" t="s">
        <v>1133</v>
      </c>
      <c r="B577" s="13">
        <v>1962.2</v>
      </c>
      <c r="C577" s="13">
        <v>1944.1</v>
      </c>
      <c r="D577" s="13">
        <v>1967.2</v>
      </c>
      <c r="E577" s="13">
        <v>1937.4</v>
      </c>
      <c r="F577" s="14" t="s">
        <v>1134</v>
      </c>
      <c r="G577" s="15">
        <v>1.29E-2</v>
      </c>
    </row>
    <row r="578" spans="1:7" x14ac:dyDescent="0.35">
      <c r="A578" s="12" t="s">
        <v>1135</v>
      </c>
      <c r="B578" s="13">
        <v>1954.2</v>
      </c>
      <c r="C578" s="13">
        <v>1957.8</v>
      </c>
      <c r="D578" s="13">
        <v>1965.1</v>
      </c>
      <c r="E578" s="13">
        <v>1942.6</v>
      </c>
      <c r="F578" s="14" t="s">
        <v>1136</v>
      </c>
      <c r="G578" s="15">
        <v>-4.1000000000000003E-3</v>
      </c>
    </row>
    <row r="579" spans="1:7" x14ac:dyDescent="0.35">
      <c r="A579" s="12" t="s">
        <v>1137</v>
      </c>
      <c r="B579" s="13">
        <v>1939.8</v>
      </c>
      <c r="C579" s="13">
        <v>1958.7</v>
      </c>
      <c r="D579" s="13">
        <v>1959.8</v>
      </c>
      <c r="E579" s="13">
        <v>1915.7</v>
      </c>
      <c r="F579" s="14" t="s">
        <v>1138</v>
      </c>
      <c r="G579" s="15">
        <v>-7.4000000000000003E-3</v>
      </c>
    </row>
    <row r="580" spans="1:7" x14ac:dyDescent="0.35">
      <c r="A580" s="12" t="s">
        <v>1139</v>
      </c>
      <c r="B580" s="13">
        <v>1918</v>
      </c>
      <c r="C580" s="13">
        <v>1922.4</v>
      </c>
      <c r="D580" s="13">
        <v>1929.4</v>
      </c>
      <c r="E580" s="13">
        <v>1888.3</v>
      </c>
      <c r="F580" s="14" t="s">
        <v>1140</v>
      </c>
      <c r="G580" s="15">
        <v>-1.12E-2</v>
      </c>
    </row>
    <row r="581" spans="1:7" x14ac:dyDescent="0.35">
      <c r="A581" s="12" t="s">
        <v>1141</v>
      </c>
      <c r="B581" s="13">
        <v>1939</v>
      </c>
      <c r="C581" s="13">
        <v>1924</v>
      </c>
      <c r="D581" s="13">
        <v>1943.4</v>
      </c>
      <c r="E581" s="13">
        <v>1920.1</v>
      </c>
      <c r="F581" s="14" t="s">
        <v>1142</v>
      </c>
      <c r="G581" s="15">
        <v>1.09E-2</v>
      </c>
    </row>
    <row r="582" spans="1:7" x14ac:dyDescent="0.35">
      <c r="A582" s="12" t="s">
        <v>1143</v>
      </c>
      <c r="B582" s="13">
        <v>1954</v>
      </c>
      <c r="C582" s="13">
        <v>1937.3</v>
      </c>
      <c r="D582" s="13">
        <v>1955</v>
      </c>
      <c r="E582" s="13">
        <v>1923</v>
      </c>
      <c r="F582" s="14" t="s">
        <v>1144</v>
      </c>
      <c r="G582" s="15">
        <v>7.7000000000000002E-3</v>
      </c>
    </row>
    <row r="583" spans="1:7" x14ac:dyDescent="0.35">
      <c r="A583" s="12" t="s">
        <v>1145</v>
      </c>
      <c r="B583" s="13">
        <v>1930.6</v>
      </c>
      <c r="C583" s="13">
        <v>1924.5</v>
      </c>
      <c r="D583" s="13">
        <v>1938</v>
      </c>
      <c r="E583" s="13">
        <v>1917.8</v>
      </c>
      <c r="F583" s="14" t="s">
        <v>1146</v>
      </c>
      <c r="G583" s="15">
        <v>-1.2E-2</v>
      </c>
    </row>
    <row r="584" spans="1:7" x14ac:dyDescent="0.35">
      <c r="A584" s="12" t="s">
        <v>1147</v>
      </c>
      <c r="B584" s="13">
        <v>1924.1</v>
      </c>
      <c r="C584" s="13">
        <v>1934.4</v>
      </c>
      <c r="D584" s="13">
        <v>1945</v>
      </c>
      <c r="E584" s="13">
        <v>1918.1</v>
      </c>
      <c r="F584" s="14" t="s">
        <v>1148</v>
      </c>
      <c r="G584" s="15">
        <v>-3.3999999999999998E-3</v>
      </c>
    </row>
    <row r="585" spans="1:7" x14ac:dyDescent="0.35">
      <c r="A585" s="12" t="s">
        <v>1149</v>
      </c>
      <c r="B585" s="13">
        <v>1919.7</v>
      </c>
      <c r="C585" s="13">
        <v>1924.8</v>
      </c>
      <c r="D585" s="13">
        <v>1932</v>
      </c>
      <c r="E585" s="13">
        <v>1914</v>
      </c>
      <c r="F585" s="14" t="s">
        <v>1150</v>
      </c>
      <c r="G585" s="15">
        <v>-2.3E-3</v>
      </c>
    </row>
    <row r="586" spans="1:7" x14ac:dyDescent="0.35">
      <c r="A586" s="12" t="s">
        <v>1151</v>
      </c>
      <c r="B586" s="13">
        <v>1934.7</v>
      </c>
      <c r="C586" s="13">
        <v>1923.8</v>
      </c>
      <c r="D586" s="13">
        <v>1937.1</v>
      </c>
      <c r="E586" s="13">
        <v>1920.4</v>
      </c>
      <c r="F586" s="14" t="s">
        <v>1152</v>
      </c>
      <c r="G586" s="15">
        <v>7.7999999999999996E-3</v>
      </c>
    </row>
    <row r="587" spans="1:7" x14ac:dyDescent="0.35">
      <c r="A587" s="12" t="s">
        <v>1153</v>
      </c>
      <c r="B587" s="13">
        <v>1945.1</v>
      </c>
      <c r="C587" s="13">
        <v>1949.5</v>
      </c>
      <c r="D587" s="13">
        <v>1970.8</v>
      </c>
      <c r="E587" s="13">
        <v>1940.8</v>
      </c>
      <c r="F587" s="14" t="s">
        <v>1154</v>
      </c>
      <c r="G587" s="15">
        <v>5.4000000000000003E-3</v>
      </c>
    </row>
    <row r="588" spans="1:7" x14ac:dyDescent="0.35">
      <c r="A588" s="12" t="s">
        <v>1155</v>
      </c>
      <c r="B588" s="13">
        <v>1973.2</v>
      </c>
      <c r="C588" s="13">
        <v>1953.5</v>
      </c>
      <c r="D588" s="13">
        <v>1979.2</v>
      </c>
      <c r="E588" s="13">
        <v>1951</v>
      </c>
      <c r="F588" s="14" t="s">
        <v>1156</v>
      </c>
      <c r="G588" s="15">
        <v>1.44E-2</v>
      </c>
    </row>
    <row r="589" spans="1:7" x14ac:dyDescent="0.35">
      <c r="A589" s="12" t="s">
        <v>1157</v>
      </c>
      <c r="B589" s="13">
        <v>1981.9</v>
      </c>
      <c r="C589" s="13">
        <v>1968.6</v>
      </c>
      <c r="D589" s="13">
        <v>1982.4</v>
      </c>
      <c r="E589" s="13">
        <v>1963.7</v>
      </c>
      <c r="F589" s="14" t="s">
        <v>1061</v>
      </c>
      <c r="G589" s="15">
        <v>4.4000000000000003E-3</v>
      </c>
    </row>
    <row r="590" spans="1:7" x14ac:dyDescent="0.35">
      <c r="A590" s="12" t="s">
        <v>1158</v>
      </c>
      <c r="B590" s="13">
        <v>1983.6</v>
      </c>
      <c r="C590" s="13">
        <v>1974.8</v>
      </c>
      <c r="D590" s="13">
        <v>2000</v>
      </c>
      <c r="E590" s="13">
        <v>1972.5</v>
      </c>
      <c r="F590" s="14" t="s">
        <v>1159</v>
      </c>
      <c r="G590" s="15">
        <v>8.9999999999999998E-4</v>
      </c>
    </row>
    <row r="591" spans="1:7" x14ac:dyDescent="0.35">
      <c r="A591" s="12" t="s">
        <v>1160</v>
      </c>
      <c r="B591" s="13">
        <v>1956.3</v>
      </c>
      <c r="C591" s="13">
        <v>1978.6</v>
      </c>
      <c r="D591" s="13">
        <v>1981</v>
      </c>
      <c r="E591" s="13">
        <v>1943.5</v>
      </c>
      <c r="F591" s="14" t="s">
        <v>1161</v>
      </c>
      <c r="G591" s="15">
        <v>-1.38E-2</v>
      </c>
    </row>
    <row r="592" spans="1:7" x14ac:dyDescent="0.35">
      <c r="A592" s="12" t="s">
        <v>1162</v>
      </c>
      <c r="B592" s="13">
        <v>1952.9</v>
      </c>
      <c r="C592" s="13">
        <v>1949.9</v>
      </c>
      <c r="D592" s="13">
        <v>1957.8</v>
      </c>
      <c r="E592" s="13">
        <v>1938.7</v>
      </c>
      <c r="F592" s="14" t="s">
        <v>1163</v>
      </c>
      <c r="G592" s="15">
        <v>-1.6999999999999999E-3</v>
      </c>
    </row>
    <row r="593" spans="1:7" x14ac:dyDescent="0.35">
      <c r="A593" s="12" t="s">
        <v>1164</v>
      </c>
      <c r="B593" s="13">
        <v>1945.4</v>
      </c>
      <c r="C593" s="13">
        <v>1955</v>
      </c>
      <c r="D593" s="13">
        <v>1955.2</v>
      </c>
      <c r="E593" s="13">
        <v>1935.8</v>
      </c>
      <c r="F593" s="14" t="s">
        <v>1165</v>
      </c>
      <c r="G593" s="15">
        <v>-3.8E-3</v>
      </c>
    </row>
    <row r="594" spans="1:7" x14ac:dyDescent="0.35">
      <c r="A594" s="12" t="s">
        <v>1166</v>
      </c>
      <c r="B594" s="13">
        <v>1893.3</v>
      </c>
      <c r="C594" s="13">
        <v>1932.3</v>
      </c>
      <c r="D594" s="13">
        <v>1932.3</v>
      </c>
      <c r="E594" s="13">
        <v>1890</v>
      </c>
      <c r="F594" s="14" t="s">
        <v>1167</v>
      </c>
      <c r="G594" s="15">
        <v>-2.6800000000000001E-2</v>
      </c>
    </row>
    <row r="595" spans="1:7" x14ac:dyDescent="0.35">
      <c r="A595" s="12" t="s">
        <v>1168</v>
      </c>
      <c r="B595" s="13">
        <v>1901.5</v>
      </c>
      <c r="C595" s="13">
        <v>1898.5</v>
      </c>
      <c r="D595" s="13">
        <v>1908.5</v>
      </c>
      <c r="E595" s="13">
        <v>1894</v>
      </c>
      <c r="F595" s="14" t="s">
        <v>1169</v>
      </c>
      <c r="G595" s="15">
        <v>4.3E-3</v>
      </c>
    </row>
    <row r="596" spans="1:7" x14ac:dyDescent="0.35">
      <c r="A596" s="12" t="s">
        <v>1170</v>
      </c>
      <c r="B596" s="13">
        <v>1885.8</v>
      </c>
      <c r="C596" s="13">
        <v>1903.1</v>
      </c>
      <c r="D596" s="13">
        <v>1903.1</v>
      </c>
      <c r="E596" s="13">
        <v>1879.2</v>
      </c>
      <c r="F596" s="14" t="s">
        <v>1171</v>
      </c>
      <c r="G596" s="15">
        <v>-8.3000000000000001E-3</v>
      </c>
    </row>
    <row r="597" spans="1:7" x14ac:dyDescent="0.35">
      <c r="A597" s="12" t="s">
        <v>1172</v>
      </c>
      <c r="B597" s="13">
        <v>1891.3</v>
      </c>
      <c r="C597" s="13">
        <v>1886.8</v>
      </c>
      <c r="D597" s="13">
        <v>1897.8</v>
      </c>
      <c r="E597" s="13">
        <v>1870.9</v>
      </c>
      <c r="F597" s="14" t="s">
        <v>1173</v>
      </c>
      <c r="G597" s="15">
        <v>2.8999999999999998E-3</v>
      </c>
    </row>
    <row r="598" spans="1:7" x14ac:dyDescent="0.35">
      <c r="A598" s="12" t="s">
        <v>1174</v>
      </c>
      <c r="B598" s="13">
        <v>1863.6</v>
      </c>
      <c r="C598" s="13">
        <v>1896.2</v>
      </c>
      <c r="D598" s="13">
        <v>1900.4</v>
      </c>
      <c r="E598" s="13">
        <v>1853.4</v>
      </c>
      <c r="F598" s="14" t="s">
        <v>1175</v>
      </c>
      <c r="G598" s="15">
        <v>-1.46E-2</v>
      </c>
    </row>
    <row r="599" spans="1:7" x14ac:dyDescent="0.35">
      <c r="A599" s="12" t="s">
        <v>1176</v>
      </c>
      <c r="B599" s="13">
        <v>1870.6</v>
      </c>
      <c r="C599" s="13">
        <v>1863.6</v>
      </c>
      <c r="D599" s="13">
        <v>1878.4</v>
      </c>
      <c r="E599" s="13">
        <v>1849.7</v>
      </c>
      <c r="F599" s="14" t="s">
        <v>1177</v>
      </c>
      <c r="G599" s="15">
        <v>3.8E-3</v>
      </c>
    </row>
    <row r="600" spans="1:7" x14ac:dyDescent="0.35">
      <c r="A600" s="12" t="s">
        <v>1178</v>
      </c>
      <c r="B600" s="13">
        <v>1868.8</v>
      </c>
      <c r="C600" s="13">
        <v>1868.3</v>
      </c>
      <c r="D600" s="13">
        <v>1892</v>
      </c>
      <c r="E600" s="13">
        <v>1861.1</v>
      </c>
      <c r="F600" s="14" t="s">
        <v>1179</v>
      </c>
      <c r="G600" s="15">
        <v>-1E-3</v>
      </c>
    </row>
    <row r="601" spans="1:7" x14ac:dyDescent="0.35">
      <c r="A601" s="12" t="s">
        <v>1180</v>
      </c>
      <c r="B601" s="13">
        <v>1875.7</v>
      </c>
      <c r="C601" s="13">
        <v>1884.1</v>
      </c>
      <c r="D601" s="13">
        <v>1910.7</v>
      </c>
      <c r="E601" s="13">
        <v>1872.3</v>
      </c>
      <c r="F601" s="14" t="s">
        <v>1181</v>
      </c>
      <c r="G601" s="15">
        <v>3.7000000000000002E-3</v>
      </c>
    </row>
    <row r="602" spans="1:7" x14ac:dyDescent="0.35">
      <c r="A602" s="12" t="s">
        <v>1182</v>
      </c>
      <c r="B602" s="13">
        <v>1858.6</v>
      </c>
      <c r="C602" s="13">
        <v>1883.7</v>
      </c>
      <c r="D602" s="13">
        <v>1885.6</v>
      </c>
      <c r="E602" s="13">
        <v>1851</v>
      </c>
      <c r="F602" s="14" t="s">
        <v>1183</v>
      </c>
      <c r="G602" s="15">
        <v>-9.1000000000000004E-3</v>
      </c>
    </row>
    <row r="603" spans="1:7" x14ac:dyDescent="0.35">
      <c r="A603" s="12" t="s">
        <v>1184</v>
      </c>
      <c r="B603" s="13">
        <v>1841</v>
      </c>
      <c r="C603" s="13">
        <v>1853.9</v>
      </c>
      <c r="D603" s="13">
        <v>1864.7</v>
      </c>
      <c r="E603" s="13">
        <v>1834.5</v>
      </c>
      <c r="F603" s="14" t="s">
        <v>1185</v>
      </c>
      <c r="G603" s="15">
        <v>-9.4999999999999998E-3</v>
      </c>
    </row>
    <row r="604" spans="1:7" x14ac:dyDescent="0.35">
      <c r="A604" s="12" t="s">
        <v>1186</v>
      </c>
      <c r="B604" s="13">
        <v>1853.7</v>
      </c>
      <c r="C604" s="13">
        <v>1836.6</v>
      </c>
      <c r="D604" s="13">
        <v>1857.8</v>
      </c>
      <c r="E604" s="13">
        <v>1830.6</v>
      </c>
      <c r="F604" s="14" t="s">
        <v>1187</v>
      </c>
      <c r="G604" s="15">
        <v>6.8999999999999999E-3</v>
      </c>
    </row>
    <row r="605" spans="1:7" x14ac:dyDescent="0.35">
      <c r="A605" s="12" t="s">
        <v>1188</v>
      </c>
      <c r="B605" s="13">
        <v>1824.6</v>
      </c>
      <c r="C605" s="13">
        <v>1852.3</v>
      </c>
      <c r="D605" s="13">
        <v>1858.8</v>
      </c>
      <c r="E605" s="13">
        <v>1820.1</v>
      </c>
      <c r="F605" s="14" t="s">
        <v>1189</v>
      </c>
      <c r="G605" s="15">
        <v>-1.5699999999999999E-2</v>
      </c>
    </row>
    <row r="606" spans="1:7" x14ac:dyDescent="0.35">
      <c r="A606" s="12" t="s">
        <v>1190</v>
      </c>
      <c r="B606" s="13">
        <v>1814</v>
      </c>
      <c r="C606" s="13">
        <v>1809.4</v>
      </c>
      <c r="D606" s="13">
        <v>1826</v>
      </c>
      <c r="E606" s="13">
        <v>1785</v>
      </c>
      <c r="F606" s="14" t="s">
        <v>1191</v>
      </c>
      <c r="G606" s="15">
        <v>-5.7999999999999996E-3</v>
      </c>
    </row>
    <row r="607" spans="1:7" x14ac:dyDescent="0.35">
      <c r="A607" s="12" t="s">
        <v>1192</v>
      </c>
      <c r="B607" s="13">
        <v>1818.9</v>
      </c>
      <c r="C607" s="13">
        <v>1823.9</v>
      </c>
      <c r="D607" s="13">
        <v>1834.8</v>
      </c>
      <c r="E607" s="13">
        <v>1811</v>
      </c>
      <c r="F607" s="14" t="s">
        <v>1193</v>
      </c>
      <c r="G607" s="15">
        <v>2.7000000000000001E-3</v>
      </c>
    </row>
    <row r="608" spans="1:7" x14ac:dyDescent="0.35">
      <c r="A608" s="12" t="s">
        <v>1194</v>
      </c>
      <c r="B608" s="13">
        <v>1815.9</v>
      </c>
      <c r="C608" s="13">
        <v>1813.2</v>
      </c>
      <c r="D608" s="13">
        <v>1822.9</v>
      </c>
      <c r="E608" s="13">
        <v>1805</v>
      </c>
      <c r="F608" s="14" t="s">
        <v>1195</v>
      </c>
      <c r="G608" s="15">
        <v>-1.6000000000000001E-3</v>
      </c>
    </row>
    <row r="609" spans="1:7" x14ac:dyDescent="0.35">
      <c r="A609" s="12" t="s">
        <v>1196</v>
      </c>
      <c r="B609" s="13">
        <v>1841.2</v>
      </c>
      <c r="C609" s="13">
        <v>1815.1</v>
      </c>
      <c r="D609" s="13">
        <v>1848.2</v>
      </c>
      <c r="E609" s="13">
        <v>1808.4</v>
      </c>
      <c r="F609" s="14" t="s">
        <v>1197</v>
      </c>
      <c r="G609" s="15">
        <v>1.3899999999999999E-2</v>
      </c>
    </row>
    <row r="610" spans="1:7" x14ac:dyDescent="0.35">
      <c r="A610" s="12" t="s">
        <v>1198</v>
      </c>
      <c r="B610" s="13">
        <v>1847.8</v>
      </c>
      <c r="C610" s="13">
        <v>1844.4</v>
      </c>
      <c r="D610" s="13">
        <v>1864.3</v>
      </c>
      <c r="E610" s="13">
        <v>1843.3</v>
      </c>
      <c r="F610" s="14" t="s">
        <v>1199</v>
      </c>
      <c r="G610" s="15">
        <v>3.5999999999999999E-3</v>
      </c>
    </row>
    <row r="611" spans="1:7" x14ac:dyDescent="0.35">
      <c r="A611" s="12" t="s">
        <v>1200</v>
      </c>
      <c r="B611" s="13">
        <v>1865.4</v>
      </c>
      <c r="C611" s="13">
        <v>1852.3</v>
      </c>
      <c r="D611" s="13">
        <v>1869.1</v>
      </c>
      <c r="E611" s="13">
        <v>1847.6</v>
      </c>
      <c r="F611" s="14" t="s">
        <v>1201</v>
      </c>
      <c r="G611" s="15">
        <v>9.4999999999999998E-3</v>
      </c>
    </row>
    <row r="612" spans="1:7" x14ac:dyDescent="0.35">
      <c r="A612" s="12" t="s">
        <v>1202</v>
      </c>
      <c r="B612" s="13">
        <v>1846.3</v>
      </c>
      <c r="C612" s="13">
        <v>1865.4</v>
      </c>
      <c r="D612" s="13">
        <v>1866.7</v>
      </c>
      <c r="E612" s="13">
        <v>1838.7</v>
      </c>
      <c r="F612" s="14" t="s">
        <v>1203</v>
      </c>
      <c r="G612" s="15">
        <v>-1.0200000000000001E-2</v>
      </c>
    </row>
    <row r="613" spans="1:7" x14ac:dyDescent="0.35">
      <c r="A613" s="12" t="s">
        <v>1204</v>
      </c>
      <c r="B613" s="13">
        <v>1847.6</v>
      </c>
      <c r="C613" s="13">
        <v>1851.8</v>
      </c>
      <c r="D613" s="13">
        <v>1852.8</v>
      </c>
      <c r="E613" s="13">
        <v>1836.3</v>
      </c>
      <c r="F613" s="14" t="s">
        <v>1205</v>
      </c>
      <c r="G613" s="15">
        <v>6.9999999999999999E-4</v>
      </c>
    </row>
    <row r="614" spans="1:7" x14ac:dyDescent="0.35">
      <c r="A614" s="12" t="s">
        <v>1206</v>
      </c>
      <c r="B614" s="13">
        <v>1845.2</v>
      </c>
      <c r="C614" s="13">
        <v>1852.6</v>
      </c>
      <c r="D614" s="13">
        <v>1863.7</v>
      </c>
      <c r="E614" s="13">
        <v>1834.7</v>
      </c>
      <c r="F614" s="14" t="s">
        <v>1207</v>
      </c>
      <c r="G614" s="15">
        <v>-1.2999999999999999E-3</v>
      </c>
    </row>
    <row r="615" spans="1:7" x14ac:dyDescent="0.35">
      <c r="A615" s="12" t="s">
        <v>1208</v>
      </c>
      <c r="B615" s="13">
        <v>1845.8</v>
      </c>
      <c r="C615" s="13">
        <v>1837.1</v>
      </c>
      <c r="D615" s="13">
        <v>1850</v>
      </c>
      <c r="E615" s="13">
        <v>1827.9</v>
      </c>
      <c r="F615" s="14" t="s">
        <v>1209</v>
      </c>
      <c r="G615" s="15">
        <v>2.9999999999999997E-4</v>
      </c>
    </row>
    <row r="616" spans="1:7" x14ac:dyDescent="0.35">
      <c r="A616" s="12" t="s">
        <v>1210</v>
      </c>
      <c r="B616" s="13">
        <v>1868.4</v>
      </c>
      <c r="C616" s="13">
        <v>1846.8</v>
      </c>
      <c r="D616" s="13">
        <v>1870.7</v>
      </c>
      <c r="E616" s="13">
        <v>1844</v>
      </c>
      <c r="F616" s="14" t="s">
        <v>1211</v>
      </c>
      <c r="G616" s="15">
        <v>1.2200000000000001E-2</v>
      </c>
    </row>
    <row r="617" spans="1:7" x14ac:dyDescent="0.35">
      <c r="A617" s="12" t="s">
        <v>1212</v>
      </c>
      <c r="B617" s="13">
        <v>1840.8</v>
      </c>
      <c r="C617" s="13">
        <v>1849.9</v>
      </c>
      <c r="D617" s="13">
        <v>1857.5</v>
      </c>
      <c r="E617" s="13">
        <v>1840.3</v>
      </c>
      <c r="F617" s="14" t="s">
        <v>1213</v>
      </c>
      <c r="G617" s="15">
        <v>-1.4800000000000001E-2</v>
      </c>
    </row>
    <row r="618" spans="1:7" x14ac:dyDescent="0.35">
      <c r="A618" s="12" t="s">
        <v>1214</v>
      </c>
      <c r="B618" s="13">
        <v>1849.2</v>
      </c>
      <c r="C618" s="13">
        <v>1841.1</v>
      </c>
      <c r="D618" s="13">
        <v>1855</v>
      </c>
      <c r="E618" s="13">
        <v>1836</v>
      </c>
      <c r="F618" s="14" t="s">
        <v>1215</v>
      </c>
      <c r="G618" s="15">
        <v>4.5999999999999999E-3</v>
      </c>
    </row>
    <row r="619" spans="1:7" x14ac:dyDescent="0.35">
      <c r="A619" s="12" t="s">
        <v>1216</v>
      </c>
      <c r="B619" s="13">
        <v>1853.6</v>
      </c>
      <c r="C619" s="13">
        <v>1852</v>
      </c>
      <c r="D619" s="13">
        <v>1859.1</v>
      </c>
      <c r="E619" s="13">
        <v>1844.4</v>
      </c>
      <c r="F619" s="14" t="s">
        <v>1217</v>
      </c>
      <c r="G619" s="15">
        <v>2.3999999999999998E-3</v>
      </c>
    </row>
    <row r="620" spans="1:7" x14ac:dyDescent="0.35">
      <c r="A620" s="12" t="s">
        <v>1218</v>
      </c>
      <c r="B620" s="13">
        <v>1850.1</v>
      </c>
      <c r="C620" s="13">
        <v>1853.2</v>
      </c>
      <c r="D620" s="13">
        <v>1853.8</v>
      </c>
      <c r="E620" s="13">
        <v>1839</v>
      </c>
      <c r="F620" s="14" t="s">
        <v>1219</v>
      </c>
      <c r="G620" s="15">
        <v>-1.9E-3</v>
      </c>
    </row>
    <row r="621" spans="1:7" x14ac:dyDescent="0.35">
      <c r="A621" s="12" t="s">
        <v>1220</v>
      </c>
      <c r="B621" s="13">
        <v>1829.2</v>
      </c>
      <c r="C621" s="13">
        <v>1876.4</v>
      </c>
      <c r="D621" s="13">
        <v>1879.5</v>
      </c>
      <c r="E621" s="13">
        <v>1818.6</v>
      </c>
      <c r="F621" s="14" t="s">
        <v>1221</v>
      </c>
      <c r="G621" s="15">
        <v>-1.1299999999999999E-2</v>
      </c>
    </row>
    <row r="622" spans="1:7" x14ac:dyDescent="0.35">
      <c r="A622" s="12" t="s">
        <v>1222</v>
      </c>
      <c r="B622" s="13">
        <v>1810.5</v>
      </c>
      <c r="C622" s="13">
        <v>1810.7</v>
      </c>
      <c r="D622" s="13">
        <v>1830</v>
      </c>
      <c r="E622" s="13">
        <v>1803</v>
      </c>
      <c r="F622" s="14" t="s">
        <v>1223</v>
      </c>
      <c r="G622" s="15">
        <v>-1.0200000000000001E-2</v>
      </c>
    </row>
    <row r="623" spans="1:7" x14ac:dyDescent="0.35">
      <c r="A623" s="12" t="s">
        <v>1224</v>
      </c>
      <c r="B623" s="13">
        <v>1816.3</v>
      </c>
      <c r="C623" s="13">
        <v>1806.6</v>
      </c>
      <c r="D623" s="13">
        <v>1840</v>
      </c>
      <c r="E623" s="13">
        <v>1805.6</v>
      </c>
      <c r="F623" s="14" t="s">
        <v>1225</v>
      </c>
      <c r="G623" s="15">
        <v>3.2000000000000002E-3</v>
      </c>
    </row>
    <row r="624" spans="1:7" x14ac:dyDescent="0.35">
      <c r="A624" s="12" t="s">
        <v>1226</v>
      </c>
      <c r="B624" s="13">
        <v>1846.6</v>
      </c>
      <c r="C624" s="13">
        <v>1831.9</v>
      </c>
      <c r="D624" s="13">
        <v>1855.8</v>
      </c>
      <c r="E624" s="13">
        <v>1815.8</v>
      </c>
      <c r="F624" s="14" t="s">
        <v>1227</v>
      </c>
      <c r="G624" s="15">
        <v>1.67E-2</v>
      </c>
    </row>
    <row r="625" spans="1:7" x14ac:dyDescent="0.35">
      <c r="A625" s="12" t="s">
        <v>1228</v>
      </c>
      <c r="B625" s="13">
        <v>1835.4</v>
      </c>
      <c r="C625" s="13">
        <v>1834.7</v>
      </c>
      <c r="D625" s="13">
        <v>1842.4</v>
      </c>
      <c r="E625" s="13">
        <v>1831</v>
      </c>
      <c r="F625" s="14" t="s">
        <v>1229</v>
      </c>
      <c r="G625" s="15">
        <v>-6.1000000000000004E-3</v>
      </c>
    </row>
    <row r="626" spans="1:7" x14ac:dyDescent="0.35">
      <c r="A626" s="12" t="s">
        <v>1230</v>
      </c>
      <c r="B626" s="13">
        <v>1835.2</v>
      </c>
      <c r="C626" s="13">
        <v>1829.3</v>
      </c>
      <c r="D626" s="13">
        <v>1845.1</v>
      </c>
      <c r="E626" s="13">
        <v>1822.3</v>
      </c>
      <c r="F626" s="14" t="s">
        <v>1231</v>
      </c>
      <c r="G626" s="15">
        <v>-1E-4</v>
      </c>
    </row>
    <row r="627" spans="1:7" x14ac:dyDescent="0.35">
      <c r="A627" s="12" t="s">
        <v>1232</v>
      </c>
      <c r="B627" s="13">
        <v>1826.3</v>
      </c>
      <c r="C627" s="13">
        <v>1835</v>
      </c>
      <c r="D627" s="13">
        <v>1842.9</v>
      </c>
      <c r="E627" s="13">
        <v>1822.4</v>
      </c>
      <c r="F627" s="14" t="s">
        <v>1233</v>
      </c>
      <c r="G627" s="15">
        <v>-4.7999999999999996E-3</v>
      </c>
    </row>
    <row r="628" spans="1:7" x14ac:dyDescent="0.35">
      <c r="A628" s="12" t="s">
        <v>1234</v>
      </c>
      <c r="B628" s="13">
        <v>1821</v>
      </c>
      <c r="C628" s="13">
        <v>1833.4</v>
      </c>
      <c r="D628" s="13">
        <v>1837.3</v>
      </c>
      <c r="E628" s="13">
        <v>1818</v>
      </c>
      <c r="F628" s="14" t="s">
        <v>1235</v>
      </c>
      <c r="G628" s="15">
        <v>-2.8999999999999998E-3</v>
      </c>
    </row>
    <row r="629" spans="1:7" x14ac:dyDescent="0.35">
      <c r="A629" s="12" t="s">
        <v>1236</v>
      </c>
      <c r="B629" s="13">
        <v>1817.5</v>
      </c>
      <c r="C629" s="13">
        <v>1820.1</v>
      </c>
      <c r="D629" s="13">
        <v>1825.3</v>
      </c>
      <c r="E629" s="13">
        <v>1816.4</v>
      </c>
      <c r="F629" s="14" t="s">
        <v>1237</v>
      </c>
      <c r="G629" s="15">
        <v>-1.9E-3</v>
      </c>
    </row>
    <row r="630" spans="1:7" x14ac:dyDescent="0.35">
      <c r="A630" s="12" t="s">
        <v>1238</v>
      </c>
      <c r="B630" s="13">
        <v>1817.5</v>
      </c>
      <c r="C630" s="13">
        <v>1821.4</v>
      </c>
      <c r="D630" s="13">
        <v>1834.9</v>
      </c>
      <c r="E630" s="13">
        <v>1810.7</v>
      </c>
      <c r="F630" s="14" t="s">
        <v>1239</v>
      </c>
      <c r="G630" s="15">
        <v>0</v>
      </c>
    </row>
    <row r="631" spans="1:7" x14ac:dyDescent="0.35">
      <c r="A631" s="12" t="s">
        <v>1240</v>
      </c>
      <c r="B631" s="13">
        <v>1807.3</v>
      </c>
      <c r="C631" s="13">
        <v>1819.2</v>
      </c>
      <c r="D631" s="13">
        <v>1826.8</v>
      </c>
      <c r="E631" s="13">
        <v>1802.5</v>
      </c>
      <c r="F631" s="14" t="s">
        <v>1241</v>
      </c>
      <c r="G631" s="15">
        <v>-5.5999999999999999E-3</v>
      </c>
    </row>
    <row r="632" spans="1:7" x14ac:dyDescent="0.35">
      <c r="A632" s="12" t="s">
        <v>1242</v>
      </c>
      <c r="B632" s="13">
        <v>1763.9</v>
      </c>
      <c r="C632" s="13">
        <v>1814.4</v>
      </c>
      <c r="D632" s="13">
        <v>1815.2</v>
      </c>
      <c r="E632" s="13">
        <v>1763</v>
      </c>
      <c r="F632" s="14" t="s">
        <v>1243</v>
      </c>
      <c r="G632" s="15">
        <v>-2.4E-2</v>
      </c>
    </row>
    <row r="633" spans="1:7" x14ac:dyDescent="0.35">
      <c r="A633" s="12" t="s">
        <v>1244</v>
      </c>
      <c r="B633" s="13">
        <v>1736.5</v>
      </c>
      <c r="C633" s="13">
        <v>1764.2</v>
      </c>
      <c r="D633" s="13">
        <v>1771.5</v>
      </c>
      <c r="E633" s="13">
        <v>1730.7</v>
      </c>
      <c r="F633" s="14" t="s">
        <v>1245</v>
      </c>
      <c r="G633" s="15">
        <v>-1.55E-2</v>
      </c>
    </row>
    <row r="634" spans="1:7" x14ac:dyDescent="0.35">
      <c r="A634" s="12" t="s">
        <v>1246</v>
      </c>
      <c r="B634" s="13">
        <v>1739.7</v>
      </c>
      <c r="C634" s="13">
        <v>1737.2</v>
      </c>
      <c r="D634" s="13">
        <v>1748.2</v>
      </c>
      <c r="E634" s="13">
        <v>1734.7</v>
      </c>
      <c r="F634" s="14" t="s">
        <v>1247</v>
      </c>
      <c r="G634" s="15">
        <v>1.8E-3</v>
      </c>
    </row>
    <row r="635" spans="1:7" x14ac:dyDescent="0.35">
      <c r="A635" s="12" t="s">
        <v>1248</v>
      </c>
      <c r="B635" s="13">
        <v>1731.7</v>
      </c>
      <c r="C635" s="13">
        <v>1741.5</v>
      </c>
      <c r="D635" s="13">
        <v>1743</v>
      </c>
      <c r="E635" s="13">
        <v>1729</v>
      </c>
      <c r="F635" s="14" t="s">
        <v>1249</v>
      </c>
      <c r="G635" s="15">
        <v>-4.5999999999999999E-3</v>
      </c>
    </row>
    <row r="636" spans="1:7" x14ac:dyDescent="0.35">
      <c r="A636" s="12" t="s">
        <v>1250</v>
      </c>
      <c r="B636" s="13">
        <v>1724.8</v>
      </c>
      <c r="C636" s="13">
        <v>1731.3</v>
      </c>
      <c r="D636" s="13">
        <v>1742.2</v>
      </c>
      <c r="E636" s="13">
        <v>1721.6</v>
      </c>
      <c r="F636" s="14" t="s">
        <v>1251</v>
      </c>
      <c r="G636" s="15">
        <v>-4.0000000000000001E-3</v>
      </c>
    </row>
    <row r="637" spans="1:7" x14ac:dyDescent="0.35">
      <c r="A637" s="12" t="s">
        <v>1252</v>
      </c>
      <c r="B637" s="13">
        <v>1735.5</v>
      </c>
      <c r="C637" s="13">
        <v>1723.6</v>
      </c>
      <c r="D637" s="13">
        <v>1744.3</v>
      </c>
      <c r="E637" s="13">
        <v>1704.5</v>
      </c>
      <c r="F637" s="14" t="s">
        <v>1253</v>
      </c>
      <c r="G637" s="15">
        <v>6.1999999999999998E-3</v>
      </c>
    </row>
    <row r="638" spans="1:7" x14ac:dyDescent="0.35">
      <c r="A638" s="12" t="s">
        <v>1254</v>
      </c>
      <c r="B638" s="13">
        <v>1705.8</v>
      </c>
      <c r="C638" s="13">
        <v>1733.6</v>
      </c>
      <c r="D638" s="13">
        <v>1734.8</v>
      </c>
      <c r="E638" s="13">
        <v>1695</v>
      </c>
      <c r="F638" s="14" t="s">
        <v>1255</v>
      </c>
      <c r="G638" s="15">
        <v>-1.7100000000000001E-2</v>
      </c>
    </row>
    <row r="639" spans="1:7" x14ac:dyDescent="0.35">
      <c r="A639" s="12" t="s">
        <v>1256</v>
      </c>
      <c r="B639" s="13">
        <v>1710.2</v>
      </c>
      <c r="C639" s="13">
        <v>1706.4</v>
      </c>
      <c r="D639" s="13">
        <v>1722</v>
      </c>
      <c r="E639" s="13">
        <v>1704.4</v>
      </c>
      <c r="F639" s="14" t="s">
        <v>1257</v>
      </c>
      <c r="G639" s="15">
        <v>2.5999999999999999E-3</v>
      </c>
    </row>
    <row r="640" spans="1:7" x14ac:dyDescent="0.35">
      <c r="A640" s="12" t="s">
        <v>1258</v>
      </c>
      <c r="B640" s="13">
        <v>1710.7</v>
      </c>
      <c r="C640" s="13">
        <v>1707.2</v>
      </c>
      <c r="D640" s="13">
        <v>1716.5</v>
      </c>
      <c r="E640" s="13">
        <v>1702.6</v>
      </c>
      <c r="F640" s="14" t="s">
        <v>1259</v>
      </c>
      <c r="G640" s="15">
        <v>2.9999999999999997E-4</v>
      </c>
    </row>
    <row r="641" spans="1:7" x14ac:dyDescent="0.35">
      <c r="A641" s="12" t="s">
        <v>1260</v>
      </c>
      <c r="B641" s="13">
        <v>1700.2</v>
      </c>
      <c r="C641" s="13">
        <v>1709.5</v>
      </c>
      <c r="D641" s="13">
        <v>1712.7</v>
      </c>
      <c r="E641" s="13">
        <v>1690.1</v>
      </c>
      <c r="F641" s="14" t="s">
        <v>1261</v>
      </c>
      <c r="G641" s="15">
        <v>-6.1000000000000004E-3</v>
      </c>
    </row>
    <row r="642" spans="1:7" x14ac:dyDescent="0.35">
      <c r="A642" s="12" t="s">
        <v>1262</v>
      </c>
      <c r="B642" s="13">
        <v>1713.4</v>
      </c>
      <c r="C642" s="13">
        <v>1693.7</v>
      </c>
      <c r="D642" s="13">
        <v>1719.5</v>
      </c>
      <c r="E642" s="13">
        <v>1678.4</v>
      </c>
      <c r="F642" s="14" t="s">
        <v>1263</v>
      </c>
      <c r="G642" s="15">
        <v>7.7999999999999996E-3</v>
      </c>
    </row>
    <row r="643" spans="1:7" x14ac:dyDescent="0.35">
      <c r="A643" s="12" t="s">
        <v>1264</v>
      </c>
      <c r="B643" s="13">
        <v>1719.1</v>
      </c>
      <c r="C643" s="13">
        <v>1726.3</v>
      </c>
      <c r="D643" s="13">
        <v>1734.6</v>
      </c>
      <c r="E643" s="13">
        <v>1712.9</v>
      </c>
      <c r="F643" s="14" t="s">
        <v>1265</v>
      </c>
      <c r="G643" s="15">
        <v>3.3E-3</v>
      </c>
    </row>
    <row r="644" spans="1:7" x14ac:dyDescent="0.35">
      <c r="A644" s="12" t="s">
        <v>1266</v>
      </c>
      <c r="B644" s="13">
        <v>1717.7</v>
      </c>
      <c r="C644" s="13">
        <v>1717.9</v>
      </c>
      <c r="D644" s="13">
        <v>1726.4</v>
      </c>
      <c r="E644" s="13">
        <v>1711.5</v>
      </c>
      <c r="F644" s="14" t="s">
        <v>1267</v>
      </c>
      <c r="G644" s="15">
        <v>-8.0000000000000004E-4</v>
      </c>
    </row>
    <row r="645" spans="1:7" x14ac:dyDescent="0.35">
      <c r="A645" s="12" t="s">
        <v>1268</v>
      </c>
      <c r="B645" s="13">
        <v>1719.1</v>
      </c>
      <c r="C645" s="13">
        <v>1715.2</v>
      </c>
      <c r="D645" s="13">
        <v>1739.6</v>
      </c>
      <c r="E645" s="13">
        <v>1709.1</v>
      </c>
      <c r="F645" s="14" t="s">
        <v>1269</v>
      </c>
      <c r="G645" s="15">
        <v>8.0000000000000004E-4</v>
      </c>
    </row>
    <row r="646" spans="1:7" x14ac:dyDescent="0.35">
      <c r="A646" s="12" t="s">
        <v>1270</v>
      </c>
      <c r="B646" s="13">
        <v>1754.4</v>
      </c>
      <c r="C646" s="13">
        <v>1737</v>
      </c>
      <c r="D646" s="13">
        <v>1759</v>
      </c>
      <c r="E646" s="13">
        <v>1736.5</v>
      </c>
      <c r="F646" s="14" t="s">
        <v>1271</v>
      </c>
      <c r="G646" s="15">
        <v>2.0500000000000001E-2</v>
      </c>
    </row>
    <row r="647" spans="1:7" x14ac:dyDescent="0.35">
      <c r="A647" s="12" t="s">
        <v>1272</v>
      </c>
      <c r="B647" s="13">
        <v>1772.7</v>
      </c>
      <c r="C647" s="13">
        <v>1767.7</v>
      </c>
      <c r="D647" s="13">
        <v>1777</v>
      </c>
      <c r="E647" s="13">
        <v>1759.8</v>
      </c>
      <c r="F647" s="14" t="s">
        <v>1273</v>
      </c>
      <c r="G647" s="15">
        <v>1.04E-2</v>
      </c>
    </row>
    <row r="648" spans="1:7" x14ac:dyDescent="0.35">
      <c r="A648" s="12" t="s">
        <v>1274</v>
      </c>
      <c r="B648" s="13">
        <v>1774.8</v>
      </c>
      <c r="C648" s="13">
        <v>1773.9</v>
      </c>
      <c r="D648" s="13">
        <v>1790.5</v>
      </c>
      <c r="E648" s="13">
        <v>1762</v>
      </c>
      <c r="F648" s="14" t="s">
        <v>1275</v>
      </c>
      <c r="G648" s="15">
        <v>1.1999999999999999E-3</v>
      </c>
    </row>
    <row r="649" spans="1:7" x14ac:dyDescent="0.35">
      <c r="A649" s="12" t="s">
        <v>1276</v>
      </c>
      <c r="B649" s="13">
        <v>1760.9</v>
      </c>
      <c r="C649" s="13">
        <v>1763</v>
      </c>
      <c r="D649" s="13">
        <v>1774</v>
      </c>
      <c r="E649" s="13">
        <v>1754.8</v>
      </c>
      <c r="F649" s="14" t="s">
        <v>1277</v>
      </c>
      <c r="G649" s="15">
        <v>-7.7999999999999996E-3</v>
      </c>
    </row>
    <row r="650" spans="1:7" x14ac:dyDescent="0.35">
      <c r="A650" s="12" t="s">
        <v>1278</v>
      </c>
      <c r="B650" s="13">
        <v>1791.2</v>
      </c>
      <c r="C650" s="13">
        <v>1765.8</v>
      </c>
      <c r="D650" s="13">
        <v>1795.5</v>
      </c>
      <c r="E650" s="13">
        <v>1764.1</v>
      </c>
      <c r="F650" s="14" t="s">
        <v>1279</v>
      </c>
      <c r="G650" s="15">
        <v>1.72E-2</v>
      </c>
    </row>
    <row r="651" spans="1:7" x14ac:dyDescent="0.35">
      <c r="A651" s="12" t="s">
        <v>1280</v>
      </c>
      <c r="B651" s="13">
        <v>1789.6</v>
      </c>
      <c r="C651" s="13">
        <v>1776.3</v>
      </c>
      <c r="D651" s="13">
        <v>1790.3</v>
      </c>
      <c r="E651" s="13">
        <v>1771.5</v>
      </c>
      <c r="F651" s="14" t="s">
        <v>1281</v>
      </c>
      <c r="G651" s="15">
        <v>-8.9999999999999998E-4</v>
      </c>
    </row>
    <row r="652" spans="1:7" x14ac:dyDescent="0.35">
      <c r="A652" s="12" t="s">
        <v>1282</v>
      </c>
      <c r="B652" s="13">
        <v>1796.8</v>
      </c>
      <c r="C652" s="13">
        <v>1789.5</v>
      </c>
      <c r="D652" s="13">
        <v>1801</v>
      </c>
      <c r="E652" s="13">
        <v>1784</v>
      </c>
      <c r="F652" s="14" t="s">
        <v>1283</v>
      </c>
      <c r="G652" s="15">
        <v>4.0000000000000001E-3</v>
      </c>
    </row>
    <row r="653" spans="1:7" x14ac:dyDescent="0.35">
      <c r="A653" s="12" t="s">
        <v>1284</v>
      </c>
      <c r="B653" s="13">
        <v>1798.5</v>
      </c>
      <c r="C653" s="13">
        <v>1796</v>
      </c>
      <c r="D653" s="13">
        <v>1809.1</v>
      </c>
      <c r="E653" s="13">
        <v>1788.2</v>
      </c>
      <c r="F653" s="14" t="s">
        <v>1285</v>
      </c>
      <c r="G653" s="15">
        <v>8.9999999999999998E-4</v>
      </c>
    </row>
    <row r="654" spans="1:7" x14ac:dyDescent="0.35">
      <c r="A654" s="12" t="s">
        <v>1286</v>
      </c>
      <c r="B654" s="13">
        <v>1792.1</v>
      </c>
      <c r="C654" s="13">
        <v>1792.3</v>
      </c>
      <c r="D654" s="13">
        <v>1799</v>
      </c>
      <c r="E654" s="13">
        <v>1784</v>
      </c>
      <c r="F654" s="14" t="s">
        <v>1287</v>
      </c>
      <c r="G654" s="15">
        <v>-3.5999999999999999E-3</v>
      </c>
    </row>
    <row r="655" spans="1:7" x14ac:dyDescent="0.35">
      <c r="A655" s="12" t="s">
        <v>1288</v>
      </c>
      <c r="B655" s="13">
        <v>1783.3</v>
      </c>
      <c r="C655" s="13">
        <v>1803.7</v>
      </c>
      <c r="D655" s="13">
        <v>1803.7</v>
      </c>
      <c r="E655" s="13">
        <v>1772.8</v>
      </c>
      <c r="F655" s="14" t="s">
        <v>1289</v>
      </c>
      <c r="G655" s="15">
        <v>-4.8999999999999998E-3</v>
      </c>
    </row>
    <row r="656" spans="1:7" x14ac:dyDescent="0.35">
      <c r="A656" s="12" t="s">
        <v>1290</v>
      </c>
      <c r="B656" s="13">
        <v>1774.9</v>
      </c>
      <c r="C656" s="13">
        <v>1780.1</v>
      </c>
      <c r="D656" s="13">
        <v>1783</v>
      </c>
      <c r="E656" s="13">
        <v>1770.5</v>
      </c>
      <c r="F656" s="14" t="s">
        <v>1291</v>
      </c>
      <c r="G656" s="15">
        <v>-4.7000000000000002E-3</v>
      </c>
    </row>
    <row r="657" spans="1:7" x14ac:dyDescent="0.35">
      <c r="A657" s="12" t="s">
        <v>1292</v>
      </c>
      <c r="B657" s="13">
        <v>1761.9</v>
      </c>
      <c r="C657" s="13">
        <v>1775.5</v>
      </c>
      <c r="D657" s="13">
        <v>1781.7</v>
      </c>
      <c r="E657" s="13">
        <v>1759</v>
      </c>
      <c r="F657" s="14" t="s">
        <v>1293</v>
      </c>
      <c r="G657" s="15">
        <v>-7.3000000000000001E-3</v>
      </c>
    </row>
    <row r="658" spans="1:7" x14ac:dyDescent="0.35">
      <c r="A658" s="12" t="s">
        <v>1294</v>
      </c>
      <c r="B658" s="13">
        <v>1756.5</v>
      </c>
      <c r="C658" s="13">
        <v>1763</v>
      </c>
      <c r="D658" s="13">
        <v>1771</v>
      </c>
      <c r="E658" s="13">
        <v>1754.6</v>
      </c>
      <c r="F658" s="14" t="s">
        <v>1295</v>
      </c>
      <c r="G658" s="15">
        <v>-3.0999999999999999E-3</v>
      </c>
    </row>
    <row r="659" spans="1:7" x14ac:dyDescent="0.35">
      <c r="A659" s="12" t="s">
        <v>1296</v>
      </c>
      <c r="B659" s="13">
        <v>1734.4</v>
      </c>
      <c r="C659" s="13">
        <v>1747</v>
      </c>
      <c r="D659" s="13">
        <v>1747</v>
      </c>
      <c r="E659" s="13">
        <v>1726</v>
      </c>
      <c r="F659" s="14" t="s">
        <v>654</v>
      </c>
      <c r="G659" s="15">
        <v>-1.26E-2</v>
      </c>
    </row>
    <row r="660" spans="1:7" x14ac:dyDescent="0.35">
      <c r="A660" s="12" t="s">
        <v>1297</v>
      </c>
      <c r="B660" s="13">
        <v>1747.3</v>
      </c>
      <c r="C660" s="13">
        <v>1734.6</v>
      </c>
      <c r="D660" s="13">
        <v>1753</v>
      </c>
      <c r="E660" s="13">
        <v>1730</v>
      </c>
      <c r="F660" s="14" t="s">
        <v>1298</v>
      </c>
      <c r="G660" s="15">
        <v>7.4000000000000003E-3</v>
      </c>
    </row>
    <row r="661" spans="1:7" x14ac:dyDescent="0.35">
      <c r="A661" s="12" t="s">
        <v>1299</v>
      </c>
      <c r="B661" s="13">
        <v>1747.8</v>
      </c>
      <c r="C661" s="13">
        <v>1746</v>
      </c>
      <c r="D661" s="13">
        <v>1755.2</v>
      </c>
      <c r="E661" s="13">
        <v>1742</v>
      </c>
      <c r="F661" s="14" t="s">
        <v>1300</v>
      </c>
      <c r="G661" s="15">
        <v>2.9999999999999997E-4</v>
      </c>
    </row>
    <row r="662" spans="1:7" x14ac:dyDescent="0.35">
      <c r="A662" s="12" t="s">
        <v>1301</v>
      </c>
      <c r="B662" s="13">
        <v>1757.8</v>
      </c>
      <c r="C662" s="13">
        <v>1751.1</v>
      </c>
      <c r="D662" s="13">
        <v>1765.1</v>
      </c>
      <c r="E662" s="13">
        <v>1750</v>
      </c>
      <c r="F662" s="14" t="s">
        <v>1302</v>
      </c>
      <c r="G662" s="15">
        <v>5.7000000000000002E-3</v>
      </c>
    </row>
    <row r="663" spans="1:7" x14ac:dyDescent="0.35">
      <c r="A663" s="12" t="s">
        <v>1303</v>
      </c>
      <c r="B663" s="13">
        <v>1736.7</v>
      </c>
      <c r="C663" s="13">
        <v>1736</v>
      </c>
      <c r="D663" s="13">
        <v>1741</v>
      </c>
      <c r="E663" s="13">
        <v>1718.2</v>
      </c>
      <c r="F663" s="14" t="s">
        <v>1304</v>
      </c>
      <c r="G663" s="15">
        <v>-1.2E-2</v>
      </c>
    </row>
    <row r="664" spans="1:7" x14ac:dyDescent="0.35">
      <c r="A664" s="12" t="s">
        <v>1305</v>
      </c>
      <c r="B664" s="13">
        <v>1726.9</v>
      </c>
      <c r="C664" s="13">
        <v>1740.5</v>
      </c>
      <c r="D664" s="13">
        <v>1743.1</v>
      </c>
      <c r="E664" s="13">
        <v>1723.7</v>
      </c>
      <c r="F664" s="14" t="s">
        <v>1306</v>
      </c>
      <c r="G664" s="15">
        <v>-5.5999999999999999E-3</v>
      </c>
    </row>
    <row r="665" spans="1:7" x14ac:dyDescent="0.35">
      <c r="A665" s="12" t="s">
        <v>1307</v>
      </c>
      <c r="B665" s="13">
        <v>1716.9</v>
      </c>
      <c r="C665" s="13">
        <v>1725.8</v>
      </c>
      <c r="D665" s="13">
        <v>1728.7</v>
      </c>
      <c r="E665" s="13">
        <v>1711.7</v>
      </c>
      <c r="F665" s="14" t="s">
        <v>1308</v>
      </c>
      <c r="G665" s="15">
        <v>-5.7999999999999996E-3</v>
      </c>
    </row>
    <row r="666" spans="1:7" x14ac:dyDescent="0.35">
      <c r="A666" s="12" t="s">
        <v>1309</v>
      </c>
      <c r="B666" s="13">
        <v>1699.6</v>
      </c>
      <c r="C666" s="13">
        <v>1713.1</v>
      </c>
      <c r="D666" s="13">
        <v>1713.1</v>
      </c>
      <c r="E666" s="13">
        <v>1689.8</v>
      </c>
      <c r="F666" s="14" t="s">
        <v>1310</v>
      </c>
      <c r="G666" s="15">
        <v>-1.01E-2</v>
      </c>
    </row>
    <row r="667" spans="1:7" x14ac:dyDescent="0.35">
      <c r="A667" s="12" t="s">
        <v>1311</v>
      </c>
      <c r="B667" s="13">
        <v>1703.4</v>
      </c>
      <c r="C667" s="13">
        <v>1715</v>
      </c>
      <c r="D667" s="13">
        <v>1727</v>
      </c>
      <c r="E667" s="13">
        <v>1701</v>
      </c>
      <c r="F667" s="14" t="s">
        <v>1312</v>
      </c>
      <c r="G667" s="15">
        <v>2.2000000000000001E-3</v>
      </c>
    </row>
    <row r="668" spans="1:7" x14ac:dyDescent="0.35">
      <c r="A668" s="12" t="s">
        <v>1313</v>
      </c>
      <c r="B668" s="13">
        <v>1718.2</v>
      </c>
      <c r="C668" s="13">
        <v>1703.2</v>
      </c>
      <c r="D668" s="13">
        <v>1721.4</v>
      </c>
      <c r="E668" s="13">
        <v>1692.5</v>
      </c>
      <c r="F668" s="14" t="s">
        <v>1314</v>
      </c>
      <c r="G668" s="15">
        <v>8.6999999999999994E-3</v>
      </c>
    </row>
    <row r="669" spans="1:7" x14ac:dyDescent="0.35">
      <c r="A669" s="12" t="s">
        <v>1315</v>
      </c>
      <c r="B669" s="13">
        <v>1710.6</v>
      </c>
      <c r="C669" s="13">
        <v>1720.3</v>
      </c>
      <c r="D669" s="13">
        <v>1729.3</v>
      </c>
      <c r="E669" s="13">
        <v>1704.4</v>
      </c>
      <c r="F669" s="14" t="s">
        <v>1316</v>
      </c>
      <c r="G669" s="15">
        <v>-4.4000000000000003E-3</v>
      </c>
    </row>
    <row r="670" spans="1:7" x14ac:dyDescent="0.35">
      <c r="A670" s="12" t="s">
        <v>1317</v>
      </c>
      <c r="B670" s="13">
        <v>1730.8</v>
      </c>
      <c r="C670" s="13">
        <v>1719.2</v>
      </c>
      <c r="D670" s="13">
        <v>1736.4</v>
      </c>
      <c r="E670" s="13">
        <v>1712.7</v>
      </c>
      <c r="F670" s="14" t="s">
        <v>1318</v>
      </c>
      <c r="G670" s="15">
        <v>1.18E-2</v>
      </c>
    </row>
    <row r="671" spans="1:7" x14ac:dyDescent="0.35">
      <c r="A671" s="12" t="s">
        <v>1319</v>
      </c>
      <c r="B671" s="13">
        <v>1707.1</v>
      </c>
      <c r="C671" s="13">
        <v>1725.8</v>
      </c>
      <c r="D671" s="13">
        <v>1732.8</v>
      </c>
      <c r="E671" s="13">
        <v>1696.9</v>
      </c>
      <c r="F671" s="14" t="s">
        <v>1320</v>
      </c>
      <c r="G671" s="15">
        <v>-1.37E-2</v>
      </c>
    </row>
    <row r="672" spans="1:7" x14ac:dyDescent="0.35">
      <c r="A672" s="12" t="s">
        <v>1321</v>
      </c>
      <c r="B672" s="13">
        <v>1698.2</v>
      </c>
      <c r="C672" s="13">
        <v>1702.5</v>
      </c>
      <c r="D672" s="13">
        <v>1706.8</v>
      </c>
      <c r="E672" s="13">
        <v>1692.8</v>
      </c>
      <c r="F672" s="14" t="s">
        <v>1322</v>
      </c>
      <c r="G672" s="15">
        <v>-5.1999999999999998E-3</v>
      </c>
    </row>
    <row r="673" spans="1:7" x14ac:dyDescent="0.35">
      <c r="A673" s="12" t="s">
        <v>1323</v>
      </c>
      <c r="B673" s="13">
        <v>1666.8</v>
      </c>
      <c r="C673" s="13">
        <v>1696.8</v>
      </c>
      <c r="D673" s="13">
        <v>1696.8</v>
      </c>
      <c r="E673" s="13">
        <v>1658.7</v>
      </c>
      <c r="F673" s="14" t="s">
        <v>1324</v>
      </c>
      <c r="G673" s="15">
        <v>-1.8499999999999999E-2</v>
      </c>
    </row>
    <row r="674" spans="1:7" x14ac:dyDescent="0.35">
      <c r="A674" s="12" t="s">
        <v>1325</v>
      </c>
      <c r="B674" s="13">
        <v>1667.6</v>
      </c>
      <c r="C674" s="13">
        <v>1673</v>
      </c>
      <c r="D674" s="13">
        <v>1678</v>
      </c>
      <c r="E674" s="13">
        <v>1657.1</v>
      </c>
      <c r="F674" s="14" t="s">
        <v>1326</v>
      </c>
      <c r="G674" s="15">
        <v>5.0000000000000001E-4</v>
      </c>
    </row>
    <row r="675" spans="1:7" x14ac:dyDescent="0.35">
      <c r="A675" s="12" t="s">
        <v>1327</v>
      </c>
      <c r="B675" s="13">
        <v>1661</v>
      </c>
      <c r="C675" s="13">
        <v>1674.6</v>
      </c>
      <c r="D675" s="13">
        <v>1678</v>
      </c>
      <c r="E675" s="13">
        <v>1657.8</v>
      </c>
      <c r="F675" s="14" t="s">
        <v>1328</v>
      </c>
      <c r="G675" s="15">
        <v>-4.0000000000000001E-3</v>
      </c>
    </row>
    <row r="676" spans="1:7" x14ac:dyDescent="0.35">
      <c r="A676" s="12" t="s">
        <v>1329</v>
      </c>
      <c r="B676" s="13">
        <v>1665.8</v>
      </c>
      <c r="C676" s="13">
        <v>1664.6</v>
      </c>
      <c r="D676" s="13">
        <v>1687</v>
      </c>
      <c r="E676" s="13">
        <v>1651.5</v>
      </c>
      <c r="F676" s="14" t="s">
        <v>1330</v>
      </c>
      <c r="G676" s="15">
        <v>2.8999999999999998E-3</v>
      </c>
    </row>
    <row r="677" spans="1:7" x14ac:dyDescent="0.35">
      <c r="A677" s="12" t="s">
        <v>1331</v>
      </c>
      <c r="B677" s="13">
        <v>1671.4</v>
      </c>
      <c r="C677" s="13">
        <v>1670.4</v>
      </c>
      <c r="D677" s="13">
        <v>1683.6</v>
      </c>
      <c r="E677" s="13">
        <v>1653.7</v>
      </c>
      <c r="F677" s="14" t="s">
        <v>1332</v>
      </c>
      <c r="G677" s="15">
        <v>3.3999999999999998E-3</v>
      </c>
    </row>
    <row r="678" spans="1:7" x14ac:dyDescent="0.35">
      <c r="A678" s="12" t="s">
        <v>1333</v>
      </c>
      <c r="B678" s="13">
        <v>1623.6</v>
      </c>
      <c r="C678" s="13">
        <v>1642.8</v>
      </c>
      <c r="D678" s="13">
        <v>1646.4</v>
      </c>
      <c r="E678" s="13">
        <v>1618.4</v>
      </c>
      <c r="F678" s="14" t="s">
        <v>1334</v>
      </c>
      <c r="G678" s="15">
        <v>-2.86E-2</v>
      </c>
    </row>
    <row r="679" spans="1:7" x14ac:dyDescent="0.35">
      <c r="A679" s="12" t="s">
        <v>1335</v>
      </c>
      <c r="B679" s="13">
        <v>1626.5</v>
      </c>
      <c r="C679" s="13">
        <v>1621.5</v>
      </c>
      <c r="D679" s="13">
        <v>1640.2</v>
      </c>
      <c r="E679" s="13">
        <v>1620.9</v>
      </c>
      <c r="F679" s="14" t="s">
        <v>1336</v>
      </c>
      <c r="G679" s="15">
        <v>1.8E-3</v>
      </c>
    </row>
    <row r="680" spans="1:7" x14ac:dyDescent="0.35">
      <c r="A680" s="12" t="s">
        <v>1337</v>
      </c>
      <c r="B680" s="13">
        <v>1660.3</v>
      </c>
      <c r="C680" s="13">
        <v>1627</v>
      </c>
      <c r="D680" s="13">
        <v>1661.5</v>
      </c>
      <c r="E680" s="13">
        <v>1613</v>
      </c>
      <c r="F680" s="14" t="s">
        <v>1338</v>
      </c>
      <c r="G680" s="15">
        <v>2.0799999999999999E-2</v>
      </c>
    </row>
    <row r="681" spans="1:7" x14ac:dyDescent="0.35">
      <c r="A681" s="12" t="s">
        <v>1339</v>
      </c>
      <c r="B681" s="13">
        <v>1663.6</v>
      </c>
      <c r="C681" s="13">
        <v>1662.2</v>
      </c>
      <c r="D681" s="13">
        <v>1667.5</v>
      </c>
      <c r="E681" s="13">
        <v>1644.5</v>
      </c>
      <c r="F681" s="14" t="s">
        <v>1340</v>
      </c>
      <c r="G681" s="15">
        <v>2E-3</v>
      </c>
    </row>
    <row r="682" spans="1:7" x14ac:dyDescent="0.35">
      <c r="A682" s="12" t="s">
        <v>1341</v>
      </c>
      <c r="B682" s="13">
        <v>1697.2</v>
      </c>
      <c r="C682" s="13">
        <v>1667.9</v>
      </c>
      <c r="D682" s="13">
        <v>1704</v>
      </c>
      <c r="E682" s="13">
        <v>1664.4</v>
      </c>
      <c r="F682" s="14" t="s">
        <v>1342</v>
      </c>
      <c r="G682" s="15">
        <v>2.0199999999999999E-2</v>
      </c>
    </row>
    <row r="683" spans="1:7" x14ac:dyDescent="0.35">
      <c r="A683" s="12" t="s">
        <v>1343</v>
      </c>
      <c r="B683" s="13">
        <v>1725.5</v>
      </c>
      <c r="C683" s="13">
        <v>1703.4</v>
      </c>
      <c r="D683" s="13">
        <v>1731.5</v>
      </c>
      <c r="E683" s="13">
        <v>1699.9</v>
      </c>
      <c r="F683" s="14" t="s">
        <v>1344</v>
      </c>
      <c r="G683" s="15">
        <v>1.67E-2</v>
      </c>
    </row>
    <row r="684" spans="1:7" x14ac:dyDescent="0.35">
      <c r="A684" s="12" t="s">
        <v>1345</v>
      </c>
      <c r="B684" s="13">
        <v>1715.6</v>
      </c>
      <c r="C684" s="13">
        <v>1729.2</v>
      </c>
      <c r="D684" s="13">
        <v>1729.7</v>
      </c>
      <c r="E684" s="13">
        <v>1703.9</v>
      </c>
      <c r="F684" s="14" t="s">
        <v>1346</v>
      </c>
      <c r="G684" s="15">
        <v>-5.7000000000000002E-3</v>
      </c>
    </row>
    <row r="685" spans="1:7" x14ac:dyDescent="0.35">
      <c r="A685" s="12" t="s">
        <v>1347</v>
      </c>
      <c r="B685" s="13">
        <v>1715.5</v>
      </c>
      <c r="C685" s="13">
        <v>1719.4</v>
      </c>
      <c r="D685" s="13">
        <v>1728.7</v>
      </c>
      <c r="E685" s="13">
        <v>1710.2</v>
      </c>
      <c r="F685" s="14" t="s">
        <v>1348</v>
      </c>
      <c r="G685" s="15">
        <v>-1E-4</v>
      </c>
    </row>
    <row r="686" spans="1:7" x14ac:dyDescent="0.35">
      <c r="A686" s="12" t="s">
        <v>1349</v>
      </c>
      <c r="B686" s="13">
        <v>1670.1</v>
      </c>
      <c r="C686" s="13">
        <v>1698.7</v>
      </c>
      <c r="D686" s="13">
        <v>1700.9</v>
      </c>
      <c r="E686" s="13">
        <v>1667.5</v>
      </c>
      <c r="F686" s="14" t="s">
        <v>1350</v>
      </c>
      <c r="G686" s="15">
        <v>-2.6499999999999999E-2</v>
      </c>
    </row>
    <row r="687" spans="1:7" x14ac:dyDescent="0.35">
      <c r="A687" s="12" t="s">
        <v>1351</v>
      </c>
      <c r="B687" s="13">
        <v>1680.9</v>
      </c>
      <c r="C687" s="13">
        <v>1670.2</v>
      </c>
      <c r="D687" s="13">
        <v>1686</v>
      </c>
      <c r="E687" s="13">
        <v>1665</v>
      </c>
      <c r="F687" s="14" t="s">
        <v>1257</v>
      </c>
      <c r="G687" s="15">
        <v>6.4999999999999997E-3</v>
      </c>
    </row>
    <row r="688" spans="1:7" x14ac:dyDescent="0.35">
      <c r="A688" s="12" t="s">
        <v>1352</v>
      </c>
      <c r="B688" s="13">
        <v>1672.3</v>
      </c>
      <c r="C688" s="13">
        <v>1668.3</v>
      </c>
      <c r="D688" s="13">
        <v>1679.6</v>
      </c>
      <c r="E688" s="13">
        <v>1663</v>
      </c>
      <c r="F688" s="14" t="s">
        <v>1353</v>
      </c>
      <c r="G688" s="15">
        <v>-5.1000000000000004E-3</v>
      </c>
    </row>
    <row r="689" spans="1:7" x14ac:dyDescent="0.35">
      <c r="A689" s="12" t="s">
        <v>1354</v>
      </c>
      <c r="B689" s="13">
        <v>1671.8</v>
      </c>
      <c r="C689" s="13">
        <v>1675.3</v>
      </c>
      <c r="D689" s="13">
        <v>1680</v>
      </c>
      <c r="E689" s="13">
        <v>1644.5</v>
      </c>
      <c r="F689" s="14" t="s">
        <v>1355</v>
      </c>
      <c r="G689" s="15">
        <v>-2.9999999999999997E-4</v>
      </c>
    </row>
    <row r="690" spans="1:7" x14ac:dyDescent="0.35">
      <c r="A690" s="12" t="s">
        <v>1356</v>
      </c>
      <c r="B690" s="13">
        <v>1658.9</v>
      </c>
      <c r="C690" s="13">
        <v>1646.3</v>
      </c>
      <c r="D690" s="13">
        <v>1667.6</v>
      </c>
      <c r="E690" s="13">
        <v>1645.2</v>
      </c>
      <c r="F690" s="14" t="s">
        <v>1357</v>
      </c>
      <c r="G690" s="15">
        <v>-7.7000000000000002E-3</v>
      </c>
    </row>
    <row r="691" spans="1:7" x14ac:dyDescent="0.35">
      <c r="A691" s="12" t="s">
        <v>1358</v>
      </c>
      <c r="B691" s="13">
        <v>1650.7</v>
      </c>
      <c r="C691" s="13">
        <v>1651</v>
      </c>
      <c r="D691" s="13">
        <v>1660.4</v>
      </c>
      <c r="E691" s="13">
        <v>1647</v>
      </c>
      <c r="F691" s="14" t="s">
        <v>1359</v>
      </c>
      <c r="G691" s="15">
        <v>-4.8999999999999998E-3</v>
      </c>
    </row>
    <row r="692" spans="1:7" x14ac:dyDescent="0.35">
      <c r="A692" s="12" t="s">
        <v>1360</v>
      </c>
      <c r="B692" s="13">
        <v>1629</v>
      </c>
      <c r="C692" s="13">
        <v>1652.4</v>
      </c>
      <c r="D692" s="13">
        <v>1654</v>
      </c>
      <c r="E692" s="13">
        <v>1628</v>
      </c>
      <c r="F692" s="14" t="s">
        <v>1361</v>
      </c>
      <c r="G692" s="15">
        <v>-1.3100000000000001E-2</v>
      </c>
    </row>
    <row r="693" spans="1:7" x14ac:dyDescent="0.35">
      <c r="A693" s="12" t="s">
        <v>1362</v>
      </c>
      <c r="B693" s="13">
        <v>1631.8</v>
      </c>
      <c r="C693" s="13">
        <v>1628.9</v>
      </c>
      <c r="D693" s="13">
        <v>1644.3</v>
      </c>
      <c r="E693" s="13">
        <v>1621.2</v>
      </c>
      <c r="F693" s="14" t="s">
        <v>1363</v>
      </c>
      <c r="G693" s="15">
        <v>1.6999999999999999E-3</v>
      </c>
    </row>
    <row r="694" spans="1:7" x14ac:dyDescent="0.35">
      <c r="A694" s="12" t="s">
        <v>1364</v>
      </c>
      <c r="B694" s="13">
        <v>1649.2</v>
      </c>
      <c r="C694" s="13">
        <v>1662</v>
      </c>
      <c r="D694" s="13">
        <v>1666.3</v>
      </c>
      <c r="E694" s="13">
        <v>1643.6</v>
      </c>
      <c r="F694" s="14" t="s">
        <v>930</v>
      </c>
      <c r="G694" s="15">
        <v>1.0699999999999999E-2</v>
      </c>
    </row>
    <row r="695" spans="1:7" x14ac:dyDescent="0.35">
      <c r="A695" s="12" t="s">
        <v>1365</v>
      </c>
      <c r="B695" s="13">
        <v>1653.3</v>
      </c>
      <c r="C695" s="13">
        <v>1649.6</v>
      </c>
      <c r="D695" s="13">
        <v>1660.5</v>
      </c>
      <c r="E695" s="13">
        <v>1637</v>
      </c>
      <c r="F695" s="14" t="s">
        <v>1366</v>
      </c>
      <c r="G695" s="15">
        <v>2.5000000000000001E-3</v>
      </c>
    </row>
    <row r="696" spans="1:7" x14ac:dyDescent="0.35">
      <c r="A696" s="12" t="s">
        <v>1367</v>
      </c>
      <c r="B696" s="13">
        <v>1664.4</v>
      </c>
      <c r="C696" s="13">
        <v>1652.3</v>
      </c>
      <c r="D696" s="13">
        <v>1674</v>
      </c>
      <c r="E696" s="13">
        <v>1652.3</v>
      </c>
      <c r="F696" s="14" t="s">
        <v>1368</v>
      </c>
      <c r="G696" s="15">
        <v>6.7000000000000002E-3</v>
      </c>
    </row>
    <row r="697" spans="1:7" x14ac:dyDescent="0.35">
      <c r="A697" s="12" t="s">
        <v>1369</v>
      </c>
      <c r="B697" s="13">
        <v>1660.3</v>
      </c>
      <c r="C697" s="13">
        <v>1664.1</v>
      </c>
      <c r="D697" s="13">
        <v>1669.2</v>
      </c>
      <c r="E697" s="13">
        <v>1654.4</v>
      </c>
      <c r="F697" s="14" t="s">
        <v>1370</v>
      </c>
      <c r="G697" s="15">
        <v>-2.5000000000000001E-3</v>
      </c>
    </row>
    <row r="698" spans="1:7" x14ac:dyDescent="0.35">
      <c r="A698" s="12" t="s">
        <v>1371</v>
      </c>
      <c r="B698" s="13">
        <v>1640.7</v>
      </c>
      <c r="C698" s="13">
        <v>1647.2</v>
      </c>
      <c r="D698" s="13">
        <v>1648.5</v>
      </c>
      <c r="E698" s="13">
        <v>1634.5</v>
      </c>
      <c r="F698" s="14" t="s">
        <v>1372</v>
      </c>
      <c r="G698" s="15">
        <v>-1.18E-2</v>
      </c>
    </row>
    <row r="699" spans="1:7" x14ac:dyDescent="0.35">
      <c r="A699" s="12" t="s">
        <v>1373</v>
      </c>
      <c r="B699" s="13">
        <v>1649.7</v>
      </c>
      <c r="C699" s="13">
        <v>1636.1</v>
      </c>
      <c r="D699" s="13">
        <v>1660.3</v>
      </c>
      <c r="E699" s="13">
        <v>1633.6</v>
      </c>
      <c r="F699" s="14" t="s">
        <v>1374</v>
      </c>
      <c r="G699" s="15">
        <v>5.4999999999999997E-3</v>
      </c>
    </row>
    <row r="700" spans="1:7" x14ac:dyDescent="0.35">
      <c r="A700" s="12" t="s">
        <v>1375</v>
      </c>
      <c r="B700" s="13">
        <v>1650</v>
      </c>
      <c r="C700" s="13">
        <v>1651.4</v>
      </c>
      <c r="D700" s="13">
        <v>1673.1</v>
      </c>
      <c r="E700" s="13">
        <v>1637.4</v>
      </c>
      <c r="F700" s="14" t="s">
        <v>1376</v>
      </c>
      <c r="G700" s="15">
        <v>2.0000000000000001E-4</v>
      </c>
    </row>
    <row r="701" spans="1:7" x14ac:dyDescent="0.35">
      <c r="A701" s="12" t="s">
        <v>1377</v>
      </c>
      <c r="B701" s="13">
        <v>1630.9</v>
      </c>
      <c r="C701" s="13">
        <v>1639.1</v>
      </c>
      <c r="D701" s="13">
        <v>1643.2</v>
      </c>
      <c r="E701" s="13">
        <v>1618.3</v>
      </c>
      <c r="F701" s="14" t="s">
        <v>1378</v>
      </c>
      <c r="G701" s="15">
        <v>-1.1599999999999999E-2</v>
      </c>
    </row>
    <row r="702" spans="1:7" x14ac:dyDescent="0.35">
      <c r="A702" s="12" t="s">
        <v>1379</v>
      </c>
      <c r="B702" s="13">
        <v>1680.5</v>
      </c>
      <c r="C702" s="13">
        <v>1678.6</v>
      </c>
      <c r="D702" s="13">
        <v>1685.6</v>
      </c>
      <c r="E702" s="13">
        <v>1670</v>
      </c>
      <c r="F702" s="14" t="s">
        <v>1380</v>
      </c>
      <c r="G702" s="15">
        <v>3.04E-2</v>
      </c>
    </row>
    <row r="703" spans="1:7" x14ac:dyDescent="0.35">
      <c r="A703" s="12" t="s">
        <v>1381</v>
      </c>
      <c r="B703" s="13">
        <v>1716</v>
      </c>
      <c r="C703" s="13">
        <v>1678</v>
      </c>
      <c r="D703" s="13">
        <v>1720.4</v>
      </c>
      <c r="E703" s="13">
        <v>1667.1</v>
      </c>
      <c r="F703" s="14" t="s">
        <v>1382</v>
      </c>
      <c r="G703" s="15">
        <v>2.1100000000000001E-2</v>
      </c>
    </row>
    <row r="704" spans="1:7" x14ac:dyDescent="0.35">
      <c r="A704" s="12" t="s">
        <v>1383</v>
      </c>
      <c r="B704" s="13">
        <v>1713.7</v>
      </c>
      <c r="C704" s="13">
        <v>1715.2</v>
      </c>
      <c r="D704" s="13">
        <v>1725.8</v>
      </c>
      <c r="E704" s="13">
        <v>1705.1</v>
      </c>
      <c r="F704" s="14" t="s">
        <v>1384</v>
      </c>
      <c r="G704" s="15">
        <v>-1.2999999999999999E-3</v>
      </c>
    </row>
    <row r="705" spans="1:7" x14ac:dyDescent="0.35">
      <c r="A705" s="12" t="s">
        <v>1385</v>
      </c>
      <c r="B705" s="13">
        <v>1753.7</v>
      </c>
      <c r="C705" s="13">
        <v>1709.7</v>
      </c>
      <c r="D705" s="13">
        <v>1760.6</v>
      </c>
      <c r="E705" s="13">
        <v>1705.5</v>
      </c>
      <c r="F705" s="14" t="s">
        <v>1386</v>
      </c>
      <c r="G705" s="15">
        <v>2.3300000000000001E-2</v>
      </c>
    </row>
    <row r="706" spans="1:7" x14ac:dyDescent="0.35">
      <c r="A706" s="12" t="s">
        <v>1387</v>
      </c>
      <c r="B706" s="13">
        <v>1776.9</v>
      </c>
      <c r="C706" s="13">
        <v>1769.4</v>
      </c>
      <c r="D706" s="13">
        <v>1778.4</v>
      </c>
      <c r="E706" s="13">
        <v>1755.8</v>
      </c>
      <c r="F706" s="14" t="s">
        <v>1388</v>
      </c>
      <c r="G706" s="15">
        <v>1.32E-2</v>
      </c>
    </row>
    <row r="707" spans="1:7" x14ac:dyDescent="0.35">
      <c r="A707" s="12" t="s">
        <v>1389</v>
      </c>
      <c r="B707" s="13">
        <v>1776.8</v>
      </c>
      <c r="C707" s="13">
        <v>1774</v>
      </c>
      <c r="D707" s="13">
        <v>1791.8</v>
      </c>
      <c r="E707" s="13">
        <v>1770.2</v>
      </c>
      <c r="F707" s="14" t="s">
        <v>1390</v>
      </c>
      <c r="G707" s="15">
        <v>-1E-4</v>
      </c>
    </row>
    <row r="708" spans="1:7" x14ac:dyDescent="0.35">
      <c r="A708" s="12" t="s">
        <v>1391</v>
      </c>
      <c r="B708" s="13">
        <v>1775.8</v>
      </c>
      <c r="C708" s="13">
        <v>1782</v>
      </c>
      <c r="D708" s="13">
        <v>1788.2</v>
      </c>
      <c r="E708" s="13">
        <v>1773.4</v>
      </c>
      <c r="F708" s="14" t="s">
        <v>1392</v>
      </c>
      <c r="G708" s="15">
        <v>-5.9999999999999995E-4</v>
      </c>
    </row>
    <row r="709" spans="1:7" x14ac:dyDescent="0.35">
      <c r="A709" s="12" t="s">
        <v>1393</v>
      </c>
      <c r="B709" s="13">
        <v>1763</v>
      </c>
      <c r="C709" s="13">
        <v>1777</v>
      </c>
      <c r="D709" s="13">
        <v>1777.6</v>
      </c>
      <c r="E709" s="13">
        <v>1756.6</v>
      </c>
      <c r="F709" s="14" t="s">
        <v>1394</v>
      </c>
      <c r="G709" s="15">
        <v>-7.1999999999999998E-3</v>
      </c>
    </row>
    <row r="710" spans="1:7" x14ac:dyDescent="0.35">
      <c r="A710" s="12" t="s">
        <v>1395</v>
      </c>
      <c r="B710" s="13">
        <v>1739.6</v>
      </c>
      <c r="C710" s="13">
        <v>1752</v>
      </c>
      <c r="D710" s="13">
        <v>1755</v>
      </c>
      <c r="E710" s="13">
        <v>1733.9</v>
      </c>
      <c r="F710" s="14" t="s">
        <v>1396</v>
      </c>
      <c r="G710" s="15">
        <v>-1.3299999999999999E-2</v>
      </c>
    </row>
    <row r="711" spans="1:7" x14ac:dyDescent="0.35">
      <c r="A711" s="12" t="s">
        <v>1397</v>
      </c>
      <c r="B711" s="13">
        <v>1739.9</v>
      </c>
      <c r="C711" s="13">
        <v>1739.7</v>
      </c>
      <c r="D711" s="13">
        <v>1751</v>
      </c>
      <c r="E711" s="13">
        <v>1737.6</v>
      </c>
      <c r="F711" s="14" t="s">
        <v>1398</v>
      </c>
      <c r="G711" s="15">
        <v>2.0000000000000001E-4</v>
      </c>
    </row>
    <row r="712" spans="1:7" x14ac:dyDescent="0.35">
      <c r="A712" s="12" t="s">
        <v>1399</v>
      </c>
      <c r="B712" s="13">
        <v>1745.6</v>
      </c>
      <c r="C712" s="13">
        <v>1740.8</v>
      </c>
      <c r="D712" s="13">
        <v>1754.9</v>
      </c>
      <c r="E712" s="13">
        <v>1719</v>
      </c>
      <c r="F712" s="14" t="s">
        <v>1400</v>
      </c>
      <c r="G712" s="15">
        <v>3.3E-3</v>
      </c>
    </row>
    <row r="713" spans="1:7" x14ac:dyDescent="0.35">
      <c r="A713" s="12" t="s">
        <v>1401</v>
      </c>
      <c r="B713" s="13">
        <v>1740.3</v>
      </c>
      <c r="C713" s="13">
        <v>1755</v>
      </c>
      <c r="D713" s="13">
        <v>1763.5</v>
      </c>
      <c r="E713" s="13">
        <v>1738.2</v>
      </c>
      <c r="F713" s="14" t="s">
        <v>1402</v>
      </c>
      <c r="G713" s="15">
        <v>-3.0000000000000001E-3</v>
      </c>
    </row>
    <row r="714" spans="1:7" x14ac:dyDescent="0.35">
      <c r="A714" s="12" t="s">
        <v>1403</v>
      </c>
      <c r="B714" s="13">
        <v>1756.3</v>
      </c>
      <c r="C714" s="13">
        <v>1747.6</v>
      </c>
      <c r="D714" s="13">
        <v>1765</v>
      </c>
      <c r="E714" s="13">
        <v>1746</v>
      </c>
      <c r="F714" s="14" t="s">
        <v>1404</v>
      </c>
      <c r="G714" s="15">
        <v>9.1999999999999998E-3</v>
      </c>
    </row>
    <row r="715" spans="1:7" x14ac:dyDescent="0.35">
      <c r="A715" s="12" t="s">
        <v>1405</v>
      </c>
      <c r="B715" s="13">
        <v>1753.2</v>
      </c>
      <c r="C715" s="13">
        <v>1755.5</v>
      </c>
      <c r="D715" s="13">
        <v>1776.7</v>
      </c>
      <c r="E715" s="13">
        <v>1751.8</v>
      </c>
      <c r="F715" s="14" t="s">
        <v>1406</v>
      </c>
      <c r="G715" s="15">
        <v>-1.8E-3</v>
      </c>
    </row>
    <row r="716" spans="1:7" x14ac:dyDescent="0.35">
      <c r="A716" s="12" t="s">
        <v>1407</v>
      </c>
      <c r="B716" s="13">
        <v>1808.2</v>
      </c>
      <c r="C716" s="13">
        <v>1778.4</v>
      </c>
      <c r="D716" s="13">
        <v>1810.9</v>
      </c>
      <c r="E716" s="13">
        <v>1777.7</v>
      </c>
      <c r="F716" s="14" t="s">
        <v>1408</v>
      </c>
      <c r="G716" s="15">
        <v>3.1399999999999997E-2</v>
      </c>
    </row>
    <row r="717" spans="1:7" x14ac:dyDescent="0.35">
      <c r="A717" s="12" t="s">
        <v>1409</v>
      </c>
      <c r="B717" s="13">
        <v>1774.3</v>
      </c>
      <c r="C717" s="13">
        <v>1803.7</v>
      </c>
      <c r="D717" s="13">
        <v>1815</v>
      </c>
      <c r="E717" s="13">
        <v>1771.6</v>
      </c>
      <c r="F717" s="14" t="s">
        <v>1410</v>
      </c>
      <c r="G717" s="15">
        <v>-1.8700000000000001E-2</v>
      </c>
    </row>
    <row r="718" spans="1:7" x14ac:dyDescent="0.35">
      <c r="A718" s="12" t="s">
        <v>1411</v>
      </c>
      <c r="B718" s="13">
        <v>1775.5</v>
      </c>
      <c r="C718" s="13">
        <v>1775.3</v>
      </c>
      <c r="D718" s="13">
        <v>1786</v>
      </c>
      <c r="E718" s="13">
        <v>1772.5</v>
      </c>
      <c r="F718" s="14" t="s">
        <v>1412</v>
      </c>
      <c r="G718" s="15">
        <v>6.9999999999999999E-4</v>
      </c>
    </row>
    <row r="719" spans="1:7" x14ac:dyDescent="0.35">
      <c r="A719" s="12" t="s">
        <v>1413</v>
      </c>
      <c r="B719" s="13">
        <v>1791</v>
      </c>
      <c r="C719" s="13">
        <v>1774.7</v>
      </c>
      <c r="D719" s="13">
        <v>1795.9</v>
      </c>
      <c r="E719" s="13">
        <v>1774.3</v>
      </c>
      <c r="F719" s="14" t="s">
        <v>1414</v>
      </c>
      <c r="G719" s="15">
        <v>8.6999999999999994E-3</v>
      </c>
    </row>
    <row r="720" spans="1:7" x14ac:dyDescent="0.35">
      <c r="A720" s="12" t="s">
        <v>1415</v>
      </c>
      <c r="B720" s="13">
        <v>1794.2</v>
      </c>
      <c r="C720" s="13">
        <v>1792.5</v>
      </c>
      <c r="D720" s="13">
        <v>1799</v>
      </c>
      <c r="E720" s="13">
        <v>1786.7</v>
      </c>
      <c r="F720" s="14" t="s">
        <v>1416</v>
      </c>
      <c r="G720" s="15">
        <v>1.8E-3</v>
      </c>
    </row>
    <row r="721" spans="1:7" x14ac:dyDescent="0.35">
      <c r="A721" s="12" t="s">
        <v>1417</v>
      </c>
      <c r="B721" s="13">
        <v>1785</v>
      </c>
      <c r="C721" s="13">
        <v>1801.6</v>
      </c>
      <c r="D721" s="13">
        <v>1801.6</v>
      </c>
      <c r="E721" s="13">
        <v>1782</v>
      </c>
      <c r="F721" s="14" t="s">
        <v>1418</v>
      </c>
      <c r="G721" s="15">
        <v>-5.1000000000000004E-3</v>
      </c>
    </row>
    <row r="722" spans="1:7" x14ac:dyDescent="0.35">
      <c r="A722" s="12" t="s">
        <v>1419</v>
      </c>
      <c r="B722" s="13">
        <v>1818.3</v>
      </c>
      <c r="C722" s="13">
        <v>1785.8</v>
      </c>
      <c r="D722" s="13">
        <v>1829</v>
      </c>
      <c r="E722" s="13">
        <v>1785</v>
      </c>
      <c r="F722" s="14" t="s">
        <v>1420</v>
      </c>
      <c r="G722" s="15">
        <v>1.8700000000000001E-2</v>
      </c>
    </row>
    <row r="723" spans="1:7" x14ac:dyDescent="0.35">
      <c r="A723" s="12" t="s">
        <v>1421</v>
      </c>
      <c r="B723" s="13">
        <v>1811.5</v>
      </c>
      <c r="C723" s="13">
        <v>1815.1</v>
      </c>
      <c r="D723" s="13">
        <v>1817.1</v>
      </c>
      <c r="E723" s="13">
        <v>1800</v>
      </c>
      <c r="F723" s="14" t="s">
        <v>473</v>
      </c>
      <c r="G723" s="15">
        <v>-3.7000000000000002E-3</v>
      </c>
    </row>
    <row r="724" spans="1:7" x14ac:dyDescent="0.35">
      <c r="A724" s="12" t="s">
        <v>1422</v>
      </c>
      <c r="B724" s="13">
        <v>1780.6</v>
      </c>
      <c r="C724" s="13">
        <v>1811.8</v>
      </c>
      <c r="D724" s="13">
        <v>1812.1</v>
      </c>
      <c r="E724" s="13">
        <v>1775</v>
      </c>
      <c r="F724" s="14" t="s">
        <v>1423</v>
      </c>
      <c r="G724" s="15">
        <v>-1.7100000000000001E-2</v>
      </c>
    </row>
    <row r="725" spans="1:7" x14ac:dyDescent="0.35">
      <c r="A725" s="12" t="s">
        <v>1424</v>
      </c>
      <c r="B725" s="13">
        <v>1791</v>
      </c>
      <c r="C725" s="13">
        <v>1795.2</v>
      </c>
      <c r="D725" s="13">
        <v>1801.4</v>
      </c>
      <c r="E725" s="13">
        <v>1788.6</v>
      </c>
      <c r="F725" s="14" t="s">
        <v>1425</v>
      </c>
      <c r="G725" s="15">
        <v>5.7999999999999996E-3</v>
      </c>
    </row>
    <row r="726" spans="1:7" x14ac:dyDescent="0.35">
      <c r="A726" s="12" t="s">
        <v>1426</v>
      </c>
      <c r="B726" s="13">
        <v>1818.6</v>
      </c>
      <c r="C726" s="13">
        <v>1796.4</v>
      </c>
      <c r="D726" s="13">
        <v>1824.3</v>
      </c>
      <c r="E726" s="13">
        <v>1789.6</v>
      </c>
      <c r="F726" s="14" t="s">
        <v>1427</v>
      </c>
      <c r="G726" s="15">
        <v>1.54E-2</v>
      </c>
    </row>
    <row r="727" spans="1:7" x14ac:dyDescent="0.35">
      <c r="A727" s="12" t="s">
        <v>1428</v>
      </c>
      <c r="B727" s="13">
        <v>1818.5</v>
      </c>
      <c r="C727" s="13">
        <v>1821.6</v>
      </c>
      <c r="D727" s="13">
        <v>1825.4</v>
      </c>
      <c r="E727" s="13">
        <v>1815.9</v>
      </c>
      <c r="F727" s="14" t="s">
        <v>1429</v>
      </c>
      <c r="G727" s="15">
        <v>-1E-4</v>
      </c>
    </row>
    <row r="728" spans="1:7" x14ac:dyDescent="0.35">
      <c r="A728" s="12" t="s">
        <v>1430</v>
      </c>
      <c r="B728" s="13">
        <v>1788.5</v>
      </c>
      <c r="C728" s="13">
        <v>1818</v>
      </c>
      <c r="D728" s="13">
        <v>1822</v>
      </c>
      <c r="E728" s="13">
        <v>1787.1</v>
      </c>
      <c r="F728" s="14" t="s">
        <v>1431</v>
      </c>
      <c r="G728" s="15">
        <v>-1.6500000000000001E-2</v>
      </c>
    </row>
    <row r="729" spans="1:7" x14ac:dyDescent="0.35">
      <c r="A729" s="12" t="s">
        <v>1432</v>
      </c>
      <c r="B729" s="13">
        <v>1816.3</v>
      </c>
      <c r="C729" s="13">
        <v>1799.7</v>
      </c>
      <c r="D729" s="13">
        <v>1834.1</v>
      </c>
      <c r="E729" s="13">
        <v>1799.7</v>
      </c>
      <c r="F729" s="14" t="s">
        <v>1433</v>
      </c>
      <c r="G729" s="15">
        <v>1.55E-2</v>
      </c>
    </row>
    <row r="730" spans="1:7" x14ac:dyDescent="0.35">
      <c r="A730" s="12" t="s">
        <v>1434</v>
      </c>
      <c r="B730" s="13">
        <v>1808.8</v>
      </c>
      <c r="C730" s="13">
        <v>1812.4</v>
      </c>
      <c r="D730" s="13">
        <v>1812.4</v>
      </c>
      <c r="E730" s="13">
        <v>1801.3</v>
      </c>
      <c r="F730" s="14" t="s">
        <v>1435</v>
      </c>
      <c r="G730" s="15">
        <v>-4.1000000000000003E-3</v>
      </c>
    </row>
    <row r="731" spans="1:7" x14ac:dyDescent="0.35">
      <c r="A731" s="12" t="s">
        <v>1436</v>
      </c>
      <c r="B731" s="13">
        <v>1826</v>
      </c>
      <c r="C731" s="13">
        <v>1812.3</v>
      </c>
      <c r="D731" s="13">
        <v>1827.3</v>
      </c>
      <c r="E731" s="13">
        <v>1811.2</v>
      </c>
      <c r="F731" s="14" t="s">
        <v>1437</v>
      </c>
      <c r="G731" s="15">
        <v>9.4999999999999998E-3</v>
      </c>
    </row>
    <row r="732" spans="1:7" x14ac:dyDescent="0.35">
      <c r="A732" s="12" t="s">
        <v>1438</v>
      </c>
      <c r="B732" s="13">
        <v>1846.1</v>
      </c>
      <c r="C732" s="13">
        <v>1831.8</v>
      </c>
      <c r="D732" s="13">
        <v>1856.6</v>
      </c>
      <c r="E732" s="13">
        <v>1831.3</v>
      </c>
      <c r="F732" s="14" t="s">
        <v>1439</v>
      </c>
      <c r="G732" s="15">
        <v>1.0999999999999999E-2</v>
      </c>
    </row>
    <row r="733" spans="1:7" x14ac:dyDescent="0.35">
      <c r="A733" s="12" t="s">
        <v>1440</v>
      </c>
      <c r="B733" s="13">
        <v>1859</v>
      </c>
      <c r="C733" s="13">
        <v>1845.2</v>
      </c>
      <c r="D733" s="13">
        <v>1871.3</v>
      </c>
      <c r="E733" s="13">
        <v>1842</v>
      </c>
      <c r="F733" s="14" t="s">
        <v>1441</v>
      </c>
      <c r="G733" s="15">
        <v>7.0000000000000001E-3</v>
      </c>
    </row>
    <row r="734" spans="1:7" x14ac:dyDescent="0.35">
      <c r="A734" s="12" t="s">
        <v>1442</v>
      </c>
      <c r="B734" s="13">
        <v>1840.6</v>
      </c>
      <c r="C734" s="13">
        <v>1861.2</v>
      </c>
      <c r="D734" s="13">
        <v>1864.3</v>
      </c>
      <c r="E734" s="13">
        <v>1829.9</v>
      </c>
      <c r="F734" s="14" t="s">
        <v>1443</v>
      </c>
      <c r="G734" s="15">
        <v>-9.9000000000000008E-3</v>
      </c>
    </row>
    <row r="735" spans="1:7" x14ac:dyDescent="0.35">
      <c r="A735" s="12" t="s">
        <v>1444</v>
      </c>
      <c r="B735" s="13">
        <v>1877.8</v>
      </c>
      <c r="C735" s="13">
        <v>1872.8</v>
      </c>
      <c r="D735" s="13">
        <v>1886.4</v>
      </c>
      <c r="E735" s="13">
        <v>1869.3</v>
      </c>
      <c r="F735" s="14" t="s">
        <v>1445</v>
      </c>
      <c r="G735" s="15">
        <v>2.0199999999999999E-2</v>
      </c>
    </row>
    <row r="736" spans="1:7" x14ac:dyDescent="0.35">
      <c r="A736" s="12" t="s">
        <v>1446</v>
      </c>
      <c r="B736" s="13">
        <v>1876.5</v>
      </c>
      <c r="C736" s="13">
        <v>1875.7</v>
      </c>
      <c r="D736" s="13">
        <v>1885.2</v>
      </c>
      <c r="E736" s="13">
        <v>1872</v>
      </c>
      <c r="F736" s="14" t="s">
        <v>1447</v>
      </c>
      <c r="G736" s="15">
        <v>-6.9999999999999999E-4</v>
      </c>
    </row>
    <row r="737" spans="1:7" x14ac:dyDescent="0.35">
      <c r="A737" s="12" t="s">
        <v>1448</v>
      </c>
      <c r="B737" s="13">
        <v>1878.9</v>
      </c>
      <c r="C737" s="13">
        <v>1881.3</v>
      </c>
      <c r="D737" s="13">
        <v>1890.9</v>
      </c>
      <c r="E737" s="13">
        <v>1870.9</v>
      </c>
      <c r="F737" s="14" t="s">
        <v>1449</v>
      </c>
      <c r="G737" s="15">
        <v>1.2999999999999999E-3</v>
      </c>
    </row>
    <row r="738" spans="1:7" x14ac:dyDescent="0.35">
      <c r="A738" s="12" t="s">
        <v>1450</v>
      </c>
      <c r="B738" s="13">
        <v>1898.8</v>
      </c>
      <c r="C738" s="13">
        <v>1879.7</v>
      </c>
      <c r="D738" s="13">
        <v>1906.5</v>
      </c>
      <c r="E738" s="13">
        <v>1872.4</v>
      </c>
      <c r="F738" s="14" t="s">
        <v>1451</v>
      </c>
      <c r="G738" s="15">
        <v>1.06E-2</v>
      </c>
    </row>
    <row r="739" spans="1:7" x14ac:dyDescent="0.35">
      <c r="A739" s="12" t="s">
        <v>1452</v>
      </c>
      <c r="B739" s="13">
        <v>1909.9</v>
      </c>
      <c r="C739" s="13">
        <v>1923.8</v>
      </c>
      <c r="D739" s="13">
        <v>1931.8</v>
      </c>
      <c r="E739" s="13">
        <v>1906.2</v>
      </c>
      <c r="F739" s="14" t="s">
        <v>1453</v>
      </c>
      <c r="G739" s="15">
        <v>5.7999999999999996E-3</v>
      </c>
    </row>
    <row r="740" spans="1:7" x14ac:dyDescent="0.35">
      <c r="A740" s="12" t="s">
        <v>1454</v>
      </c>
      <c r="B740" s="13">
        <v>1907</v>
      </c>
      <c r="C740" s="13">
        <v>1911.1</v>
      </c>
      <c r="D740" s="13">
        <v>1929.8</v>
      </c>
      <c r="E740" s="13">
        <v>1898.6</v>
      </c>
      <c r="F740" s="14" t="s">
        <v>1455</v>
      </c>
      <c r="G740" s="15">
        <v>-1.5E-3</v>
      </c>
    </row>
    <row r="741" spans="1:7" x14ac:dyDescent="0.35">
      <c r="A741" s="12" t="s">
        <v>1456</v>
      </c>
      <c r="B741" s="13">
        <v>1923.9</v>
      </c>
      <c r="C741" s="13">
        <v>1907</v>
      </c>
      <c r="D741" s="13">
        <v>1936.9</v>
      </c>
      <c r="E741" s="13">
        <v>1902</v>
      </c>
      <c r="F741" s="14" t="s">
        <v>1457</v>
      </c>
      <c r="G741" s="15">
        <v>8.8999999999999999E-3</v>
      </c>
    </row>
    <row r="742" spans="1:7" x14ac:dyDescent="0.35">
      <c r="A742" s="12" t="s">
        <v>1458</v>
      </c>
      <c r="B742" s="13">
        <v>1928.6</v>
      </c>
      <c r="C742" s="13">
        <v>1928.4</v>
      </c>
      <c r="D742" s="13">
        <v>1936.7</v>
      </c>
      <c r="E742" s="13">
        <v>1912.5</v>
      </c>
      <c r="F742" s="14" t="s">
        <v>1459</v>
      </c>
      <c r="G742" s="15">
        <v>2.3999999999999998E-3</v>
      </c>
    </row>
    <row r="743" spans="1:7" x14ac:dyDescent="0.35">
      <c r="A743" s="12" t="s">
        <v>1460</v>
      </c>
      <c r="B743" s="13">
        <v>1935.4</v>
      </c>
      <c r="C743" s="13">
        <v>1932</v>
      </c>
      <c r="D743" s="13">
        <v>1943.8</v>
      </c>
      <c r="E743" s="13">
        <v>1918.2</v>
      </c>
      <c r="F743" s="14" t="s">
        <v>1461</v>
      </c>
      <c r="G743" s="15">
        <v>3.5000000000000001E-3</v>
      </c>
    </row>
    <row r="744" spans="1:7" x14ac:dyDescent="0.35">
      <c r="A744" s="12" t="s">
        <v>1462</v>
      </c>
      <c r="B744" s="13">
        <v>1942.6</v>
      </c>
      <c r="C744" s="13">
        <v>1938.7</v>
      </c>
      <c r="D744" s="13">
        <v>1949.5</v>
      </c>
      <c r="E744" s="13">
        <v>1920.6</v>
      </c>
      <c r="F744" s="14" t="s">
        <v>1463</v>
      </c>
      <c r="G744" s="15">
        <v>3.7000000000000002E-3</v>
      </c>
    </row>
    <row r="745" spans="1:7" x14ac:dyDescent="0.35">
      <c r="A745" s="12" t="s">
        <v>1464</v>
      </c>
      <c r="B745" s="13">
        <v>1930</v>
      </c>
      <c r="C745" s="13">
        <v>1948</v>
      </c>
      <c r="D745" s="13">
        <v>1949.8</v>
      </c>
      <c r="E745" s="13">
        <v>1918.4</v>
      </c>
      <c r="F745" s="14" t="s">
        <v>1465</v>
      </c>
      <c r="G745" s="15">
        <v>-6.4999999999999997E-3</v>
      </c>
    </row>
    <row r="746" spans="1:7" x14ac:dyDescent="0.35">
      <c r="A746" s="12" t="s">
        <v>1466</v>
      </c>
      <c r="B746" s="13">
        <v>1930.2</v>
      </c>
      <c r="C746" s="13">
        <v>1936.2</v>
      </c>
      <c r="D746" s="13">
        <v>1940.8</v>
      </c>
      <c r="E746" s="13">
        <v>1927.3</v>
      </c>
      <c r="F746" s="14" t="s">
        <v>1467</v>
      </c>
      <c r="G746" s="15">
        <v>1E-4</v>
      </c>
    </row>
    <row r="747" spans="1:7" x14ac:dyDescent="0.35">
      <c r="A747" s="12" t="s">
        <v>1468</v>
      </c>
      <c r="B747" s="13">
        <v>1936.6</v>
      </c>
      <c r="C747" s="13">
        <v>1929.5</v>
      </c>
      <c r="D747" s="13">
        <v>1938</v>
      </c>
      <c r="E747" s="13">
        <v>1907.4</v>
      </c>
      <c r="F747" s="14" t="s">
        <v>1469</v>
      </c>
      <c r="G747" s="15">
        <v>3.3E-3</v>
      </c>
    </row>
    <row r="748" spans="1:7" x14ac:dyDescent="0.35">
      <c r="A748" s="12" t="s">
        <v>1470</v>
      </c>
      <c r="B748" s="13">
        <v>1934.3</v>
      </c>
      <c r="C748" s="13">
        <v>1935.1</v>
      </c>
      <c r="D748" s="13">
        <v>1961.7</v>
      </c>
      <c r="E748" s="13">
        <v>1928</v>
      </c>
      <c r="F748" s="14" t="s">
        <v>1471</v>
      </c>
      <c r="G748" s="15">
        <v>-1.1999999999999999E-3</v>
      </c>
    </row>
    <row r="749" spans="1:7" x14ac:dyDescent="0.35">
      <c r="A749" s="12" t="s">
        <v>1472</v>
      </c>
      <c r="B749" s="13">
        <v>1922.2</v>
      </c>
      <c r="C749" s="13">
        <v>1959.3</v>
      </c>
      <c r="D749" s="13">
        <v>1966.3</v>
      </c>
      <c r="E749" s="13">
        <v>1917.1</v>
      </c>
      <c r="F749" s="14" t="s">
        <v>1473</v>
      </c>
      <c r="G749" s="15">
        <v>-6.3E-3</v>
      </c>
    </row>
    <row r="750" spans="1:7" x14ac:dyDescent="0.35">
      <c r="A750" s="12" t="s">
        <v>1474</v>
      </c>
      <c r="B750" s="13">
        <v>1871.2</v>
      </c>
      <c r="C750" s="13">
        <v>1866.7</v>
      </c>
      <c r="D750" s="13">
        <v>1885.4</v>
      </c>
      <c r="E750" s="13">
        <v>1865.9</v>
      </c>
      <c r="F750" s="14" t="s">
        <v>1475</v>
      </c>
      <c r="G750" s="15">
        <v>-2.6499999999999999E-2</v>
      </c>
    </row>
    <row r="751" spans="1:7" x14ac:dyDescent="0.35">
      <c r="A751" s="12" t="s">
        <v>1476</v>
      </c>
      <c r="B751" s="13">
        <v>1876.5</v>
      </c>
      <c r="C751" s="13">
        <v>1871.9</v>
      </c>
      <c r="D751" s="13">
        <v>1888.5</v>
      </c>
      <c r="E751" s="13">
        <v>1869.4</v>
      </c>
      <c r="F751" s="14" t="s">
        <v>1477</v>
      </c>
      <c r="G751" s="15">
        <v>2.8E-3</v>
      </c>
    </row>
    <row r="752" spans="1:7" x14ac:dyDescent="0.35">
      <c r="A752" s="12" t="s">
        <v>1478</v>
      </c>
      <c r="B752" s="13">
        <v>1882.2</v>
      </c>
      <c r="C752" s="13">
        <v>1877.4</v>
      </c>
      <c r="D752" s="13">
        <v>1890</v>
      </c>
      <c r="E752" s="13">
        <v>1874</v>
      </c>
      <c r="F752" s="14" t="s">
        <v>1479</v>
      </c>
      <c r="G752" s="15">
        <v>3.0000000000000001E-3</v>
      </c>
    </row>
    <row r="753" spans="1:7" x14ac:dyDescent="0.35">
      <c r="A753" s="12" t="s">
        <v>1480</v>
      </c>
      <c r="B753" s="13">
        <v>1870</v>
      </c>
      <c r="C753" s="13">
        <v>1879</v>
      </c>
      <c r="D753" s="13">
        <v>1893.7</v>
      </c>
      <c r="E753" s="13">
        <v>1862</v>
      </c>
      <c r="F753" s="14" t="s">
        <v>1481</v>
      </c>
      <c r="G753" s="15">
        <v>-6.4999999999999997E-3</v>
      </c>
    </row>
    <row r="754" spans="1:7" x14ac:dyDescent="0.35">
      <c r="A754" s="12" t="s">
        <v>1482</v>
      </c>
      <c r="B754" s="13">
        <v>1855.1</v>
      </c>
      <c r="C754" s="13">
        <v>1866.7</v>
      </c>
      <c r="D754" s="13">
        <v>1868.5</v>
      </c>
      <c r="E754" s="13">
        <v>1852.7</v>
      </c>
      <c r="F754" s="14" t="s">
        <v>1483</v>
      </c>
      <c r="G754" s="15">
        <v>-8.0000000000000002E-3</v>
      </c>
    </row>
    <row r="755" spans="1:7" x14ac:dyDescent="0.35">
      <c r="A755" s="12" t="s">
        <v>1484</v>
      </c>
      <c r="B755" s="13">
        <v>1857</v>
      </c>
      <c r="C755" s="13">
        <v>1856</v>
      </c>
      <c r="D755" s="13">
        <v>1871</v>
      </c>
      <c r="E755" s="13">
        <v>1845</v>
      </c>
      <c r="F755" s="14" t="s">
        <v>1485</v>
      </c>
      <c r="G755" s="15">
        <v>1E-3</v>
      </c>
    </row>
    <row r="756" spans="1:7" x14ac:dyDescent="0.35">
      <c r="A756" s="12" t="s">
        <v>1486</v>
      </c>
      <c r="B756" s="13">
        <v>1837</v>
      </c>
      <c r="C756" s="13">
        <v>1856.3</v>
      </c>
      <c r="D756" s="13">
        <v>1861.7</v>
      </c>
      <c r="E756" s="13">
        <v>1831.8</v>
      </c>
      <c r="F756" s="14" t="s">
        <v>1487</v>
      </c>
      <c r="G756" s="15">
        <v>-1.0800000000000001E-2</v>
      </c>
    </row>
    <row r="757" spans="1:7" x14ac:dyDescent="0.35">
      <c r="A757" s="12" t="s">
        <v>1488</v>
      </c>
      <c r="B757" s="13">
        <v>1843.4</v>
      </c>
      <c r="C757" s="13">
        <v>1838.9</v>
      </c>
      <c r="D757" s="13">
        <v>1846</v>
      </c>
      <c r="E757" s="13">
        <v>1828.3</v>
      </c>
      <c r="F757" s="14" t="s">
        <v>1489</v>
      </c>
      <c r="G757" s="15">
        <v>3.5000000000000001E-3</v>
      </c>
    </row>
    <row r="758" spans="1:7" x14ac:dyDescent="0.35">
      <c r="A758" s="12" t="s">
        <v>1490</v>
      </c>
      <c r="B758" s="13">
        <v>1834.2</v>
      </c>
      <c r="C758" s="13">
        <v>1842</v>
      </c>
      <c r="D758" s="13">
        <v>1848</v>
      </c>
      <c r="E758" s="13">
        <v>1831.1</v>
      </c>
      <c r="F758" s="14" t="s">
        <v>1491</v>
      </c>
      <c r="G758" s="15">
        <v>-5.0000000000000001E-3</v>
      </c>
    </row>
    <row r="759" spans="1:7" x14ac:dyDescent="0.35">
      <c r="A759" s="12" t="s">
        <v>1492</v>
      </c>
      <c r="B759" s="13">
        <v>1833.3</v>
      </c>
      <c r="C759" s="13">
        <v>1837</v>
      </c>
      <c r="D759" s="13">
        <v>1846.4</v>
      </c>
      <c r="E759" s="13">
        <v>1825.1</v>
      </c>
      <c r="F759" s="14" t="s">
        <v>1493</v>
      </c>
      <c r="G759" s="15">
        <v>-5.0000000000000001E-4</v>
      </c>
    </row>
    <row r="760" spans="1:7" x14ac:dyDescent="0.35">
      <c r="A760" s="12" t="s">
        <v>1494</v>
      </c>
      <c r="B760" s="13">
        <v>1818.8</v>
      </c>
      <c r="C760" s="13">
        <v>1823.6</v>
      </c>
      <c r="D760" s="13">
        <v>1832.7</v>
      </c>
      <c r="E760" s="13">
        <v>1818.3</v>
      </c>
      <c r="F760" s="14" t="s">
        <v>1495</v>
      </c>
      <c r="G760" s="15">
        <v>-7.9000000000000008E-3</v>
      </c>
    </row>
    <row r="761" spans="1:7" x14ac:dyDescent="0.35">
      <c r="A761" s="12" t="s">
        <v>1496</v>
      </c>
      <c r="B761" s="13">
        <v>1824.9</v>
      </c>
      <c r="C761" s="13">
        <v>1818</v>
      </c>
      <c r="D761" s="13">
        <v>1827.3</v>
      </c>
      <c r="E761" s="13">
        <v>1812</v>
      </c>
      <c r="F761" s="14" t="s">
        <v>1497</v>
      </c>
      <c r="G761" s="15">
        <v>3.3999999999999998E-3</v>
      </c>
    </row>
    <row r="762" spans="1:7" x14ac:dyDescent="0.35">
      <c r="A762" s="12" t="s">
        <v>1498</v>
      </c>
      <c r="B762" s="13">
        <v>1836.7</v>
      </c>
      <c r="C762" s="13">
        <v>1823.9</v>
      </c>
      <c r="D762" s="13">
        <v>1838.6</v>
      </c>
      <c r="E762" s="13">
        <v>1810.8</v>
      </c>
      <c r="F762" s="14" t="s">
        <v>1499</v>
      </c>
      <c r="G762" s="15">
        <v>6.4999999999999997E-3</v>
      </c>
    </row>
    <row r="763" spans="1:7" x14ac:dyDescent="0.35">
      <c r="A763" s="12" t="s">
        <v>1500</v>
      </c>
      <c r="B763" s="13">
        <v>1845.4</v>
      </c>
      <c r="C763" s="13">
        <v>1834</v>
      </c>
      <c r="D763" s="13">
        <v>1852.5</v>
      </c>
      <c r="E763" s="13">
        <v>1829.6</v>
      </c>
      <c r="F763" s="14" t="s">
        <v>1501</v>
      </c>
      <c r="G763" s="15">
        <v>4.7000000000000002E-3</v>
      </c>
    </row>
    <row r="764" spans="1:7" x14ac:dyDescent="0.35">
      <c r="A764" s="12" t="s">
        <v>1502</v>
      </c>
      <c r="B764" s="13">
        <v>1840.5</v>
      </c>
      <c r="C764" s="13">
        <v>1843.8</v>
      </c>
      <c r="D764" s="13">
        <v>1845.3</v>
      </c>
      <c r="E764" s="13">
        <v>1835.9</v>
      </c>
      <c r="F764" s="14" t="s">
        <v>1503</v>
      </c>
      <c r="G764" s="15">
        <v>-2.7000000000000001E-3</v>
      </c>
    </row>
    <row r="765" spans="1:7" x14ac:dyDescent="0.35">
      <c r="A765" s="12" t="s">
        <v>1504</v>
      </c>
      <c r="B765" s="13">
        <v>1854.6</v>
      </c>
      <c r="C765" s="13">
        <v>1861</v>
      </c>
      <c r="D765" s="13">
        <v>1864.3</v>
      </c>
      <c r="E765" s="13">
        <v>1850.6</v>
      </c>
      <c r="F765" s="14" t="s">
        <v>1505</v>
      </c>
      <c r="G765" s="15">
        <v>7.7000000000000002E-3</v>
      </c>
    </row>
    <row r="766" spans="1:7" x14ac:dyDescent="0.35">
      <c r="A766" s="12" t="s">
        <v>1506</v>
      </c>
      <c r="B766" s="13">
        <v>1820</v>
      </c>
      <c r="C766" s="13">
        <v>1852.6</v>
      </c>
      <c r="D766" s="13">
        <v>1856.9</v>
      </c>
      <c r="E766" s="13">
        <v>1817.1</v>
      </c>
      <c r="F766" s="14" t="s">
        <v>1507</v>
      </c>
      <c r="G766" s="15">
        <v>-1.8700000000000001E-2</v>
      </c>
    </row>
    <row r="767" spans="1:7" x14ac:dyDescent="0.35">
      <c r="A767" s="12" t="s">
        <v>1508</v>
      </c>
      <c r="B767" s="13">
        <v>1818.6</v>
      </c>
      <c r="C767" s="13">
        <v>1818</v>
      </c>
      <c r="D767" s="13">
        <v>1828.7</v>
      </c>
      <c r="E767" s="13">
        <v>1813.4</v>
      </c>
      <c r="F767" s="14" t="s">
        <v>1509</v>
      </c>
      <c r="G767" s="15">
        <v>-8.0000000000000004E-4</v>
      </c>
    </row>
    <row r="768" spans="1:7" x14ac:dyDescent="0.35">
      <c r="A768" s="12" t="s">
        <v>1510</v>
      </c>
      <c r="B768" s="13">
        <v>1834.6</v>
      </c>
      <c r="C768" s="13">
        <v>1818</v>
      </c>
      <c r="D768" s="13">
        <v>1839.4</v>
      </c>
      <c r="E768" s="13">
        <v>1815.4</v>
      </c>
      <c r="F768" s="14" t="s">
        <v>1511</v>
      </c>
      <c r="G768" s="15">
        <v>8.8000000000000005E-3</v>
      </c>
    </row>
    <row r="769" spans="1:7" x14ac:dyDescent="0.35">
      <c r="A769" s="12" t="s">
        <v>1512</v>
      </c>
      <c r="B769" s="13">
        <v>1916.5</v>
      </c>
      <c r="C769" s="13">
        <v>1877.1</v>
      </c>
      <c r="D769" s="13">
        <v>1919.5</v>
      </c>
      <c r="E769" s="13">
        <v>1875.7</v>
      </c>
      <c r="F769" s="14" t="s">
        <v>1513</v>
      </c>
      <c r="G769" s="15">
        <v>4.4600000000000001E-2</v>
      </c>
    </row>
    <row r="770" spans="1:7" x14ac:dyDescent="0.35">
      <c r="A770" s="12" t="s">
        <v>1514</v>
      </c>
      <c r="B770" s="13">
        <v>1910.9</v>
      </c>
      <c r="C770" s="13">
        <v>1919.4</v>
      </c>
      <c r="D770" s="13">
        <v>1919.4</v>
      </c>
      <c r="E770" s="13">
        <v>1899.8</v>
      </c>
      <c r="F770" s="14" t="s">
        <v>1515</v>
      </c>
      <c r="G770" s="15">
        <v>-2.8999999999999998E-3</v>
      </c>
    </row>
    <row r="771" spans="1:7" x14ac:dyDescent="0.35">
      <c r="A771" s="12" t="s">
        <v>1516</v>
      </c>
      <c r="B771" s="13">
        <v>1931.3</v>
      </c>
      <c r="C771" s="13">
        <v>1908.2</v>
      </c>
      <c r="D771" s="13">
        <v>1942.5</v>
      </c>
      <c r="E771" s="13">
        <v>1889.5</v>
      </c>
      <c r="F771" s="14" t="s">
        <v>1517</v>
      </c>
      <c r="G771" s="15">
        <v>1.0699999999999999E-2</v>
      </c>
    </row>
    <row r="772" spans="1:7" x14ac:dyDescent="0.35">
      <c r="A772" s="12" t="s">
        <v>1518</v>
      </c>
      <c r="B772" s="13">
        <v>1923</v>
      </c>
      <c r="C772" s="13">
        <v>1922.8</v>
      </c>
      <c r="D772" s="13">
        <v>1938</v>
      </c>
      <c r="E772" s="13">
        <v>1911.5</v>
      </c>
      <c r="F772" s="14" t="s">
        <v>1519</v>
      </c>
      <c r="G772" s="15">
        <v>-4.3E-3</v>
      </c>
    </row>
    <row r="773" spans="1:7" x14ac:dyDescent="0.35">
      <c r="A773" s="12" t="s">
        <v>1520</v>
      </c>
      <c r="B773" s="13">
        <v>1982.8</v>
      </c>
      <c r="C773" s="13">
        <v>1989.7</v>
      </c>
      <c r="D773" s="13">
        <v>2014.9</v>
      </c>
      <c r="E773" s="13">
        <v>1970</v>
      </c>
      <c r="F773" s="14" t="s">
        <v>1521</v>
      </c>
      <c r="G773" s="15">
        <v>3.1099999999999999E-2</v>
      </c>
    </row>
    <row r="774" spans="1:7" x14ac:dyDescent="0.35">
      <c r="A774" s="12" t="s">
        <v>1522</v>
      </c>
      <c r="B774" s="13">
        <v>1941.1</v>
      </c>
      <c r="C774" s="13">
        <v>1983.1</v>
      </c>
      <c r="D774" s="13">
        <v>1988.7</v>
      </c>
      <c r="E774" s="13">
        <v>1938.6</v>
      </c>
      <c r="F774" s="14" t="s">
        <v>1523</v>
      </c>
      <c r="G774" s="15">
        <v>-2.1000000000000001E-2</v>
      </c>
    </row>
    <row r="775" spans="1:7" x14ac:dyDescent="0.35">
      <c r="A775" s="12" t="s">
        <v>1524</v>
      </c>
      <c r="B775" s="13">
        <v>1949.6</v>
      </c>
      <c r="C775" s="13">
        <v>1943.5</v>
      </c>
      <c r="D775" s="13">
        <v>1982.3</v>
      </c>
      <c r="E775" s="13">
        <v>1936.5</v>
      </c>
      <c r="F775" s="14" t="s">
        <v>1525</v>
      </c>
      <c r="G775" s="15">
        <v>4.4000000000000003E-3</v>
      </c>
    </row>
    <row r="776" spans="1:7" x14ac:dyDescent="0.35">
      <c r="A776" s="12" t="s">
        <v>1526</v>
      </c>
      <c r="B776" s="13">
        <v>1995.9</v>
      </c>
      <c r="C776" s="13">
        <v>1974</v>
      </c>
      <c r="D776" s="13">
        <v>2006.1</v>
      </c>
      <c r="E776" s="13">
        <v>1967.3</v>
      </c>
      <c r="F776" s="14" t="s">
        <v>1527</v>
      </c>
      <c r="G776" s="15">
        <v>2.3699999999999999E-2</v>
      </c>
    </row>
    <row r="777" spans="1:7" x14ac:dyDescent="0.35">
      <c r="A777" s="12" t="s">
        <v>1528</v>
      </c>
      <c r="B777" s="13">
        <v>1953.8</v>
      </c>
      <c r="C777" s="13">
        <v>1982.6</v>
      </c>
      <c r="D777" s="13">
        <v>1984</v>
      </c>
      <c r="E777" s="13">
        <v>1945</v>
      </c>
      <c r="F777" s="14" t="s">
        <v>1529</v>
      </c>
      <c r="G777" s="15">
        <v>-2.1100000000000001E-2</v>
      </c>
    </row>
    <row r="778" spans="1:7" x14ac:dyDescent="0.35">
      <c r="A778" s="12" t="s">
        <v>1530</v>
      </c>
      <c r="B778" s="13">
        <v>1973.5</v>
      </c>
      <c r="C778" s="13">
        <v>1957.8</v>
      </c>
      <c r="D778" s="13">
        <v>1977.1</v>
      </c>
      <c r="E778" s="13">
        <v>1949.9</v>
      </c>
      <c r="F778" s="14" t="s">
        <v>1531</v>
      </c>
      <c r="G778" s="15">
        <v>1.01E-2</v>
      </c>
    </row>
    <row r="779" spans="1:7" x14ac:dyDescent="0.35">
      <c r="A779" s="12" t="s">
        <v>1532</v>
      </c>
      <c r="B779" s="13">
        <v>1966.9</v>
      </c>
      <c r="C779" s="13">
        <v>1975.4</v>
      </c>
      <c r="D779" s="13">
        <v>1976</v>
      </c>
      <c r="E779" s="13">
        <v>1959.5</v>
      </c>
      <c r="F779" s="14" t="s">
        <v>1533</v>
      </c>
      <c r="G779" s="15">
        <v>-3.3E-3</v>
      </c>
    </row>
    <row r="780" spans="1:7" x14ac:dyDescent="0.35">
      <c r="A780" s="12" t="s">
        <v>1534</v>
      </c>
      <c r="B780" s="13">
        <v>1988.5</v>
      </c>
      <c r="C780" s="13">
        <v>1973</v>
      </c>
      <c r="D780" s="13">
        <v>1993.3</v>
      </c>
      <c r="E780" s="13">
        <v>1962.7</v>
      </c>
      <c r="F780" s="14" t="s">
        <v>1535</v>
      </c>
      <c r="G780" s="15">
        <v>1.0999999999999999E-2</v>
      </c>
    </row>
    <row r="781" spans="1:7" x14ac:dyDescent="0.35">
      <c r="A781" s="12" t="s">
        <v>1536</v>
      </c>
      <c r="B781" s="13">
        <v>1991.3</v>
      </c>
      <c r="C781" s="13">
        <v>1982.6</v>
      </c>
      <c r="D781" s="13">
        <v>1998.5</v>
      </c>
      <c r="E781" s="13">
        <v>1956.9</v>
      </c>
      <c r="F781" s="14" t="s">
        <v>1537</v>
      </c>
      <c r="G781" s="15">
        <v>1.4E-3</v>
      </c>
    </row>
    <row r="782" spans="1:7" x14ac:dyDescent="0.35">
      <c r="A782" s="12" t="s">
        <v>1538</v>
      </c>
      <c r="B782" s="13">
        <v>2029.4</v>
      </c>
      <c r="C782" s="13">
        <v>1993.2</v>
      </c>
      <c r="D782" s="13">
        <v>2034.2</v>
      </c>
      <c r="E782" s="13">
        <v>1985.9</v>
      </c>
      <c r="F782" s="14" t="s">
        <v>1539</v>
      </c>
      <c r="G782" s="15">
        <v>1.9099999999999999E-2</v>
      </c>
    </row>
    <row r="783" spans="1:7" x14ac:dyDescent="0.35">
      <c r="A783" s="12" t="s">
        <v>1540</v>
      </c>
      <c r="B783" s="13">
        <v>2026.8</v>
      </c>
      <c r="C783" s="13">
        <v>2030</v>
      </c>
      <c r="D783" s="13">
        <v>2040.1</v>
      </c>
      <c r="E783" s="13">
        <v>2018.7</v>
      </c>
      <c r="F783" s="14" t="s">
        <v>1541</v>
      </c>
      <c r="G783" s="15">
        <v>-1.2999999999999999E-3</v>
      </c>
    </row>
    <row r="784" spans="1:7" x14ac:dyDescent="0.35">
      <c r="A784" s="12" t="s">
        <v>1542</v>
      </c>
      <c r="B784" s="13">
        <v>1994.8</v>
      </c>
      <c r="C784" s="13">
        <v>2003.6</v>
      </c>
      <c r="D784" s="13">
        <v>2011.2</v>
      </c>
      <c r="E784" s="13">
        <v>1988</v>
      </c>
      <c r="F784" s="14" t="s">
        <v>1543</v>
      </c>
      <c r="G784" s="15">
        <v>-1.5800000000000002E-2</v>
      </c>
    </row>
    <row r="785" spans="1:7" x14ac:dyDescent="0.35">
      <c r="A785" s="12" t="s">
        <v>1544</v>
      </c>
      <c r="B785" s="13">
        <v>2010</v>
      </c>
      <c r="C785" s="13">
        <v>1996.7</v>
      </c>
      <c r="D785" s="13">
        <v>2013.4</v>
      </c>
      <c r="E785" s="13">
        <v>1996.2</v>
      </c>
      <c r="F785" s="14" t="s">
        <v>1545</v>
      </c>
      <c r="G785" s="15">
        <v>7.6E-3</v>
      </c>
    </row>
    <row r="786" spans="1:7" x14ac:dyDescent="0.35">
      <c r="A786" s="12" t="s">
        <v>1546</v>
      </c>
      <c r="B786" s="13">
        <v>2015.7</v>
      </c>
      <c r="C786" s="13">
        <v>2010</v>
      </c>
      <c r="D786" s="13">
        <v>2034.1</v>
      </c>
      <c r="E786" s="13">
        <v>2007</v>
      </c>
      <c r="F786" s="14" t="s">
        <v>1547</v>
      </c>
      <c r="G786" s="15">
        <v>2.8E-3</v>
      </c>
    </row>
    <row r="787" spans="1:7" x14ac:dyDescent="0.35">
      <c r="A787" s="12" t="s">
        <v>1548</v>
      </c>
      <c r="B787" s="13">
        <v>2045.8</v>
      </c>
      <c r="C787" s="13">
        <v>2019.5</v>
      </c>
      <c r="D787" s="13">
        <v>2053</v>
      </c>
      <c r="E787" s="13">
        <v>2019.5</v>
      </c>
      <c r="F787" s="14" t="s">
        <v>1549</v>
      </c>
      <c r="G787" s="15">
        <v>1.49E-2</v>
      </c>
    </row>
    <row r="788" spans="1:7" x14ac:dyDescent="0.35">
      <c r="A788" s="12" t="s">
        <v>1550</v>
      </c>
      <c r="B788" s="13">
        <v>1997.6</v>
      </c>
      <c r="C788" s="13">
        <v>2004.8</v>
      </c>
      <c r="D788" s="13">
        <v>2018.2</v>
      </c>
      <c r="E788" s="13">
        <v>1984.6</v>
      </c>
      <c r="F788" s="14" t="s">
        <v>1551</v>
      </c>
      <c r="G788" s="15">
        <v>-2.3599999999999999E-2</v>
      </c>
    </row>
    <row r="789" spans="1:7" x14ac:dyDescent="0.35">
      <c r="A789" s="12" t="s">
        <v>1552</v>
      </c>
      <c r="B789" s="13">
        <v>2010.3</v>
      </c>
      <c r="C789" s="13">
        <v>1997.1</v>
      </c>
      <c r="D789" s="13">
        <v>2013.4</v>
      </c>
      <c r="E789" s="13">
        <v>1994.5</v>
      </c>
      <c r="F789" s="14" t="s">
        <v>1553</v>
      </c>
      <c r="G789" s="15">
        <v>6.4000000000000003E-3</v>
      </c>
    </row>
    <row r="790" spans="1:7" x14ac:dyDescent="0.35">
      <c r="A790" s="12" t="s">
        <v>1554</v>
      </c>
      <c r="B790" s="13">
        <v>1998</v>
      </c>
      <c r="C790" s="13">
        <v>2008.5</v>
      </c>
      <c r="D790" s="13">
        <v>2009.7</v>
      </c>
      <c r="E790" s="13">
        <v>1971.9</v>
      </c>
      <c r="F790" s="14" t="s">
        <v>1555</v>
      </c>
      <c r="G790" s="15">
        <v>-6.1000000000000004E-3</v>
      </c>
    </row>
    <row r="791" spans="1:7" x14ac:dyDescent="0.35">
      <c r="A791" s="12" t="s">
        <v>1556</v>
      </c>
      <c r="B791" s="13">
        <v>2009.8</v>
      </c>
      <c r="C791" s="13">
        <v>1996.5</v>
      </c>
      <c r="D791" s="13">
        <v>2014.5</v>
      </c>
      <c r="E791" s="13">
        <v>1994.2</v>
      </c>
      <c r="F791" s="14" t="s">
        <v>1557</v>
      </c>
      <c r="G791" s="15">
        <v>5.8999999999999999E-3</v>
      </c>
    </row>
    <row r="792" spans="1:7" x14ac:dyDescent="0.35">
      <c r="A792" s="12" t="s">
        <v>1558</v>
      </c>
      <c r="B792" s="13">
        <v>1990.6</v>
      </c>
      <c r="C792" s="13">
        <v>1983.2</v>
      </c>
      <c r="D792" s="13">
        <v>1991</v>
      </c>
      <c r="E792" s="13">
        <v>1975.3</v>
      </c>
      <c r="F792" s="14" t="s">
        <v>1559</v>
      </c>
      <c r="G792" s="15">
        <v>-9.5999999999999992E-3</v>
      </c>
    </row>
    <row r="793" spans="1:7" x14ac:dyDescent="0.35">
      <c r="A793" s="12" t="s">
        <v>1560</v>
      </c>
      <c r="B793" s="13">
        <v>1995.1</v>
      </c>
      <c r="C793" s="13">
        <v>1995.4</v>
      </c>
      <c r="D793" s="13">
        <v>2005</v>
      </c>
      <c r="E793" s="13">
        <v>1979.3</v>
      </c>
      <c r="F793" s="14" t="s">
        <v>1561</v>
      </c>
      <c r="G793" s="15">
        <v>2.3E-3</v>
      </c>
    </row>
    <row r="794" spans="1:7" x14ac:dyDescent="0.35">
      <c r="A794" s="12" t="s">
        <v>1562</v>
      </c>
      <c r="B794" s="13">
        <v>1986.9</v>
      </c>
      <c r="C794" s="13">
        <v>2000</v>
      </c>
      <c r="D794" s="13">
        <v>2009.8</v>
      </c>
      <c r="E794" s="13">
        <v>1986.6</v>
      </c>
      <c r="F794" s="14" t="s">
        <v>1563</v>
      </c>
      <c r="G794" s="15">
        <v>-4.1000000000000003E-3</v>
      </c>
    </row>
    <row r="795" spans="1:7" x14ac:dyDescent="0.35">
      <c r="A795" s="12" t="s">
        <v>1564</v>
      </c>
      <c r="B795" s="13">
        <v>1999</v>
      </c>
      <c r="C795" s="13">
        <v>1999.8</v>
      </c>
      <c r="D795" s="13">
        <v>2013.3</v>
      </c>
      <c r="E795" s="13">
        <v>1982</v>
      </c>
      <c r="F795" s="14" t="s">
        <v>1565</v>
      </c>
      <c r="G795" s="15">
        <v>6.1000000000000004E-3</v>
      </c>
    </row>
    <row r="796" spans="1:7" x14ac:dyDescent="0.35">
      <c r="A796" s="12" t="s">
        <v>1566</v>
      </c>
      <c r="B796" s="13">
        <v>1992.2</v>
      </c>
      <c r="C796" s="13">
        <v>2000.2</v>
      </c>
      <c r="D796" s="13">
        <v>2015.4</v>
      </c>
      <c r="E796" s="13">
        <v>1985.7</v>
      </c>
      <c r="F796" s="14" t="s">
        <v>1567</v>
      </c>
      <c r="G796" s="15">
        <v>-3.3999999999999998E-3</v>
      </c>
    </row>
    <row r="797" spans="1:7" x14ac:dyDescent="0.35">
      <c r="A797" s="12" t="s">
        <v>1568</v>
      </c>
      <c r="B797" s="13">
        <v>2023.3</v>
      </c>
      <c r="C797" s="13">
        <v>1990.5</v>
      </c>
      <c r="D797" s="13">
        <v>2028.8</v>
      </c>
      <c r="E797" s="13">
        <v>1986.9</v>
      </c>
      <c r="F797" s="14" t="s">
        <v>1569</v>
      </c>
      <c r="G797" s="15">
        <v>1.5599999999999999E-2</v>
      </c>
    </row>
    <row r="798" spans="1:7" x14ac:dyDescent="0.35">
      <c r="A798" s="12" t="s">
        <v>1570</v>
      </c>
      <c r="B798" s="13">
        <v>2037</v>
      </c>
      <c r="C798" s="13">
        <v>2026.4</v>
      </c>
      <c r="D798" s="13">
        <v>2050</v>
      </c>
      <c r="E798" s="13">
        <v>2016</v>
      </c>
      <c r="F798" s="14" t="s">
        <v>1571</v>
      </c>
      <c r="G798" s="15">
        <v>6.7999999999999996E-3</v>
      </c>
    </row>
    <row r="799" spans="1:7" x14ac:dyDescent="0.35">
      <c r="A799" s="12" t="s">
        <v>1572</v>
      </c>
      <c r="B799" s="13">
        <v>2055.6999999999998</v>
      </c>
      <c r="C799" s="13">
        <v>2054.6999999999998</v>
      </c>
      <c r="D799" s="13">
        <v>2085.4</v>
      </c>
      <c r="E799" s="13">
        <v>2038.5</v>
      </c>
      <c r="F799" s="14" t="s">
        <v>1573</v>
      </c>
      <c r="G799" s="15">
        <v>9.1999999999999998E-3</v>
      </c>
    </row>
    <row r="800" spans="1:7" x14ac:dyDescent="0.35">
      <c r="A800" s="12" t="s">
        <v>1574</v>
      </c>
      <c r="B800" s="13">
        <v>2033.2</v>
      </c>
      <c r="C800" s="13">
        <v>2024.6</v>
      </c>
      <c r="D800" s="13">
        <v>2037.1</v>
      </c>
      <c r="E800" s="13">
        <v>2022</v>
      </c>
      <c r="F800" s="14" t="s">
        <v>1575</v>
      </c>
      <c r="G800" s="15">
        <v>-1.09E-2</v>
      </c>
    </row>
    <row r="801" spans="1:7" x14ac:dyDescent="0.35">
      <c r="A801" s="12" t="s">
        <v>1576</v>
      </c>
      <c r="B801" s="13">
        <v>2042.9</v>
      </c>
      <c r="C801" s="13">
        <v>2028.4</v>
      </c>
      <c r="D801" s="13">
        <v>2045.1</v>
      </c>
      <c r="E801" s="13">
        <v>2026.4</v>
      </c>
      <c r="F801" s="14" t="s">
        <v>1183</v>
      </c>
      <c r="G801" s="15">
        <v>4.7999999999999996E-3</v>
      </c>
    </row>
    <row r="802" spans="1:7" x14ac:dyDescent="0.35">
      <c r="A802" s="12" t="s">
        <v>1577</v>
      </c>
      <c r="B802" s="13">
        <v>2037.1</v>
      </c>
      <c r="C802" s="13">
        <v>2041.6</v>
      </c>
      <c r="D802" s="13">
        <v>2056</v>
      </c>
      <c r="E802" s="13">
        <v>2028.3</v>
      </c>
      <c r="F802" s="14" t="s">
        <v>1578</v>
      </c>
      <c r="G802" s="15">
        <v>-2.8E-3</v>
      </c>
    </row>
    <row r="803" spans="1:7" x14ac:dyDescent="0.35">
      <c r="A803" s="12" t="s">
        <v>1579</v>
      </c>
      <c r="B803" s="13">
        <v>2020.5</v>
      </c>
      <c r="C803" s="13">
        <v>2036.8</v>
      </c>
      <c r="D803" s="13">
        <v>2047.6</v>
      </c>
      <c r="E803" s="13">
        <v>2016.7</v>
      </c>
      <c r="F803" s="14" t="s">
        <v>1580</v>
      </c>
      <c r="G803" s="15">
        <v>-8.0999999999999996E-3</v>
      </c>
    </row>
    <row r="804" spans="1:7" x14ac:dyDescent="0.35">
      <c r="A804" s="12" t="s">
        <v>1581</v>
      </c>
      <c r="B804" s="13">
        <v>2022.7</v>
      </c>
      <c r="C804" s="13">
        <v>2013.4</v>
      </c>
      <c r="D804" s="13">
        <v>2027.5</v>
      </c>
      <c r="E804" s="13">
        <v>2011.2</v>
      </c>
      <c r="F804" s="14" t="s">
        <v>1582</v>
      </c>
      <c r="G804" s="15">
        <v>1.1000000000000001E-3</v>
      </c>
    </row>
    <row r="805" spans="1:7" x14ac:dyDescent="0.35">
      <c r="A805" s="12" t="s">
        <v>1583</v>
      </c>
      <c r="B805" s="13">
        <v>1993</v>
      </c>
      <c r="C805" s="13">
        <v>2021.3</v>
      </c>
      <c r="D805" s="13">
        <v>2022.7</v>
      </c>
      <c r="E805" s="13">
        <v>1989.1</v>
      </c>
      <c r="F805" s="14" t="s">
        <v>1584</v>
      </c>
      <c r="G805" s="15">
        <v>-1.47E-2</v>
      </c>
    </row>
    <row r="806" spans="1:7" x14ac:dyDescent="0.35">
      <c r="A806" s="12" t="s">
        <v>1585</v>
      </c>
      <c r="B806" s="13">
        <v>1984.9</v>
      </c>
      <c r="C806" s="13">
        <v>1993</v>
      </c>
      <c r="D806" s="13">
        <v>1997</v>
      </c>
      <c r="E806" s="13">
        <v>1978.1</v>
      </c>
      <c r="F806" s="14" t="s">
        <v>1586</v>
      </c>
      <c r="G806" s="15">
        <v>-4.1000000000000003E-3</v>
      </c>
    </row>
    <row r="807" spans="1:7" x14ac:dyDescent="0.35">
      <c r="A807" s="12" t="s">
        <v>1587</v>
      </c>
      <c r="B807" s="13">
        <v>1959.8</v>
      </c>
      <c r="C807" s="13">
        <v>1985.6</v>
      </c>
      <c r="D807" s="13">
        <v>1988.8</v>
      </c>
      <c r="E807" s="13">
        <v>1954.4</v>
      </c>
      <c r="F807" s="14" t="s">
        <v>1588</v>
      </c>
      <c r="G807" s="15">
        <v>-1.26E-2</v>
      </c>
    </row>
    <row r="808" spans="1:7" x14ac:dyDescent="0.35">
      <c r="A808" s="12" t="s">
        <v>1589</v>
      </c>
      <c r="B808" s="13">
        <v>1977.2</v>
      </c>
      <c r="C808" s="13">
        <v>1979.4</v>
      </c>
      <c r="D808" s="13">
        <v>1984.8</v>
      </c>
      <c r="E808" s="13">
        <v>1970.7</v>
      </c>
      <c r="F808" s="14" t="s">
        <v>1590</v>
      </c>
      <c r="G808" s="15">
        <v>8.8999999999999999E-3</v>
      </c>
    </row>
    <row r="809" spans="1:7" x14ac:dyDescent="0.35">
      <c r="A809" s="12" t="s">
        <v>1591</v>
      </c>
      <c r="B809" s="13">
        <v>1974.5</v>
      </c>
      <c r="C809" s="13">
        <v>1973.9</v>
      </c>
      <c r="D809" s="13">
        <v>1980</v>
      </c>
      <c r="E809" s="13">
        <v>1955.8</v>
      </c>
      <c r="F809" s="14" t="s">
        <v>1592</v>
      </c>
      <c r="G809" s="15">
        <v>-1.4E-3</v>
      </c>
    </row>
    <row r="810" spans="1:7" x14ac:dyDescent="0.35">
      <c r="A810" s="12" t="s">
        <v>1593</v>
      </c>
      <c r="B810" s="13">
        <v>1964.6</v>
      </c>
      <c r="C810" s="13">
        <v>1977.3</v>
      </c>
      <c r="D810" s="13">
        <v>1987.9</v>
      </c>
      <c r="E810" s="13">
        <v>1958.4</v>
      </c>
      <c r="F810" s="14" t="s">
        <v>1594</v>
      </c>
      <c r="G810" s="15">
        <v>-5.0000000000000001E-3</v>
      </c>
    </row>
    <row r="811" spans="1:7" x14ac:dyDescent="0.35">
      <c r="A811" s="12" t="s">
        <v>1595</v>
      </c>
      <c r="B811" s="13">
        <v>1943.7</v>
      </c>
      <c r="C811" s="13">
        <v>1959.5</v>
      </c>
      <c r="D811" s="13">
        <v>1965.4</v>
      </c>
      <c r="E811" s="13">
        <v>1939</v>
      </c>
      <c r="F811" s="14" t="s">
        <v>722</v>
      </c>
      <c r="G811" s="15">
        <v>-1.06E-2</v>
      </c>
    </row>
    <row r="812" spans="1:7" x14ac:dyDescent="0.35">
      <c r="A812" s="12" t="s">
        <v>1596</v>
      </c>
      <c r="B812" s="13">
        <v>1968.1</v>
      </c>
      <c r="C812" s="13">
        <v>1951.6</v>
      </c>
      <c r="D812" s="13">
        <v>1972.4</v>
      </c>
      <c r="E812" s="13">
        <v>1941.2</v>
      </c>
      <c r="F812" s="14" t="s">
        <v>1597</v>
      </c>
      <c r="G812" s="15">
        <v>1.26E-2</v>
      </c>
    </row>
    <row r="813" spans="1:7" x14ac:dyDescent="0.35">
      <c r="A813" s="12" t="s">
        <v>1598</v>
      </c>
      <c r="B813" s="13">
        <v>1973.1</v>
      </c>
      <c r="C813" s="13">
        <v>1968.4</v>
      </c>
      <c r="D813" s="13">
        <v>1984</v>
      </c>
      <c r="E813" s="13">
        <v>1963.2</v>
      </c>
      <c r="F813" s="14" t="s">
        <v>1599</v>
      </c>
      <c r="G813" s="15">
        <v>2.5000000000000001E-3</v>
      </c>
    </row>
    <row r="814" spans="1:7" x14ac:dyDescent="0.35">
      <c r="A814" s="12" t="s">
        <v>1600</v>
      </c>
      <c r="B814" s="13">
        <v>1986.5</v>
      </c>
      <c r="C814" s="13">
        <v>1972.3</v>
      </c>
      <c r="D814" s="13">
        <v>1991.4</v>
      </c>
      <c r="E814" s="13">
        <v>1961.3</v>
      </c>
      <c r="F814" s="14" t="s">
        <v>1601</v>
      </c>
      <c r="G814" s="15">
        <v>6.7999999999999996E-3</v>
      </c>
    </row>
    <row r="815" spans="1:7" x14ac:dyDescent="0.35">
      <c r="A815" s="12" t="s">
        <v>1602</v>
      </c>
      <c r="B815" s="13">
        <v>1965.7</v>
      </c>
      <c r="C815" s="13">
        <v>1954.4</v>
      </c>
      <c r="D815" s="13">
        <v>1970.8</v>
      </c>
      <c r="E815" s="13">
        <v>1945</v>
      </c>
      <c r="F815" s="14" t="s">
        <v>1603</v>
      </c>
      <c r="G815" s="15">
        <v>-1.0500000000000001E-2</v>
      </c>
    </row>
    <row r="816" spans="1:7" x14ac:dyDescent="0.35">
      <c r="A816" s="12" t="s">
        <v>1604</v>
      </c>
      <c r="B816" s="13">
        <v>1972.9</v>
      </c>
      <c r="C816" s="13">
        <v>1968.9</v>
      </c>
      <c r="D816" s="13">
        <v>1973.6</v>
      </c>
      <c r="E816" s="13">
        <v>1962</v>
      </c>
      <c r="F816" s="14" t="s">
        <v>1605</v>
      </c>
      <c r="G816" s="15">
        <v>3.7000000000000002E-3</v>
      </c>
    </row>
    <row r="817" spans="1:7" x14ac:dyDescent="0.35">
      <c r="A817" s="12" t="s">
        <v>1606</v>
      </c>
      <c r="B817" s="13">
        <v>1949.9</v>
      </c>
      <c r="C817" s="13">
        <v>1971.2</v>
      </c>
      <c r="D817" s="13">
        <v>1977.5</v>
      </c>
      <c r="E817" s="13">
        <v>1947.1</v>
      </c>
      <c r="F817" s="14" t="s">
        <v>1607</v>
      </c>
      <c r="G817" s="15">
        <v>-1.17E-2</v>
      </c>
    </row>
    <row r="818" spans="1:7" x14ac:dyDescent="0.35">
      <c r="A818" s="12" t="s">
        <v>1608</v>
      </c>
      <c r="B818" s="13">
        <v>1969.9</v>
      </c>
      <c r="C818" s="13">
        <v>1948.6</v>
      </c>
      <c r="D818" s="13">
        <v>1976</v>
      </c>
      <c r="E818" s="13">
        <v>1948.1</v>
      </c>
      <c r="F818" s="14" t="s">
        <v>1609</v>
      </c>
      <c r="G818" s="15">
        <v>1.03E-2</v>
      </c>
    </row>
    <row r="819" spans="1:7" x14ac:dyDescent="0.35">
      <c r="A819" s="12" t="s">
        <v>1610</v>
      </c>
      <c r="B819" s="13">
        <v>1960.9</v>
      </c>
      <c r="C819" s="13">
        <v>1966.1</v>
      </c>
      <c r="D819" s="13">
        <v>1971.5</v>
      </c>
      <c r="E819" s="13">
        <v>1954.8</v>
      </c>
      <c r="F819" s="14" t="s">
        <v>1611</v>
      </c>
      <c r="G819" s="15">
        <v>-4.5999999999999999E-3</v>
      </c>
    </row>
    <row r="820" spans="1:7" x14ac:dyDescent="0.35">
      <c r="A820" s="12" t="s">
        <v>1612</v>
      </c>
      <c r="B820" s="13">
        <v>1949.9</v>
      </c>
      <c r="C820" s="13">
        <v>1962.9</v>
      </c>
      <c r="D820" s="13">
        <v>1976</v>
      </c>
      <c r="E820" s="13">
        <v>1944.5</v>
      </c>
      <c r="F820" s="14" t="s">
        <v>1613</v>
      </c>
      <c r="G820" s="15">
        <v>-5.5999999999999999E-3</v>
      </c>
    </row>
    <row r="821" spans="1:7" x14ac:dyDescent="0.35">
      <c r="A821" s="12" t="s">
        <v>1614</v>
      </c>
      <c r="B821" s="13">
        <v>1960.1</v>
      </c>
      <c r="C821" s="13">
        <v>1948.6</v>
      </c>
      <c r="D821" s="13">
        <v>1964.9</v>
      </c>
      <c r="E821" s="13">
        <v>1944.3</v>
      </c>
      <c r="F821" s="14" t="s">
        <v>1253</v>
      </c>
      <c r="G821" s="15">
        <v>5.1999999999999998E-3</v>
      </c>
    </row>
    <row r="822" spans="1:7" x14ac:dyDescent="0.35">
      <c r="A822" s="12" t="s">
        <v>1615</v>
      </c>
      <c r="B822" s="13">
        <v>1961.8</v>
      </c>
      <c r="C822" s="13">
        <v>1948.8</v>
      </c>
      <c r="D822" s="13">
        <v>1963.7</v>
      </c>
      <c r="E822" s="13">
        <v>1929.6</v>
      </c>
      <c r="F822" s="14" t="s">
        <v>1616</v>
      </c>
      <c r="G822" s="15">
        <v>8.9999999999999998E-4</v>
      </c>
    </row>
    <row r="823" spans="1:7" x14ac:dyDescent="0.35">
      <c r="A823" s="12" t="s">
        <v>1617</v>
      </c>
      <c r="B823" s="13">
        <v>1938.9</v>
      </c>
      <c r="C823" s="13">
        <v>1961.7</v>
      </c>
      <c r="D823" s="13">
        <v>1961.7</v>
      </c>
      <c r="E823" s="13">
        <v>1932.4</v>
      </c>
      <c r="F823" s="14" t="s">
        <v>1618</v>
      </c>
      <c r="G823" s="15">
        <v>-1.17E-2</v>
      </c>
    </row>
    <row r="824" spans="1:7" x14ac:dyDescent="0.35">
      <c r="A824" s="12" t="s">
        <v>1619</v>
      </c>
      <c r="B824" s="13">
        <v>1936.1</v>
      </c>
      <c r="C824" s="13">
        <v>1939.5</v>
      </c>
      <c r="D824" s="13">
        <v>1940.7</v>
      </c>
      <c r="E824" s="13">
        <v>1922.2</v>
      </c>
      <c r="F824" s="14" t="s">
        <v>1620</v>
      </c>
      <c r="G824" s="15">
        <v>-1.4E-3</v>
      </c>
    </row>
    <row r="825" spans="1:7" x14ac:dyDescent="0.35">
      <c r="A825" s="12" t="s">
        <v>1621</v>
      </c>
      <c r="B825" s="13">
        <v>1915</v>
      </c>
      <c r="C825" s="13">
        <v>1935.9</v>
      </c>
      <c r="D825" s="13">
        <v>1935.9</v>
      </c>
      <c r="E825" s="13">
        <v>1914</v>
      </c>
      <c r="F825" s="14" t="s">
        <v>1622</v>
      </c>
      <c r="G825" s="15">
        <v>-1.09E-2</v>
      </c>
    </row>
    <row r="826" spans="1:7" x14ac:dyDescent="0.35">
      <c r="A826" s="12" t="s">
        <v>1623</v>
      </c>
      <c r="B826" s="13">
        <v>1925.1</v>
      </c>
      <c r="C826" s="13">
        <v>1926.4</v>
      </c>
      <c r="D826" s="13">
        <v>1934.5</v>
      </c>
      <c r="E826" s="13">
        <v>1923</v>
      </c>
      <c r="F826" s="14" t="s">
        <v>1624</v>
      </c>
      <c r="G826" s="15">
        <v>5.3E-3</v>
      </c>
    </row>
    <row r="827" spans="1:7" x14ac:dyDescent="0.35">
      <c r="A827" s="12" t="s">
        <v>1625</v>
      </c>
      <c r="B827" s="13">
        <v>1915.1</v>
      </c>
      <c r="C827" s="13">
        <v>1927.4</v>
      </c>
      <c r="D827" s="13">
        <v>1930.2</v>
      </c>
      <c r="E827" s="13">
        <v>1912.3</v>
      </c>
      <c r="F827" s="14" t="s">
        <v>1626</v>
      </c>
      <c r="G827" s="15">
        <v>-5.1999999999999998E-3</v>
      </c>
    </row>
    <row r="828" spans="1:7" x14ac:dyDescent="0.35">
      <c r="A828" s="12" t="s">
        <v>1627</v>
      </c>
      <c r="B828" s="13">
        <v>1913.4</v>
      </c>
      <c r="C828" s="13">
        <v>1915.2</v>
      </c>
      <c r="D828" s="13">
        <v>1916.7</v>
      </c>
      <c r="E828" s="13">
        <v>1903.6</v>
      </c>
      <c r="F828" s="14" t="s">
        <v>1628</v>
      </c>
      <c r="G828" s="15">
        <v>-8.9999999999999998E-4</v>
      </c>
    </row>
    <row r="829" spans="1:7" x14ac:dyDescent="0.35">
      <c r="A829" s="12" t="s">
        <v>1629</v>
      </c>
      <c r="B829" s="13">
        <v>1917.9</v>
      </c>
      <c r="C829" s="13">
        <v>1916.5</v>
      </c>
      <c r="D829" s="13">
        <v>1921.3</v>
      </c>
      <c r="E829" s="13">
        <v>1900.6</v>
      </c>
      <c r="F829" s="14" t="s">
        <v>1630</v>
      </c>
      <c r="G829" s="15">
        <v>2.3999999999999998E-3</v>
      </c>
    </row>
    <row r="830" spans="1:7" x14ac:dyDescent="0.35">
      <c r="A830" s="12" t="s">
        <v>1631</v>
      </c>
      <c r="B830" s="13">
        <v>1929.5</v>
      </c>
      <c r="C830" s="13">
        <v>1927.8</v>
      </c>
      <c r="D830" s="13">
        <v>1939.9</v>
      </c>
      <c r="E830" s="13">
        <v>1917.7</v>
      </c>
      <c r="F830" s="14" t="s">
        <v>1632</v>
      </c>
      <c r="G830" s="15">
        <v>6.0000000000000001E-3</v>
      </c>
    </row>
    <row r="831" spans="1:7" x14ac:dyDescent="0.35">
      <c r="A831" s="12" t="s">
        <v>1633</v>
      </c>
      <c r="B831" s="13">
        <v>1927.1</v>
      </c>
      <c r="C831" s="13">
        <v>1929.1</v>
      </c>
      <c r="D831" s="13">
        <v>1942.9</v>
      </c>
      <c r="E831" s="13">
        <v>1922.1</v>
      </c>
      <c r="F831" s="14" t="s">
        <v>1634</v>
      </c>
      <c r="G831" s="15">
        <v>-1.1999999999999999E-3</v>
      </c>
    </row>
    <row r="832" spans="1:7" x14ac:dyDescent="0.35">
      <c r="A832" s="12" t="s">
        <v>1635</v>
      </c>
      <c r="B832" s="13">
        <v>1915.4</v>
      </c>
      <c r="C832" s="13">
        <v>1922.4</v>
      </c>
      <c r="D832" s="13">
        <v>1934</v>
      </c>
      <c r="E832" s="13">
        <v>1908.5</v>
      </c>
      <c r="F832" s="14" t="s">
        <v>1636</v>
      </c>
      <c r="G832" s="15">
        <v>-6.1000000000000004E-3</v>
      </c>
    </row>
    <row r="833" spans="1:7" x14ac:dyDescent="0.35">
      <c r="A833" s="12" t="s">
        <v>1637</v>
      </c>
      <c r="B833" s="13">
        <v>1931</v>
      </c>
      <c r="C833" s="13">
        <v>1930.7</v>
      </c>
      <c r="D833" s="13">
        <v>1933.7</v>
      </c>
      <c r="E833" s="13">
        <v>1918</v>
      </c>
      <c r="F833" s="14" t="s">
        <v>1638</v>
      </c>
      <c r="G833" s="15">
        <v>8.0999999999999996E-3</v>
      </c>
    </row>
    <row r="834" spans="1:7" x14ac:dyDescent="0.35">
      <c r="A834" s="12" t="s">
        <v>1639</v>
      </c>
      <c r="B834" s="13">
        <v>1937.1</v>
      </c>
      <c r="C834" s="13">
        <v>1930.8</v>
      </c>
      <c r="D834" s="13">
        <v>1944.5</v>
      </c>
      <c r="E834" s="13">
        <v>1929.8</v>
      </c>
      <c r="F834" s="14" t="s">
        <v>1640</v>
      </c>
      <c r="G834" s="15">
        <v>3.2000000000000002E-3</v>
      </c>
    </row>
    <row r="835" spans="1:7" x14ac:dyDescent="0.35">
      <c r="A835" s="12" t="s">
        <v>1641</v>
      </c>
      <c r="B835" s="13">
        <v>1961.7</v>
      </c>
      <c r="C835" s="13">
        <v>1938</v>
      </c>
      <c r="D835" s="13">
        <v>1965.1</v>
      </c>
      <c r="E835" s="13">
        <v>1937.5</v>
      </c>
      <c r="F835" s="14" t="s">
        <v>1642</v>
      </c>
      <c r="G835" s="15">
        <v>1.2699999999999999E-2</v>
      </c>
    </row>
    <row r="836" spans="1:7" x14ac:dyDescent="0.35">
      <c r="A836" s="12" t="s">
        <v>1643</v>
      </c>
      <c r="B836" s="13">
        <v>1963.8</v>
      </c>
      <c r="C836" s="13">
        <v>1962.7</v>
      </c>
      <c r="D836" s="13">
        <v>1968.5</v>
      </c>
      <c r="E836" s="13">
        <v>1956.6</v>
      </c>
      <c r="F836" s="14" t="s">
        <v>1644</v>
      </c>
      <c r="G836" s="15">
        <v>1.1000000000000001E-3</v>
      </c>
    </row>
    <row r="837" spans="1:7" x14ac:dyDescent="0.35">
      <c r="A837" s="12" t="s">
        <v>1645</v>
      </c>
      <c r="B837" s="13">
        <v>1956.4</v>
      </c>
      <c r="C837" s="13">
        <v>1958.6</v>
      </c>
      <c r="D837" s="13">
        <v>1963.6</v>
      </c>
      <c r="E837" s="13">
        <v>1949</v>
      </c>
      <c r="F837" s="14" t="s">
        <v>1646</v>
      </c>
      <c r="G837" s="15">
        <v>-3.8E-3</v>
      </c>
    </row>
    <row r="838" spans="1:7" x14ac:dyDescent="0.35">
      <c r="A838" s="12" t="s">
        <v>1647</v>
      </c>
      <c r="B838" s="13">
        <v>1980.8</v>
      </c>
      <c r="C838" s="13">
        <v>1958.3</v>
      </c>
      <c r="D838" s="13">
        <v>1988.3</v>
      </c>
      <c r="E838" s="13">
        <v>1958.1</v>
      </c>
      <c r="F838" s="14" t="s">
        <v>1648</v>
      </c>
      <c r="G838" s="15">
        <v>1.2500000000000001E-2</v>
      </c>
    </row>
    <row r="839" spans="1:7" x14ac:dyDescent="0.35">
      <c r="A839" s="12" t="s">
        <v>1649</v>
      </c>
      <c r="B839" s="13">
        <v>1980.8</v>
      </c>
      <c r="C839" s="13">
        <v>1982.5</v>
      </c>
      <c r="D839" s="13">
        <v>1984.6</v>
      </c>
      <c r="E839" s="13">
        <v>1973.3</v>
      </c>
      <c r="F839" s="14" t="s">
        <v>1650</v>
      </c>
      <c r="G839" s="15">
        <v>0</v>
      </c>
    </row>
    <row r="840" spans="1:7" x14ac:dyDescent="0.35">
      <c r="A840" s="12" t="s">
        <v>1651</v>
      </c>
      <c r="B840" s="13">
        <v>1970.9</v>
      </c>
      <c r="C840" s="13">
        <v>1980</v>
      </c>
      <c r="D840" s="13">
        <v>1989.8</v>
      </c>
      <c r="E840" s="13">
        <v>1967.7</v>
      </c>
      <c r="F840" s="14" t="s">
        <v>1652</v>
      </c>
      <c r="G840" s="15">
        <v>-5.0000000000000001E-3</v>
      </c>
    </row>
    <row r="841" spans="1:7" x14ac:dyDescent="0.35">
      <c r="A841" s="12" t="s">
        <v>1653</v>
      </c>
      <c r="B841" s="13">
        <v>1962.2</v>
      </c>
      <c r="C841" s="13">
        <v>1963.6</v>
      </c>
      <c r="D841" s="13">
        <v>1969.8</v>
      </c>
      <c r="E841" s="13">
        <v>1955.3</v>
      </c>
      <c r="F841" s="14" t="s">
        <v>1654</v>
      </c>
      <c r="G841" s="15">
        <v>-4.4000000000000003E-3</v>
      </c>
    </row>
    <row r="842" spans="1:7" x14ac:dyDescent="0.35">
      <c r="A842" s="12" t="s">
        <v>1655</v>
      </c>
      <c r="B842" s="13">
        <v>1963.7</v>
      </c>
      <c r="C842" s="13">
        <v>1957</v>
      </c>
      <c r="D842" s="13">
        <v>1967.1</v>
      </c>
      <c r="E842" s="13">
        <v>1951.6</v>
      </c>
      <c r="F842" s="14" t="s">
        <v>1656</v>
      </c>
      <c r="G842" s="15">
        <v>8.0000000000000004E-4</v>
      </c>
    </row>
    <row r="843" spans="1:7" x14ac:dyDescent="0.35">
      <c r="A843" s="12" t="s">
        <v>1657</v>
      </c>
      <c r="B843" s="13">
        <v>1970.1</v>
      </c>
      <c r="C843" s="13">
        <v>1966.3</v>
      </c>
      <c r="D843" s="13">
        <v>1979.9</v>
      </c>
      <c r="E843" s="13">
        <v>1963.2</v>
      </c>
      <c r="F843" s="14" t="s">
        <v>1658</v>
      </c>
      <c r="G843" s="15">
        <v>3.3E-3</v>
      </c>
    </row>
    <row r="844" spans="1:7" x14ac:dyDescent="0.35">
      <c r="A844" s="12" t="s">
        <v>1659</v>
      </c>
      <c r="B844" s="13">
        <v>1945.7</v>
      </c>
      <c r="C844" s="13">
        <v>1973.3</v>
      </c>
      <c r="D844" s="13">
        <v>1982.6</v>
      </c>
      <c r="E844" s="13">
        <v>1941.7</v>
      </c>
      <c r="F844" s="14" t="s">
        <v>167</v>
      </c>
      <c r="G844" s="15">
        <v>-1.24E-2</v>
      </c>
    </row>
    <row r="845" spans="1:7" x14ac:dyDescent="0.35">
      <c r="A845" s="12" t="s">
        <v>1660</v>
      </c>
      <c r="B845" s="13">
        <v>1979.6</v>
      </c>
      <c r="C845" s="13">
        <v>1967.9</v>
      </c>
      <c r="D845" s="13">
        <v>1981.1</v>
      </c>
      <c r="E845" s="13">
        <v>1958</v>
      </c>
      <c r="F845" s="14" t="s">
        <v>1661</v>
      </c>
      <c r="G845" s="15">
        <v>1.7399999999999999E-2</v>
      </c>
    </row>
    <row r="846" spans="1:7" x14ac:dyDescent="0.35">
      <c r="A846" s="12" t="s">
        <v>1662</v>
      </c>
      <c r="B846" s="13">
        <v>1949.7</v>
      </c>
      <c r="C846" s="13">
        <v>1974.3</v>
      </c>
      <c r="D846" s="13">
        <v>1974.4</v>
      </c>
      <c r="E846" s="13">
        <v>1949.6</v>
      </c>
      <c r="F846" s="14" t="s">
        <v>1663</v>
      </c>
      <c r="G846" s="15">
        <v>-1.5100000000000001E-2</v>
      </c>
    </row>
    <row r="847" spans="1:7" x14ac:dyDescent="0.35">
      <c r="A847" s="12" t="s">
        <v>1664</v>
      </c>
      <c r="B847" s="13">
        <v>1946</v>
      </c>
      <c r="C847" s="13">
        <v>1957.1</v>
      </c>
      <c r="D847" s="13">
        <v>1962.9</v>
      </c>
      <c r="E847" s="13">
        <v>1940.5</v>
      </c>
      <c r="F847" s="14" t="s">
        <v>1665</v>
      </c>
      <c r="G847" s="15">
        <v>-1.9E-3</v>
      </c>
    </row>
    <row r="848" spans="1:7" x14ac:dyDescent="0.35">
      <c r="A848" s="12" t="s">
        <v>1666</v>
      </c>
      <c r="B848" s="13">
        <v>1939.9</v>
      </c>
      <c r="C848" s="13">
        <v>1943.2</v>
      </c>
      <c r="D848" s="13">
        <v>1945.5</v>
      </c>
      <c r="E848" s="13">
        <v>1936.6</v>
      </c>
      <c r="F848" s="14" t="s">
        <v>1667</v>
      </c>
      <c r="G848" s="15">
        <v>-3.0999999999999999E-3</v>
      </c>
    </row>
    <row r="849" spans="1:7" x14ac:dyDescent="0.35">
      <c r="A849" s="12" t="s">
        <v>1668</v>
      </c>
      <c r="B849" s="13">
        <v>1940.7</v>
      </c>
      <c r="C849" s="13">
        <v>1948.5</v>
      </c>
      <c r="D849" s="13">
        <v>1952</v>
      </c>
      <c r="E849" s="13">
        <v>1937</v>
      </c>
      <c r="F849" s="14" t="s">
        <v>1669</v>
      </c>
      <c r="G849" s="15">
        <v>4.0000000000000002E-4</v>
      </c>
    </row>
    <row r="850" spans="1:7" x14ac:dyDescent="0.35">
      <c r="A850" s="12" t="s">
        <v>1670</v>
      </c>
      <c r="B850" s="13">
        <v>1930.8</v>
      </c>
      <c r="C850" s="13">
        <v>1941.8</v>
      </c>
      <c r="D850" s="13">
        <v>1943.4</v>
      </c>
      <c r="E850" s="13">
        <v>1928.2</v>
      </c>
      <c r="F850" s="14" t="s">
        <v>1671</v>
      </c>
      <c r="G850" s="15">
        <v>-5.1000000000000004E-3</v>
      </c>
    </row>
    <row r="851" spans="1:7" x14ac:dyDescent="0.35">
      <c r="A851" s="12" t="s">
        <v>1672</v>
      </c>
      <c r="B851" s="13">
        <v>1921.9</v>
      </c>
      <c r="C851" s="13">
        <v>1930.2</v>
      </c>
      <c r="D851" s="13">
        <v>1936.3</v>
      </c>
      <c r="E851" s="13">
        <v>1919.8</v>
      </c>
      <c r="F851" s="14" t="s">
        <v>1673</v>
      </c>
      <c r="G851" s="15">
        <v>-4.5999999999999999E-3</v>
      </c>
    </row>
    <row r="852" spans="1:7" x14ac:dyDescent="0.35">
      <c r="A852" s="12" t="s">
        <v>1674</v>
      </c>
      <c r="B852" s="13">
        <v>1920.1</v>
      </c>
      <c r="C852" s="13">
        <v>1920.6</v>
      </c>
      <c r="D852" s="13">
        <v>1934.4</v>
      </c>
      <c r="E852" s="13">
        <v>1915.9</v>
      </c>
      <c r="F852" s="14" t="s">
        <v>1675</v>
      </c>
      <c r="G852" s="15">
        <v>-8.9999999999999998E-4</v>
      </c>
    </row>
    <row r="853" spans="1:7" x14ac:dyDescent="0.35">
      <c r="A853" s="12" t="s">
        <v>1676</v>
      </c>
      <c r="B853" s="13">
        <v>1915.6</v>
      </c>
      <c r="C853" s="13">
        <v>1914.9</v>
      </c>
      <c r="D853" s="13">
        <v>1918.6</v>
      </c>
      <c r="E853" s="13">
        <v>1906</v>
      </c>
      <c r="F853" s="14" t="s">
        <v>1677</v>
      </c>
      <c r="G853" s="15">
        <v>-2.3E-3</v>
      </c>
    </row>
    <row r="854" spans="1:7" x14ac:dyDescent="0.35">
      <c r="A854" s="12" t="s">
        <v>1678</v>
      </c>
      <c r="B854" s="13">
        <v>1906.9</v>
      </c>
      <c r="C854" s="13">
        <v>1911</v>
      </c>
      <c r="D854" s="13">
        <v>1915</v>
      </c>
      <c r="E854" s="13">
        <v>1899.7</v>
      </c>
      <c r="F854" s="14" t="s">
        <v>1679</v>
      </c>
      <c r="G854" s="15">
        <v>-4.4999999999999997E-3</v>
      </c>
    </row>
    <row r="855" spans="1:7" x14ac:dyDescent="0.35">
      <c r="A855" s="12" t="s">
        <v>1680</v>
      </c>
      <c r="B855" s="13">
        <v>1900.2</v>
      </c>
      <c r="C855" s="13">
        <v>1905.1</v>
      </c>
      <c r="D855" s="13">
        <v>1909.6</v>
      </c>
      <c r="E855" s="13">
        <v>1894.1</v>
      </c>
      <c r="F855" s="14" t="s">
        <v>1681</v>
      </c>
      <c r="G855" s="15">
        <v>-3.5000000000000001E-3</v>
      </c>
    </row>
    <row r="856" spans="1:7" x14ac:dyDescent="0.35">
      <c r="A856" s="12" t="s">
        <v>1682</v>
      </c>
      <c r="B856" s="13">
        <v>1887.2</v>
      </c>
      <c r="C856" s="13">
        <v>1894.6</v>
      </c>
      <c r="D856" s="13">
        <v>1904.6</v>
      </c>
      <c r="E856" s="13">
        <v>1886.6</v>
      </c>
      <c r="F856" s="14" t="s">
        <v>1683</v>
      </c>
      <c r="G856" s="15">
        <v>-6.7999999999999996E-3</v>
      </c>
    </row>
    <row r="857" spans="1:7" x14ac:dyDescent="0.35">
      <c r="A857" s="12" t="s">
        <v>1684</v>
      </c>
      <c r="B857" s="13">
        <v>1895.7</v>
      </c>
      <c r="C857" s="13">
        <v>1890.6</v>
      </c>
      <c r="D857" s="13">
        <v>1899.9</v>
      </c>
      <c r="E857" s="13">
        <v>1886.3</v>
      </c>
      <c r="F857" s="14" t="s">
        <v>1685</v>
      </c>
      <c r="G857" s="15">
        <v>4.4999999999999997E-3</v>
      </c>
    </row>
    <row r="858" spans="1:7" x14ac:dyDescent="0.35">
      <c r="A858" s="12" t="s">
        <v>1686</v>
      </c>
      <c r="B858" s="13">
        <v>1898.6</v>
      </c>
      <c r="C858" s="13">
        <v>1896.3</v>
      </c>
      <c r="D858" s="13">
        <v>1905.7</v>
      </c>
      <c r="E858" s="13">
        <v>1890.8</v>
      </c>
      <c r="F858" s="14" t="s">
        <v>1687</v>
      </c>
      <c r="G858" s="15">
        <v>1.5E-3</v>
      </c>
    </row>
    <row r="859" spans="1:7" x14ac:dyDescent="0.35">
      <c r="A859" s="12" t="s">
        <v>1688</v>
      </c>
      <c r="B859" s="13">
        <v>1920.5</v>
      </c>
      <c r="C859" s="13">
        <v>1899.2</v>
      </c>
      <c r="D859" s="13">
        <v>1921.7</v>
      </c>
      <c r="E859" s="13">
        <v>1899.2</v>
      </c>
      <c r="F859" s="14" t="s">
        <v>1689</v>
      </c>
      <c r="G859" s="15">
        <v>1.15E-2</v>
      </c>
    </row>
    <row r="860" spans="1:7" x14ac:dyDescent="0.35">
      <c r="A860" s="12" t="s">
        <v>1690</v>
      </c>
      <c r="B860" s="13">
        <v>1919.1</v>
      </c>
      <c r="C860" s="13">
        <v>1918.7</v>
      </c>
      <c r="D860" s="13">
        <v>1923</v>
      </c>
      <c r="E860" s="13">
        <v>1911.6</v>
      </c>
      <c r="F860" s="14" t="s">
        <v>1691</v>
      </c>
      <c r="G860" s="15">
        <v>-6.9999999999999999E-4</v>
      </c>
    </row>
    <row r="861" spans="1:7" x14ac:dyDescent="0.35">
      <c r="A861" s="12" t="s">
        <v>1692</v>
      </c>
      <c r="B861" s="13">
        <v>1918.5</v>
      </c>
      <c r="C861" s="13">
        <v>1915.2</v>
      </c>
      <c r="D861" s="13">
        <v>1926</v>
      </c>
      <c r="E861" s="13">
        <v>1912.3</v>
      </c>
      <c r="F861" s="14" t="s">
        <v>1693</v>
      </c>
      <c r="G861" s="15">
        <v>-2.9999999999999997E-4</v>
      </c>
    </row>
    <row r="862" spans="1:7" x14ac:dyDescent="0.35">
      <c r="A862" s="12" t="s">
        <v>1694</v>
      </c>
      <c r="B862" s="13">
        <v>1936.4</v>
      </c>
      <c r="C862" s="13">
        <v>1920.3</v>
      </c>
      <c r="D862" s="13">
        <v>1937</v>
      </c>
      <c r="E862" s="13">
        <v>1914.4</v>
      </c>
      <c r="F862" s="14" t="s">
        <v>1695</v>
      </c>
      <c r="G862" s="15">
        <v>9.2999999999999992E-3</v>
      </c>
    </row>
    <row r="863" spans="1:7" x14ac:dyDescent="0.35">
      <c r="A863" s="12" t="s">
        <v>1696</v>
      </c>
      <c r="B863" s="13">
        <v>1954</v>
      </c>
      <c r="C863" s="13">
        <v>1947.8</v>
      </c>
      <c r="D863" s="13">
        <v>1958</v>
      </c>
      <c r="E863" s="13">
        <v>1943.8</v>
      </c>
      <c r="F863" s="14" t="s">
        <v>1697</v>
      </c>
      <c r="G863" s="15">
        <v>9.1000000000000004E-3</v>
      </c>
    </row>
    <row r="864" spans="1:7" x14ac:dyDescent="0.35">
      <c r="A864" s="12" t="s">
        <v>1698</v>
      </c>
      <c r="B864" s="13">
        <v>1947</v>
      </c>
      <c r="C864" s="13">
        <v>1951.8</v>
      </c>
      <c r="D864" s="13">
        <v>1955.6</v>
      </c>
      <c r="E864" s="13">
        <v>1946.6</v>
      </c>
      <c r="F864" s="14" t="s">
        <v>1699</v>
      </c>
      <c r="G864" s="15">
        <v>-3.5999999999999999E-3</v>
      </c>
    </row>
    <row r="865" spans="1:7" x14ac:dyDescent="0.35">
      <c r="A865" s="12" t="s">
        <v>1700</v>
      </c>
      <c r="B865" s="13">
        <v>1934.3</v>
      </c>
      <c r="C865" s="13">
        <v>1947.9</v>
      </c>
      <c r="D865" s="13">
        <v>1954.1</v>
      </c>
      <c r="E865" s="13">
        <v>1932.4</v>
      </c>
      <c r="F865" s="14" t="s">
        <v>1701</v>
      </c>
      <c r="G865" s="15">
        <v>-6.4999999999999997E-3</v>
      </c>
    </row>
    <row r="866" spans="1:7" x14ac:dyDescent="0.35">
      <c r="A866" s="12" t="s">
        <v>1702</v>
      </c>
      <c r="B866" s="13">
        <v>1925.8</v>
      </c>
      <c r="C866" s="13">
        <v>1933.4</v>
      </c>
      <c r="D866" s="13">
        <v>1936.1</v>
      </c>
      <c r="E866" s="13">
        <v>1921.6</v>
      </c>
      <c r="F866" s="14" t="s">
        <v>1703</v>
      </c>
      <c r="G866" s="15">
        <v>-4.4000000000000003E-3</v>
      </c>
    </row>
    <row r="867" spans="1:7" x14ac:dyDescent="0.35">
      <c r="A867" s="12" t="s">
        <v>1704</v>
      </c>
      <c r="B867" s="13">
        <v>1924.1</v>
      </c>
      <c r="C867" s="13">
        <v>1923.2</v>
      </c>
      <c r="D867" s="13">
        <v>1929</v>
      </c>
      <c r="E867" s="13">
        <v>1922</v>
      </c>
      <c r="F867" s="14" t="s">
        <v>1017</v>
      </c>
      <c r="G867" s="15">
        <v>-8.9999999999999998E-4</v>
      </c>
    </row>
    <row r="868" spans="1:7" x14ac:dyDescent="0.35">
      <c r="A868" s="12" t="s">
        <v>1705</v>
      </c>
      <c r="B868" s="13">
        <v>1929.2</v>
      </c>
      <c r="C868" s="13">
        <v>1925.6</v>
      </c>
      <c r="D868" s="13">
        <v>1936.5</v>
      </c>
      <c r="E868" s="13">
        <v>1921.8</v>
      </c>
      <c r="F868" s="14" t="s">
        <v>1706</v>
      </c>
      <c r="G868" s="15">
        <v>2.7000000000000001E-3</v>
      </c>
    </row>
    <row r="869" spans="1:7" x14ac:dyDescent="0.35">
      <c r="A869" s="12" t="s">
        <v>1707</v>
      </c>
      <c r="B869" s="13">
        <v>1917.2</v>
      </c>
      <c r="C869" s="13">
        <v>1927.4</v>
      </c>
      <c r="D869" s="13">
        <v>1929.3</v>
      </c>
      <c r="E869" s="13">
        <v>1912</v>
      </c>
      <c r="F869" s="14" t="s">
        <v>1708</v>
      </c>
      <c r="G869" s="15">
        <v>-6.1999999999999998E-3</v>
      </c>
    </row>
    <row r="870" spans="1:7" x14ac:dyDescent="0.35">
      <c r="A870" s="12" t="s">
        <v>1709</v>
      </c>
      <c r="B870" s="13">
        <v>1914.4</v>
      </c>
      <c r="C870" s="13">
        <v>1917.8</v>
      </c>
      <c r="D870" s="13">
        <v>1920.1</v>
      </c>
      <c r="E870" s="13">
        <v>1909.6</v>
      </c>
      <c r="F870" s="14" t="s">
        <v>1710</v>
      </c>
      <c r="G870" s="15">
        <v>-1.5E-3</v>
      </c>
    </row>
    <row r="871" spans="1:7" x14ac:dyDescent="0.35">
      <c r="A871" s="12" t="s">
        <v>1711</v>
      </c>
      <c r="B871" s="13">
        <v>1914.4</v>
      </c>
      <c r="C871" s="13">
        <v>1912.7</v>
      </c>
      <c r="D871" s="13">
        <v>1916</v>
      </c>
      <c r="E871" s="13">
        <v>1903.8</v>
      </c>
      <c r="F871" s="14" t="s">
        <v>1712</v>
      </c>
      <c r="G871" s="15">
        <v>0</v>
      </c>
    </row>
    <row r="872" spans="1:7" x14ac:dyDescent="0.35">
      <c r="A872" s="12" t="s">
        <v>1713</v>
      </c>
      <c r="B872" s="13">
        <v>1935.2</v>
      </c>
      <c r="C872" s="13">
        <v>1927.7</v>
      </c>
      <c r="D872" s="13">
        <v>1937.3</v>
      </c>
      <c r="E872" s="13">
        <v>1925.8</v>
      </c>
      <c r="F872" s="14" t="s">
        <v>1714</v>
      </c>
      <c r="G872" s="15">
        <v>1.09E-2</v>
      </c>
    </row>
    <row r="873" spans="1:7" x14ac:dyDescent="0.35">
      <c r="A873" s="12" t="s">
        <v>1715</v>
      </c>
      <c r="B873" s="13">
        <v>1935.3</v>
      </c>
      <c r="C873" s="13">
        <v>1936.7</v>
      </c>
      <c r="D873" s="13">
        <v>1940.3</v>
      </c>
      <c r="E873" s="13">
        <v>1932.5</v>
      </c>
      <c r="F873" s="14" t="s">
        <v>1716</v>
      </c>
      <c r="G873" s="15">
        <v>1E-4</v>
      </c>
    </row>
    <row r="874" spans="1:7" x14ac:dyDescent="0.35">
      <c r="A874" s="12" t="s">
        <v>1717</v>
      </c>
      <c r="B874" s="13">
        <v>1948.6</v>
      </c>
      <c r="C874" s="13">
        <v>1934.7</v>
      </c>
      <c r="D874" s="13">
        <v>1950.2</v>
      </c>
      <c r="E874" s="13">
        <v>1930.4</v>
      </c>
      <c r="F874" s="14" t="s">
        <v>1718</v>
      </c>
      <c r="G874" s="15">
        <v>6.8999999999999999E-3</v>
      </c>
    </row>
    <row r="875" spans="1:7" x14ac:dyDescent="0.35">
      <c r="A875" s="12" t="s">
        <v>1719</v>
      </c>
      <c r="B875" s="13">
        <v>1921.2</v>
      </c>
      <c r="C875" s="13">
        <v>1932.8</v>
      </c>
      <c r="D875" s="13">
        <v>1933.6</v>
      </c>
      <c r="E875" s="13">
        <v>1915</v>
      </c>
      <c r="F875" s="14" t="s">
        <v>1720</v>
      </c>
      <c r="G875" s="15">
        <v>-1.41E-2</v>
      </c>
    </row>
    <row r="876" spans="1:7" x14ac:dyDescent="0.35">
      <c r="A876" s="12" t="s">
        <v>1721</v>
      </c>
      <c r="B876" s="13">
        <v>1918.2</v>
      </c>
      <c r="C876" s="13">
        <v>1926.4</v>
      </c>
      <c r="D876" s="13">
        <v>1927.9</v>
      </c>
      <c r="E876" s="13">
        <v>1915.5</v>
      </c>
      <c r="F876" s="14" t="s">
        <v>1722</v>
      </c>
      <c r="G876" s="15">
        <v>-1.6000000000000001E-3</v>
      </c>
    </row>
    <row r="877" spans="1:7" x14ac:dyDescent="0.35">
      <c r="A877" s="12" t="s">
        <v>1723</v>
      </c>
      <c r="B877" s="13">
        <v>1901.6</v>
      </c>
      <c r="C877" s="13">
        <v>1916.7</v>
      </c>
      <c r="D877" s="13">
        <v>1917.1</v>
      </c>
      <c r="E877" s="13">
        <v>1899</v>
      </c>
      <c r="F877" s="14" t="s">
        <v>1724</v>
      </c>
      <c r="G877" s="15">
        <v>-8.6999999999999994E-3</v>
      </c>
    </row>
    <row r="878" spans="1:7" x14ac:dyDescent="0.35">
      <c r="A878" s="12" t="s">
        <v>1725</v>
      </c>
      <c r="B878" s="13">
        <v>1872.3</v>
      </c>
      <c r="C878" s="13">
        <v>1900.3</v>
      </c>
      <c r="D878" s="13">
        <v>1902.9</v>
      </c>
      <c r="E878" s="13">
        <v>1872.1</v>
      </c>
      <c r="F878" s="14" t="s">
        <v>1726</v>
      </c>
      <c r="G878" s="15">
        <v>-1.54E-2</v>
      </c>
    </row>
    <row r="879" spans="1:7" x14ac:dyDescent="0.35">
      <c r="A879" s="12" t="s">
        <v>1727</v>
      </c>
      <c r="B879" s="13">
        <v>1869.5</v>
      </c>
      <c r="C879" s="13">
        <v>1885.4</v>
      </c>
      <c r="D879" s="13">
        <v>1886.7</v>
      </c>
      <c r="E879" s="13">
        <v>1865.5</v>
      </c>
      <c r="F879" s="14" t="s">
        <v>1728</v>
      </c>
      <c r="G879" s="15">
        <v>-1.5E-3</v>
      </c>
    </row>
    <row r="880" spans="1:7" x14ac:dyDescent="0.35">
      <c r="A880" s="12" t="s">
        <v>1729</v>
      </c>
      <c r="B880" s="13">
        <v>1838.2</v>
      </c>
      <c r="C880" s="13">
        <v>1853.9</v>
      </c>
      <c r="D880" s="13">
        <v>1855.1</v>
      </c>
      <c r="E880" s="13">
        <v>1833.8</v>
      </c>
      <c r="F880" s="14" t="s">
        <v>1730</v>
      </c>
      <c r="G880" s="15">
        <v>-1.67E-2</v>
      </c>
    </row>
    <row r="881" spans="1:7" x14ac:dyDescent="0.35">
      <c r="A881" s="12" t="s">
        <v>1731</v>
      </c>
      <c r="B881" s="13">
        <v>1832.6</v>
      </c>
      <c r="C881" s="13">
        <v>1835.7</v>
      </c>
      <c r="D881" s="13">
        <v>1839.9</v>
      </c>
      <c r="E881" s="13">
        <v>1822.8</v>
      </c>
      <c r="F881" s="14" t="s">
        <v>1732</v>
      </c>
      <c r="G881" s="15">
        <v>-3.0000000000000001E-3</v>
      </c>
    </row>
    <row r="882" spans="1:7" x14ac:dyDescent="0.35">
      <c r="A882" s="12" t="s">
        <v>1733</v>
      </c>
      <c r="B882" s="13">
        <v>1826.1</v>
      </c>
      <c r="C882" s="13">
        <v>1829.1</v>
      </c>
      <c r="D882" s="13">
        <v>1836</v>
      </c>
      <c r="E882" s="13">
        <v>1823</v>
      </c>
      <c r="F882" s="14" t="s">
        <v>1734</v>
      </c>
      <c r="G882" s="15">
        <v>-3.5000000000000001E-3</v>
      </c>
    </row>
    <row r="883" spans="1:7" x14ac:dyDescent="0.35">
      <c r="A883" s="12" t="s">
        <v>1735</v>
      </c>
      <c r="B883" s="13">
        <v>1823.2</v>
      </c>
      <c r="C883" s="13">
        <v>1828</v>
      </c>
      <c r="D883" s="13">
        <v>1834.1</v>
      </c>
      <c r="E883" s="13">
        <v>1817.8</v>
      </c>
      <c r="F883" s="14" t="s">
        <v>1081</v>
      </c>
      <c r="G883" s="15">
        <v>-1.6000000000000001E-3</v>
      </c>
    </row>
    <row r="884" spans="1:7" x14ac:dyDescent="0.35">
      <c r="A884" s="12" t="s">
        <v>1736</v>
      </c>
      <c r="B884" s="13">
        <v>1855.7</v>
      </c>
      <c r="C884" s="13">
        <v>1850.7</v>
      </c>
      <c r="D884" s="13">
        <v>1867.8</v>
      </c>
      <c r="E884" s="13">
        <v>1849.1</v>
      </c>
      <c r="F884" s="14" t="s">
        <v>1737</v>
      </c>
      <c r="G884" s="15">
        <v>1.78E-2</v>
      </c>
    </row>
    <row r="885" spans="1:7" x14ac:dyDescent="0.35">
      <c r="A885" s="12" t="s">
        <v>1738</v>
      </c>
      <c r="B885" s="13">
        <v>1866.7</v>
      </c>
      <c r="C885" s="13">
        <v>1866.3</v>
      </c>
      <c r="D885" s="13">
        <v>1870</v>
      </c>
      <c r="E885" s="13">
        <v>1858.1</v>
      </c>
      <c r="F885" s="14" t="s">
        <v>1739</v>
      </c>
      <c r="G885" s="15">
        <v>5.8999999999999999E-3</v>
      </c>
    </row>
    <row r="886" spans="1:7" x14ac:dyDescent="0.35">
      <c r="A886" s="12" t="s">
        <v>1740</v>
      </c>
      <c r="B886" s="13">
        <v>1878.4</v>
      </c>
      <c r="C886" s="13">
        <v>1864.6</v>
      </c>
      <c r="D886" s="13">
        <v>1881.5</v>
      </c>
      <c r="E886" s="13">
        <v>1864.3</v>
      </c>
      <c r="F886" s="14" t="s">
        <v>1741</v>
      </c>
      <c r="G886" s="15">
        <v>6.3E-3</v>
      </c>
    </row>
    <row r="887" spans="1:7" x14ac:dyDescent="0.35">
      <c r="A887" s="12" t="s">
        <v>1742</v>
      </c>
      <c r="B887" s="13">
        <v>1874.2</v>
      </c>
      <c r="C887" s="13">
        <v>1880.2</v>
      </c>
      <c r="D887" s="13">
        <v>1888.8</v>
      </c>
      <c r="E887" s="13">
        <v>1872.1</v>
      </c>
      <c r="F887" s="14" t="s">
        <v>1743</v>
      </c>
      <c r="G887" s="15">
        <v>-2.2000000000000001E-3</v>
      </c>
    </row>
    <row r="888" spans="1:7" x14ac:dyDescent="0.35">
      <c r="A888" s="12" t="s">
        <v>1744</v>
      </c>
      <c r="B888" s="13">
        <v>1925.1</v>
      </c>
      <c r="C888" s="13">
        <v>1931.9</v>
      </c>
      <c r="D888" s="13">
        <v>1931.9</v>
      </c>
      <c r="E888" s="13">
        <v>1912</v>
      </c>
      <c r="F888" s="14" t="s">
        <v>1745</v>
      </c>
      <c r="G888" s="15">
        <v>2.7199999999999998E-2</v>
      </c>
    </row>
    <row r="889" spans="1:7" x14ac:dyDescent="0.35">
      <c r="A889" s="12" t="s">
        <v>1746</v>
      </c>
      <c r="B889" s="13">
        <v>1926.4</v>
      </c>
      <c r="C889" s="13">
        <v>1923.2</v>
      </c>
      <c r="D889" s="13">
        <v>1934.1</v>
      </c>
      <c r="E889" s="13">
        <v>1918</v>
      </c>
      <c r="F889" s="14" t="s">
        <v>1747</v>
      </c>
      <c r="G889" s="15">
        <v>6.9999999999999999E-4</v>
      </c>
    </row>
    <row r="890" spans="1:7" x14ac:dyDescent="0.35">
      <c r="A890" s="12" t="s">
        <v>1748</v>
      </c>
      <c r="B890" s="13">
        <v>1958.8</v>
      </c>
      <c r="C890" s="13">
        <v>1926.6</v>
      </c>
      <c r="D890" s="13">
        <v>1966.1</v>
      </c>
      <c r="E890" s="13">
        <v>1926.6</v>
      </c>
      <c r="F890" s="14" t="s">
        <v>1749</v>
      </c>
      <c r="G890" s="15">
        <v>1.6799999999999999E-2</v>
      </c>
    </row>
    <row r="891" spans="1:7" x14ac:dyDescent="0.35">
      <c r="A891" s="12" t="s">
        <v>1750</v>
      </c>
      <c r="B891" s="13">
        <v>1971.2</v>
      </c>
      <c r="C891" s="13">
        <v>1950.3</v>
      </c>
      <c r="D891" s="13">
        <v>1980.7</v>
      </c>
      <c r="E891" s="13">
        <v>1948.4</v>
      </c>
      <c r="F891" s="14" t="s">
        <v>1751</v>
      </c>
      <c r="G891" s="15">
        <v>6.3E-3</v>
      </c>
    </row>
    <row r="892" spans="1:7" x14ac:dyDescent="0.35">
      <c r="A892" s="12" t="s">
        <v>1752</v>
      </c>
      <c r="B892" s="13">
        <v>1978.2</v>
      </c>
      <c r="C892" s="13">
        <v>1977.9</v>
      </c>
      <c r="D892" s="13">
        <v>1983.1</v>
      </c>
      <c r="E892" s="13">
        <v>1963.6</v>
      </c>
      <c r="F892" s="14" t="s">
        <v>1753</v>
      </c>
      <c r="G892" s="15">
        <v>3.5999999999999999E-3</v>
      </c>
    </row>
    <row r="893" spans="1:7" x14ac:dyDescent="0.35">
      <c r="A893" s="12" t="s">
        <v>1754</v>
      </c>
      <c r="B893" s="13">
        <v>1976.8</v>
      </c>
      <c r="C893" s="13">
        <v>1975.1</v>
      </c>
      <c r="D893" s="13">
        <v>1980.3</v>
      </c>
      <c r="E893" s="13">
        <v>1958.3</v>
      </c>
      <c r="F893" s="14" t="s">
        <v>526</v>
      </c>
      <c r="G893" s="15">
        <v>-6.9999999999999999E-4</v>
      </c>
    </row>
    <row r="894" spans="1:7" x14ac:dyDescent="0.35">
      <c r="A894" s="12" t="s">
        <v>1755</v>
      </c>
      <c r="B894" s="13">
        <v>1985.5</v>
      </c>
      <c r="C894" s="13">
        <v>1972</v>
      </c>
      <c r="D894" s="13">
        <v>1988.8</v>
      </c>
      <c r="E894" s="13">
        <v>1971</v>
      </c>
      <c r="F894" s="14" t="s">
        <v>1756</v>
      </c>
      <c r="G894" s="15">
        <v>4.4000000000000003E-3</v>
      </c>
    </row>
    <row r="895" spans="1:7" x14ac:dyDescent="0.35">
      <c r="A895" s="12" t="s">
        <v>1757</v>
      </c>
      <c r="B895" s="13">
        <v>1987.9</v>
      </c>
      <c r="C895" s="13">
        <v>1981.6</v>
      </c>
      <c r="D895" s="13">
        <v>1992.5</v>
      </c>
      <c r="E895" s="13">
        <v>1974.4</v>
      </c>
      <c r="F895" s="14" t="s">
        <v>1758</v>
      </c>
      <c r="G895" s="15">
        <v>1.1999999999999999E-3</v>
      </c>
    </row>
    <row r="896" spans="1:7" x14ac:dyDescent="0.35">
      <c r="A896" s="12" t="s">
        <v>1759</v>
      </c>
      <c r="B896" s="13">
        <v>2005.6</v>
      </c>
      <c r="C896" s="13">
        <v>2013.5</v>
      </c>
      <c r="D896" s="13">
        <v>2016.8</v>
      </c>
      <c r="E896" s="13">
        <v>1999.7</v>
      </c>
      <c r="F896" s="14" t="s">
        <v>1760</v>
      </c>
      <c r="G896" s="15">
        <v>8.8999999999999999E-3</v>
      </c>
    </row>
    <row r="897" spans="1:7" x14ac:dyDescent="0.35">
      <c r="A897" s="12" t="s">
        <v>1761</v>
      </c>
      <c r="B897" s="13">
        <v>1994.3</v>
      </c>
      <c r="C897" s="13">
        <v>2005.6</v>
      </c>
      <c r="D897" s="13">
        <v>2017.7</v>
      </c>
      <c r="E897" s="13">
        <v>1987.4</v>
      </c>
      <c r="F897" s="14" t="s">
        <v>1762</v>
      </c>
      <c r="G897" s="15">
        <v>-5.5999999999999999E-3</v>
      </c>
    </row>
    <row r="898" spans="1:7" x14ac:dyDescent="0.35">
      <c r="A898" s="12" t="s">
        <v>1763</v>
      </c>
      <c r="B898" s="13">
        <v>1987.5</v>
      </c>
      <c r="C898" s="13">
        <v>1993.3</v>
      </c>
      <c r="D898" s="13">
        <v>2005.9</v>
      </c>
      <c r="E898" s="13">
        <v>1978.2</v>
      </c>
      <c r="F898" s="14" t="s">
        <v>1764</v>
      </c>
      <c r="G898" s="15">
        <v>-3.3999999999999998E-3</v>
      </c>
    </row>
    <row r="899" spans="1:7" x14ac:dyDescent="0.35">
      <c r="A899" s="12" t="s">
        <v>1765</v>
      </c>
      <c r="B899" s="13">
        <v>1993.5</v>
      </c>
      <c r="C899" s="13">
        <v>1992</v>
      </c>
      <c r="D899" s="13">
        <v>1999.2</v>
      </c>
      <c r="E899" s="13">
        <v>1986.3</v>
      </c>
      <c r="F899" s="14" t="s">
        <v>1766</v>
      </c>
      <c r="G899" s="15">
        <v>3.0000000000000001E-3</v>
      </c>
    </row>
    <row r="900" spans="1:7" x14ac:dyDescent="0.35">
      <c r="A900" s="12" t="s">
        <v>1767</v>
      </c>
      <c r="B900" s="13">
        <v>1988.6</v>
      </c>
      <c r="C900" s="13">
        <v>1999.4</v>
      </c>
      <c r="D900" s="13">
        <v>2000.1</v>
      </c>
      <c r="E900" s="13">
        <v>1984.2</v>
      </c>
      <c r="F900" s="14" t="s">
        <v>1768</v>
      </c>
      <c r="G900" s="15">
        <v>-2.5000000000000001E-3</v>
      </c>
    </row>
    <row r="901" spans="1:7" x14ac:dyDescent="0.35">
      <c r="A901" s="12" t="s">
        <v>1769</v>
      </c>
      <c r="B901" s="13">
        <v>1973.5</v>
      </c>
      <c r="C901" s="13">
        <v>1984.8</v>
      </c>
      <c r="D901" s="13">
        <v>1985.2</v>
      </c>
      <c r="E901" s="13">
        <v>1962.8</v>
      </c>
      <c r="F901" s="14" t="s">
        <v>1770</v>
      </c>
      <c r="G901" s="15">
        <v>-7.6E-3</v>
      </c>
    </row>
    <row r="902" spans="1:7" x14ac:dyDescent="0.35">
      <c r="A902" s="12" t="s">
        <v>1771</v>
      </c>
      <c r="B902" s="13">
        <v>1957.8</v>
      </c>
      <c r="C902" s="13">
        <v>1975.3</v>
      </c>
      <c r="D902" s="13">
        <v>1977.5</v>
      </c>
      <c r="E902" s="13">
        <v>1953.2</v>
      </c>
      <c r="F902" s="14" t="s">
        <v>1772</v>
      </c>
      <c r="G902" s="15">
        <v>-8.0000000000000002E-3</v>
      </c>
    </row>
    <row r="903" spans="1:7" x14ac:dyDescent="0.35">
      <c r="A903" s="12" t="s">
        <v>1773</v>
      </c>
      <c r="B903" s="13">
        <v>1969.8</v>
      </c>
      <c r="C903" s="13">
        <v>1955.5</v>
      </c>
      <c r="D903" s="13">
        <v>1971.5</v>
      </c>
      <c r="E903" s="13">
        <v>1948.3</v>
      </c>
      <c r="F903" s="14" t="s">
        <v>1774</v>
      </c>
      <c r="G903" s="15">
        <v>6.1000000000000004E-3</v>
      </c>
    </row>
    <row r="904" spans="1:7" x14ac:dyDescent="0.35">
      <c r="A904" s="12" t="s">
        <v>1775</v>
      </c>
      <c r="B904" s="13">
        <v>1950.2</v>
      </c>
      <c r="C904" s="13">
        <v>1943.4</v>
      </c>
      <c r="D904" s="13">
        <v>1953.5</v>
      </c>
      <c r="E904" s="13">
        <v>1935.6</v>
      </c>
      <c r="F904" s="14" t="s">
        <v>1776</v>
      </c>
      <c r="G904" s="15">
        <v>-0.01</v>
      </c>
    </row>
    <row r="905" spans="1:7" x14ac:dyDescent="0.35">
      <c r="A905" s="12" t="s">
        <v>1777</v>
      </c>
      <c r="B905" s="13">
        <v>1966.5</v>
      </c>
      <c r="C905" s="13">
        <v>1950.3</v>
      </c>
      <c r="D905" s="13">
        <v>1975.3</v>
      </c>
      <c r="E905" s="13">
        <v>1938.8</v>
      </c>
      <c r="F905" s="14" t="s">
        <v>1778</v>
      </c>
      <c r="G905" s="15">
        <v>8.3999999999999995E-3</v>
      </c>
    </row>
    <row r="906" spans="1:7" x14ac:dyDescent="0.35">
      <c r="A906" s="12" t="s">
        <v>1779</v>
      </c>
      <c r="B906" s="13">
        <v>1964.3</v>
      </c>
      <c r="C906" s="13">
        <v>1966.9</v>
      </c>
      <c r="D906" s="13">
        <v>1979.2</v>
      </c>
      <c r="E906" s="13">
        <v>1958.8</v>
      </c>
      <c r="F906" s="14" t="s">
        <v>1780</v>
      </c>
      <c r="G906" s="15">
        <v>-1.1000000000000001E-3</v>
      </c>
    </row>
    <row r="907" spans="1:7" x14ac:dyDescent="0.35">
      <c r="A907" s="12" t="s">
        <v>1781</v>
      </c>
      <c r="B907" s="13">
        <v>1987.3</v>
      </c>
      <c r="C907" s="13">
        <v>1963</v>
      </c>
      <c r="D907" s="13">
        <v>1991.1</v>
      </c>
      <c r="E907" s="13">
        <v>1959</v>
      </c>
      <c r="F907" s="14" t="s">
        <v>1782</v>
      </c>
      <c r="G907" s="15">
        <v>1.17E-2</v>
      </c>
    </row>
    <row r="908" spans="1:7" x14ac:dyDescent="0.35">
      <c r="A908" s="12" t="s">
        <v>1783</v>
      </c>
      <c r="B908" s="13">
        <v>1980.3</v>
      </c>
      <c r="C908" s="13">
        <v>1980.9</v>
      </c>
      <c r="D908" s="13">
        <v>1987.8</v>
      </c>
      <c r="E908" s="13">
        <v>1967.2</v>
      </c>
      <c r="F908" s="14" t="s">
        <v>1784</v>
      </c>
      <c r="G908" s="15">
        <v>-3.5000000000000001E-3</v>
      </c>
    </row>
    <row r="909" spans="1:7" x14ac:dyDescent="0.35">
      <c r="A909" s="12" t="s">
        <v>1785</v>
      </c>
      <c r="B909" s="13">
        <v>2001.6</v>
      </c>
      <c r="C909" s="13">
        <v>1980</v>
      </c>
      <c r="D909" s="13">
        <v>2009.8</v>
      </c>
      <c r="E909" s="13">
        <v>1979.9</v>
      </c>
      <c r="F909" s="14" t="s">
        <v>1786</v>
      </c>
      <c r="G909" s="15">
        <v>1.0800000000000001E-2</v>
      </c>
    </row>
    <row r="910" spans="1:7" x14ac:dyDescent="0.35">
      <c r="A910" s="12" t="s">
        <v>1787</v>
      </c>
      <c r="B910" s="13">
        <v>1992.8</v>
      </c>
      <c r="C910" s="13">
        <v>2000.3</v>
      </c>
      <c r="D910" s="13">
        <v>2008.3</v>
      </c>
      <c r="E910" s="13">
        <v>1988.6</v>
      </c>
      <c r="F910" s="14" t="s">
        <v>1083</v>
      </c>
      <c r="G910" s="15">
        <v>-4.4000000000000003E-3</v>
      </c>
    </row>
    <row r="911" spans="1:7" x14ac:dyDescent="0.35">
      <c r="A911" s="12" t="s">
        <v>1788</v>
      </c>
      <c r="B911" s="13">
        <v>2012.4</v>
      </c>
      <c r="C911" s="13">
        <v>2002.5</v>
      </c>
      <c r="D911" s="13">
        <v>2018.9</v>
      </c>
      <c r="E911" s="13">
        <v>2001.4</v>
      </c>
      <c r="F911" s="14" t="s">
        <v>1789</v>
      </c>
      <c r="G911" s="15">
        <v>9.7999999999999997E-3</v>
      </c>
    </row>
    <row r="912" spans="1:7" x14ac:dyDescent="0.35">
      <c r="A912" s="12" t="s">
        <v>1790</v>
      </c>
      <c r="B912" s="13">
        <v>2040</v>
      </c>
      <c r="C912" s="13">
        <v>2014.3</v>
      </c>
      <c r="D912" s="13">
        <v>2044.1</v>
      </c>
      <c r="E912" s="13">
        <v>2011.5</v>
      </c>
      <c r="F912" s="14" t="s">
        <v>1791</v>
      </c>
      <c r="G912" s="15">
        <v>1.37E-2</v>
      </c>
    </row>
    <row r="913" spans="1:7" x14ac:dyDescent="0.35">
      <c r="A913" s="12" t="s">
        <v>1792</v>
      </c>
      <c r="B913" s="13">
        <v>2057.5</v>
      </c>
      <c r="C913" s="13">
        <v>2053.1999999999998</v>
      </c>
      <c r="D913" s="13">
        <v>2062.3000000000002</v>
      </c>
      <c r="E913" s="13">
        <v>2047.5</v>
      </c>
      <c r="F913" s="14" t="s">
        <v>1793</v>
      </c>
      <c r="G913" s="15">
        <v>8.6E-3</v>
      </c>
    </row>
    <row r="914" spans="1:7" x14ac:dyDescent="0.35">
      <c r="A914" s="12" t="s">
        <v>1794</v>
      </c>
      <c r="B914" s="13">
        <v>2047.6</v>
      </c>
      <c r="C914" s="13">
        <v>2055.8000000000002</v>
      </c>
      <c r="D914" s="13">
        <v>2057.5</v>
      </c>
      <c r="E914" s="13">
        <v>2042.6</v>
      </c>
      <c r="F914" s="14" t="s">
        <v>1795</v>
      </c>
      <c r="G914" s="15">
        <v>-4.7999999999999996E-3</v>
      </c>
    </row>
    <row r="915" spans="1:7" x14ac:dyDescent="0.35">
      <c r="A915" s="12" t="s">
        <v>1796</v>
      </c>
      <c r="B915" s="13">
        <v>2032.9</v>
      </c>
      <c r="C915" s="13">
        <v>2083.4</v>
      </c>
      <c r="D915" s="13">
        <v>2140.6999999999998</v>
      </c>
      <c r="E915" s="13">
        <v>2030</v>
      </c>
      <c r="F915" s="14" t="s">
        <v>1797</v>
      </c>
      <c r="G915" s="15">
        <v>-7.1999999999999998E-3</v>
      </c>
    </row>
    <row r="916" spans="1:7" x14ac:dyDescent="0.35">
      <c r="A916" s="12" t="s">
        <v>1798</v>
      </c>
      <c r="B916" s="13">
        <v>2026.9</v>
      </c>
      <c r="C916" s="13">
        <v>2039.2</v>
      </c>
      <c r="D916" s="13">
        <v>2050</v>
      </c>
      <c r="E916" s="13">
        <v>2019.9</v>
      </c>
      <c r="F916" s="14" t="s">
        <v>1799</v>
      </c>
      <c r="G916" s="15">
        <v>-3.0000000000000001E-3</v>
      </c>
    </row>
    <row r="917" spans="1:7" x14ac:dyDescent="0.35">
      <c r="A917" s="12" t="s">
        <v>1800</v>
      </c>
      <c r="B917" s="13">
        <v>2038.4</v>
      </c>
      <c r="C917" s="13">
        <v>2028.3</v>
      </c>
      <c r="D917" s="13">
        <v>2042.8</v>
      </c>
      <c r="E917" s="13">
        <v>2027</v>
      </c>
      <c r="F917" s="14" t="s">
        <v>1801</v>
      </c>
      <c r="G917" s="15">
        <v>5.7000000000000002E-3</v>
      </c>
    </row>
    <row r="918" spans="1:7" x14ac:dyDescent="0.35">
      <c r="A918" s="12" t="s">
        <v>1802</v>
      </c>
      <c r="B918" s="13">
        <v>2036.9</v>
      </c>
      <c r="C918" s="13">
        <v>2034.7</v>
      </c>
      <c r="D918" s="13">
        <v>2047.3</v>
      </c>
      <c r="E918" s="13">
        <v>2027.4</v>
      </c>
      <c r="F918" s="14" t="s">
        <v>1803</v>
      </c>
      <c r="G918" s="15">
        <v>-6.9999999999999999E-4</v>
      </c>
    </row>
    <row r="919" spans="1:7" x14ac:dyDescent="0.35">
      <c r="A919" s="12" t="s">
        <v>1804</v>
      </c>
      <c r="B919" s="13">
        <v>1984.3</v>
      </c>
      <c r="C919" s="13">
        <v>2010.6</v>
      </c>
      <c r="D919" s="13">
        <v>2013.2</v>
      </c>
      <c r="E919" s="13">
        <v>1982.1</v>
      </c>
      <c r="F919" s="14" t="s">
        <v>1805</v>
      </c>
      <c r="G919" s="15">
        <v>-2.58E-2</v>
      </c>
    </row>
    <row r="920" spans="1:7" x14ac:dyDescent="0.35">
      <c r="A920" s="12" t="s">
        <v>1806</v>
      </c>
      <c r="B920" s="13">
        <v>1983.9</v>
      </c>
      <c r="C920" s="13">
        <v>1989</v>
      </c>
      <c r="D920" s="13">
        <v>2002.7</v>
      </c>
      <c r="E920" s="13">
        <v>1983.5</v>
      </c>
      <c r="F920" s="14" t="s">
        <v>1807</v>
      </c>
      <c r="G920" s="15">
        <v>-2.0000000000000001E-4</v>
      </c>
    </row>
    <row r="921" spans="1:7" x14ac:dyDescent="0.35">
      <c r="A921" s="12" t="s">
        <v>1808</v>
      </c>
      <c r="B921" s="13">
        <v>1988.1</v>
      </c>
      <c r="C921" s="13">
        <v>1985.5</v>
      </c>
      <c r="D921" s="13">
        <v>2033.3</v>
      </c>
      <c r="E921" s="13">
        <v>1979</v>
      </c>
      <c r="F921" s="14" t="s">
        <v>1809</v>
      </c>
      <c r="G921" s="15">
        <v>2.0999999999999999E-3</v>
      </c>
    </row>
    <row r="922" spans="1:7" x14ac:dyDescent="0.35">
      <c r="A922" s="12" t="s">
        <v>1810</v>
      </c>
      <c r="B922" s="13">
        <v>2035.2</v>
      </c>
      <c r="C922" s="13">
        <v>2031.6</v>
      </c>
      <c r="D922" s="13">
        <v>2053</v>
      </c>
      <c r="E922" s="13">
        <v>2030.6</v>
      </c>
      <c r="F922" s="14" t="s">
        <v>1811</v>
      </c>
      <c r="G922" s="15">
        <v>2.3699999999999999E-2</v>
      </c>
    </row>
    <row r="923" spans="1:7" x14ac:dyDescent="0.35">
      <c r="A923" s="12" t="s">
        <v>1812</v>
      </c>
      <c r="B923" s="13">
        <v>2030.9</v>
      </c>
      <c r="C923" s="13">
        <v>2023.7</v>
      </c>
      <c r="D923" s="13">
        <v>2036.3</v>
      </c>
      <c r="E923" s="13">
        <v>2020.8</v>
      </c>
      <c r="F923" s="14" t="s">
        <v>1813</v>
      </c>
      <c r="G923" s="15">
        <v>-2.0999999999999999E-3</v>
      </c>
    </row>
    <row r="924" spans="1:7" x14ac:dyDescent="0.35">
      <c r="A924" s="12" t="s">
        <v>1814</v>
      </c>
      <c r="B924" s="13">
        <v>2042.6</v>
      </c>
      <c r="C924" s="13">
        <v>2031</v>
      </c>
      <c r="D924" s="13">
        <v>2050</v>
      </c>
      <c r="E924" s="13">
        <v>2025.4</v>
      </c>
      <c r="F924" s="14" t="s">
        <v>1815</v>
      </c>
      <c r="G924" s="15">
        <v>5.7999999999999996E-3</v>
      </c>
    </row>
    <row r="925" spans="1:7" x14ac:dyDescent="0.35">
      <c r="A925" s="12" t="s">
        <v>1816</v>
      </c>
      <c r="B925" s="13">
        <v>2038.1</v>
      </c>
      <c r="C925" s="13">
        <v>2043.5</v>
      </c>
      <c r="D925" s="13">
        <v>2045.9</v>
      </c>
      <c r="E925" s="13">
        <v>2031.6</v>
      </c>
      <c r="F925" s="14" t="s">
        <v>1817</v>
      </c>
      <c r="G925" s="15">
        <v>-2.2000000000000001E-3</v>
      </c>
    </row>
    <row r="926" spans="1:7" x14ac:dyDescent="0.35">
      <c r="A926" s="12" t="s">
        <v>1818</v>
      </c>
      <c r="B926" s="13">
        <v>2041.8</v>
      </c>
      <c r="C926" s="13">
        <v>2034.7</v>
      </c>
      <c r="D926" s="13">
        <v>2048</v>
      </c>
      <c r="E926" s="13">
        <v>2034</v>
      </c>
      <c r="F926" s="14" t="s">
        <v>1819</v>
      </c>
      <c r="G926" s="15">
        <v>1.8E-3</v>
      </c>
    </row>
    <row r="927" spans="1:7" x14ac:dyDescent="0.35">
      <c r="A927" s="12" t="s">
        <v>1820</v>
      </c>
      <c r="B927" s="13">
        <v>2060.4</v>
      </c>
      <c r="C927" s="13">
        <v>2056.3000000000002</v>
      </c>
      <c r="D927" s="13">
        <v>2069.6</v>
      </c>
      <c r="E927" s="13">
        <v>2056.3000000000002</v>
      </c>
      <c r="F927" s="14" t="s">
        <v>1821</v>
      </c>
      <c r="G927" s="15">
        <v>9.1000000000000004E-3</v>
      </c>
    </row>
    <row r="928" spans="1:7" x14ac:dyDescent="0.35">
      <c r="A928" s="12" t="s">
        <v>1822</v>
      </c>
      <c r="B928" s="13">
        <v>2083.4</v>
      </c>
      <c r="C928" s="13">
        <v>2068</v>
      </c>
      <c r="D928" s="13">
        <v>2085.3000000000002</v>
      </c>
      <c r="E928" s="13">
        <v>2063.3000000000002</v>
      </c>
      <c r="F928" s="14" t="s">
        <v>1823</v>
      </c>
      <c r="G928" s="15">
        <v>1.12E-2</v>
      </c>
    </row>
    <row r="929" spans="1:7" x14ac:dyDescent="0.35">
      <c r="A929" s="12" t="s">
        <v>1824</v>
      </c>
      <c r="B929" s="13">
        <v>2083.5</v>
      </c>
      <c r="C929" s="13">
        <v>2089.5</v>
      </c>
      <c r="D929" s="13">
        <v>2098.1999999999998</v>
      </c>
      <c r="E929" s="13">
        <v>2074.6</v>
      </c>
      <c r="F929" s="14" t="s">
        <v>1825</v>
      </c>
      <c r="G929" s="15">
        <v>0</v>
      </c>
    </row>
    <row r="930" spans="1:7" x14ac:dyDescent="0.35">
      <c r="A930" s="12" t="s">
        <v>1826</v>
      </c>
      <c r="B930" s="13">
        <v>2073.4</v>
      </c>
      <c r="C930" s="13">
        <v>2072.6999999999998</v>
      </c>
      <c r="D930" s="13">
        <v>2088.1</v>
      </c>
      <c r="E930" s="13">
        <v>2064.3000000000002</v>
      </c>
      <c r="F930" s="14" t="s">
        <v>1827</v>
      </c>
      <c r="G930" s="15">
        <v>-4.7999999999999996E-3</v>
      </c>
    </row>
    <row r="931" spans="1:7" x14ac:dyDescent="0.35">
      <c r="A931" s="12" t="s">
        <v>1828</v>
      </c>
      <c r="B931" s="13">
        <v>2042.8</v>
      </c>
      <c r="C931" s="13">
        <v>2067.9</v>
      </c>
      <c r="D931" s="13">
        <v>2074.3000000000002</v>
      </c>
      <c r="E931" s="13">
        <v>2038.3</v>
      </c>
      <c r="F931" s="14" t="s">
        <v>1829</v>
      </c>
      <c r="G931" s="15">
        <v>-1.4800000000000001E-2</v>
      </c>
    </row>
    <row r="932" spans="1:7" x14ac:dyDescent="0.35">
      <c r="A932" s="12" t="s">
        <v>1830</v>
      </c>
      <c r="B932" s="13">
        <v>2050</v>
      </c>
      <c r="C932" s="13">
        <v>2049.3000000000002</v>
      </c>
      <c r="D932" s="13">
        <v>2058.1</v>
      </c>
      <c r="E932" s="13">
        <v>2043.3</v>
      </c>
      <c r="F932" s="14" t="s">
        <v>1831</v>
      </c>
      <c r="G932" s="15">
        <v>3.5000000000000001E-3</v>
      </c>
    </row>
    <row r="933" spans="1:7" x14ac:dyDescent="0.35">
      <c r="A933" s="12" t="s">
        <v>1832</v>
      </c>
      <c r="B933" s="13">
        <v>2033.5</v>
      </c>
      <c r="C933" s="13">
        <v>2052.6</v>
      </c>
      <c r="D933" s="13">
        <v>2053.3000000000002</v>
      </c>
      <c r="E933" s="13">
        <v>2022.7</v>
      </c>
      <c r="F933" s="14" t="s">
        <v>1833</v>
      </c>
      <c r="G933" s="15">
        <v>-8.0000000000000002E-3</v>
      </c>
    </row>
    <row r="934" spans="1:7" x14ac:dyDescent="0.35">
      <c r="A934" s="12" t="s">
        <v>1834</v>
      </c>
      <c r="B934" s="13">
        <v>2033</v>
      </c>
      <c r="C934" s="13">
        <v>2034.5</v>
      </c>
      <c r="D934" s="13">
        <v>2048.6</v>
      </c>
      <c r="E934" s="13">
        <v>2031.9</v>
      </c>
      <c r="F934" s="14" t="s">
        <v>1835</v>
      </c>
      <c r="G934" s="15">
        <v>-2.0000000000000001E-4</v>
      </c>
    </row>
    <row r="935" spans="1:7" x14ac:dyDescent="0.35">
      <c r="A935" s="12" t="s">
        <v>1836</v>
      </c>
      <c r="B935" s="13">
        <v>2027.8</v>
      </c>
      <c r="C935" s="13">
        <v>2036</v>
      </c>
      <c r="D935" s="13">
        <v>2046.2</v>
      </c>
      <c r="E935" s="13">
        <v>2025.9</v>
      </c>
      <c r="F935" s="14" t="s">
        <v>1837</v>
      </c>
      <c r="G935" s="15">
        <v>-2.5999999999999999E-3</v>
      </c>
    </row>
    <row r="936" spans="1:7" x14ac:dyDescent="0.35">
      <c r="A936" s="12" t="s">
        <v>1838</v>
      </c>
      <c r="B936" s="13">
        <v>2019.2</v>
      </c>
      <c r="C936" s="13">
        <v>2029.4</v>
      </c>
      <c r="D936" s="13">
        <v>2056.1</v>
      </c>
      <c r="E936" s="13">
        <v>2017.3</v>
      </c>
      <c r="F936" s="14" t="s">
        <v>1839</v>
      </c>
      <c r="G936" s="15">
        <v>-4.1999999999999997E-3</v>
      </c>
    </row>
    <row r="937" spans="1:7" x14ac:dyDescent="0.35">
      <c r="A937" s="12" t="s">
        <v>1840</v>
      </c>
      <c r="B937" s="13">
        <v>2030.2</v>
      </c>
      <c r="C937" s="13">
        <v>2053.4</v>
      </c>
      <c r="D937" s="13">
        <v>2062.8000000000002</v>
      </c>
      <c r="E937" s="13">
        <v>2027.6</v>
      </c>
      <c r="F937" s="14" t="s">
        <v>1841</v>
      </c>
      <c r="G937" s="15">
        <v>5.4000000000000003E-3</v>
      </c>
    </row>
    <row r="938" spans="1:7" x14ac:dyDescent="0.35">
      <c r="A938" s="12" t="s">
        <v>1842</v>
      </c>
      <c r="B938" s="13">
        <v>2006.5</v>
      </c>
      <c r="C938" s="13">
        <v>2031.7</v>
      </c>
      <c r="D938" s="13">
        <v>2036.1</v>
      </c>
      <c r="E938" s="13">
        <v>2004.6</v>
      </c>
      <c r="F938" s="14" t="s">
        <v>1843</v>
      </c>
      <c r="G938" s="15">
        <v>-1.17E-2</v>
      </c>
    </row>
    <row r="939" spans="1:7" x14ac:dyDescent="0.35">
      <c r="A939" s="12" t="s">
        <v>1844</v>
      </c>
      <c r="B939" s="13">
        <v>2021.6</v>
      </c>
      <c r="C939" s="13">
        <v>2009.1</v>
      </c>
      <c r="D939" s="13">
        <v>2025.6</v>
      </c>
      <c r="E939" s="13">
        <v>2007.7</v>
      </c>
      <c r="F939" s="14" t="s">
        <v>1845</v>
      </c>
      <c r="G939" s="15">
        <v>7.4999999999999997E-3</v>
      </c>
    </row>
    <row r="940" spans="1:7" x14ac:dyDescent="0.35">
      <c r="A940" s="12" t="s">
        <v>1846</v>
      </c>
      <c r="B940" s="13">
        <v>2022.2</v>
      </c>
      <c r="C940" s="13">
        <v>2031.8</v>
      </c>
      <c r="D940" s="13">
        <v>2034.1</v>
      </c>
      <c r="E940" s="13">
        <v>2017.4</v>
      </c>
      <c r="F940" s="14" t="s">
        <v>1847</v>
      </c>
      <c r="G940" s="15">
        <v>2.9999999999999997E-4</v>
      </c>
    </row>
    <row r="941" spans="1:7" x14ac:dyDescent="0.35">
      <c r="A941" s="12" t="s">
        <v>1848</v>
      </c>
      <c r="B941" s="13">
        <v>2025.8</v>
      </c>
      <c r="C941" s="13">
        <v>2023.2</v>
      </c>
      <c r="D941" s="13">
        <v>2039.3</v>
      </c>
      <c r="E941" s="13">
        <v>2020.8</v>
      </c>
      <c r="F941" s="14" t="s">
        <v>1849</v>
      </c>
      <c r="G941" s="15">
        <v>1.8E-3</v>
      </c>
    </row>
    <row r="942" spans="1:7" x14ac:dyDescent="0.35">
      <c r="A942" s="12" t="s">
        <v>1850</v>
      </c>
      <c r="B942" s="13">
        <v>2016</v>
      </c>
      <c r="C942" s="13">
        <v>2030.7</v>
      </c>
      <c r="D942" s="13">
        <v>2037.9</v>
      </c>
      <c r="E942" s="13">
        <v>2011.7</v>
      </c>
      <c r="F942" s="14" t="s">
        <v>1851</v>
      </c>
      <c r="G942" s="15">
        <v>-4.7999999999999996E-3</v>
      </c>
    </row>
    <row r="943" spans="1:7" x14ac:dyDescent="0.35">
      <c r="A943" s="12" t="s">
        <v>1852</v>
      </c>
      <c r="B943" s="13">
        <v>2017.8</v>
      </c>
      <c r="C943" s="13">
        <v>2014.8</v>
      </c>
      <c r="D943" s="13">
        <v>2025.6</v>
      </c>
      <c r="E943" s="13">
        <v>2004</v>
      </c>
      <c r="F943" s="14" t="s">
        <v>1853</v>
      </c>
      <c r="G943" s="15">
        <v>8.9999999999999998E-4</v>
      </c>
    </row>
    <row r="944" spans="1:7" x14ac:dyDescent="0.35">
      <c r="A944" s="12" t="s">
        <v>1854</v>
      </c>
      <c r="B944" s="13">
        <v>2025.4</v>
      </c>
      <c r="C944" s="13">
        <v>2024.4</v>
      </c>
      <c r="D944" s="13">
        <v>2037.2</v>
      </c>
      <c r="E944" s="13">
        <v>2018.8</v>
      </c>
      <c r="F944" s="14" t="s">
        <v>1855</v>
      </c>
      <c r="G944" s="15">
        <v>3.8E-3</v>
      </c>
    </row>
    <row r="945" spans="1:7" x14ac:dyDescent="0.35">
      <c r="A945" s="12" t="s">
        <v>1856</v>
      </c>
      <c r="B945" s="13">
        <v>2041.1</v>
      </c>
      <c r="C945" s="13">
        <v>2041.7</v>
      </c>
      <c r="D945" s="13">
        <v>2057.3000000000002</v>
      </c>
      <c r="E945" s="13">
        <v>2037.6</v>
      </c>
      <c r="F945" s="14" t="s">
        <v>1857</v>
      </c>
      <c r="G945" s="15">
        <v>7.7999999999999996E-3</v>
      </c>
    </row>
    <row r="946" spans="1:7" x14ac:dyDescent="0.35">
      <c r="A946" s="12" t="s">
        <v>1858</v>
      </c>
      <c r="B946" s="13">
        <v>2057.4</v>
      </c>
      <c r="C946" s="13">
        <v>2044.8</v>
      </c>
      <c r="D946" s="13">
        <v>2064.1</v>
      </c>
      <c r="E946" s="13">
        <v>2038.9</v>
      </c>
      <c r="F946" s="14" t="s">
        <v>1859</v>
      </c>
      <c r="G946" s="15">
        <v>8.0000000000000002E-3</v>
      </c>
    </row>
    <row r="947" spans="1:7" x14ac:dyDescent="0.35">
      <c r="A947" s="12" t="s">
        <v>1860</v>
      </c>
      <c r="B947" s="13">
        <v>2061.1999999999998</v>
      </c>
      <c r="C947" s="13">
        <v>2047.7</v>
      </c>
      <c r="D947" s="13">
        <v>2072.9</v>
      </c>
      <c r="E947" s="13">
        <v>2036.9</v>
      </c>
      <c r="F947" s="14" t="s">
        <v>1861</v>
      </c>
      <c r="G947" s="15">
        <v>1.8E-3</v>
      </c>
    </row>
    <row r="948" spans="1:7" x14ac:dyDescent="0.35">
      <c r="A948" s="12" t="s">
        <v>1862</v>
      </c>
      <c r="B948" s="13">
        <v>2032.9</v>
      </c>
      <c r="C948" s="13">
        <v>2047.6</v>
      </c>
      <c r="D948" s="13">
        <v>2048</v>
      </c>
      <c r="E948" s="13">
        <v>2021</v>
      </c>
      <c r="F948" s="14" t="s">
        <v>1543</v>
      </c>
      <c r="G948" s="15">
        <v>-1.37E-2</v>
      </c>
    </row>
    <row r="949" spans="1:7" x14ac:dyDescent="0.35">
      <c r="A949" s="12" t="s">
        <v>1863</v>
      </c>
      <c r="B949" s="13">
        <v>2041.5</v>
      </c>
      <c r="C949" s="13">
        <v>2031.8</v>
      </c>
      <c r="D949" s="13">
        <v>2045.3</v>
      </c>
      <c r="E949" s="13">
        <v>2029.3</v>
      </c>
      <c r="F949" s="14" t="s">
        <v>1864</v>
      </c>
      <c r="G949" s="15">
        <v>4.1999999999999997E-3</v>
      </c>
    </row>
    <row r="950" spans="1:7" x14ac:dyDescent="0.35">
      <c r="A950" s="12" t="s">
        <v>1865</v>
      </c>
      <c r="B950" s="13">
        <v>2041.8</v>
      </c>
      <c r="C950" s="13">
        <v>2042.2</v>
      </c>
      <c r="D950" s="13">
        <v>2051</v>
      </c>
      <c r="E950" s="13">
        <v>2037</v>
      </c>
      <c r="F950" s="14" t="s">
        <v>1866</v>
      </c>
      <c r="G950" s="15">
        <v>1E-4</v>
      </c>
    </row>
    <row r="951" spans="1:7" x14ac:dyDescent="0.35">
      <c r="A951" s="12" t="s">
        <v>1867</v>
      </c>
      <c r="B951" s="13">
        <v>2038.1</v>
      </c>
      <c r="C951" s="13">
        <v>2041.1</v>
      </c>
      <c r="D951" s="13">
        <v>2043.5</v>
      </c>
      <c r="E951" s="13">
        <v>2024.6</v>
      </c>
      <c r="F951" s="14" t="s">
        <v>1868</v>
      </c>
      <c r="G951" s="15">
        <v>-1.8E-3</v>
      </c>
    </row>
    <row r="952" spans="1:7" x14ac:dyDescent="0.35">
      <c r="A952" s="12" t="s">
        <v>1869</v>
      </c>
      <c r="B952" s="13">
        <v>2023.4</v>
      </c>
      <c r="C952" s="13">
        <v>2030.8</v>
      </c>
      <c r="D952" s="13">
        <v>2031.1</v>
      </c>
      <c r="E952" s="13">
        <v>2015.8</v>
      </c>
      <c r="F952" s="14" t="s">
        <v>1870</v>
      </c>
      <c r="G952" s="15">
        <v>-7.1999999999999998E-3</v>
      </c>
    </row>
    <row r="953" spans="1:7" x14ac:dyDescent="0.35">
      <c r="A953" s="12" t="s">
        <v>1871</v>
      </c>
      <c r="B953" s="13">
        <v>1997.7</v>
      </c>
      <c r="C953" s="13">
        <v>2023.8</v>
      </c>
      <c r="D953" s="13">
        <v>2035.5</v>
      </c>
      <c r="E953" s="13">
        <v>1993.4</v>
      </c>
      <c r="F953" s="14" t="s">
        <v>1872</v>
      </c>
      <c r="G953" s="15">
        <v>-1.2699999999999999E-2</v>
      </c>
    </row>
    <row r="954" spans="1:7" x14ac:dyDescent="0.35">
      <c r="A954" s="12" t="s">
        <v>1873</v>
      </c>
      <c r="B954" s="13">
        <v>1994.7</v>
      </c>
      <c r="C954" s="13">
        <v>1994.9</v>
      </c>
      <c r="D954" s="13">
        <v>1998.7</v>
      </c>
      <c r="E954" s="13">
        <v>1987.2</v>
      </c>
      <c r="F954" s="14" t="s">
        <v>1874</v>
      </c>
      <c r="G954" s="15">
        <v>-1.5E-3</v>
      </c>
    </row>
    <row r="955" spans="1:7" x14ac:dyDescent="0.35">
      <c r="A955" s="12" t="s">
        <v>1875</v>
      </c>
      <c r="B955" s="13">
        <v>2005.3</v>
      </c>
      <c r="C955" s="13">
        <v>1995.1</v>
      </c>
      <c r="D955" s="13">
        <v>2010.4</v>
      </c>
      <c r="E955" s="13">
        <v>1992.7</v>
      </c>
      <c r="F955" s="14" t="s">
        <v>1876</v>
      </c>
      <c r="G955" s="15">
        <v>5.3E-3</v>
      </c>
    </row>
    <row r="956" spans="1:7" x14ac:dyDescent="0.35">
      <c r="A956" s="12" t="s">
        <v>1877</v>
      </c>
      <c r="B956" s="13">
        <v>2030</v>
      </c>
      <c r="C956" s="13">
        <v>2017.7</v>
      </c>
      <c r="D956" s="13">
        <v>2032.1</v>
      </c>
      <c r="E956" s="13">
        <v>2015.5</v>
      </c>
      <c r="F956" s="14" t="s">
        <v>1878</v>
      </c>
      <c r="G956" s="15">
        <v>1.23E-2</v>
      </c>
    </row>
    <row r="957" spans="1:7" x14ac:dyDescent="0.35">
      <c r="A957" s="12" t="s">
        <v>1879</v>
      </c>
      <c r="B957" s="13">
        <v>2024.5</v>
      </c>
      <c r="C957" s="13">
        <v>2025.4</v>
      </c>
      <c r="D957" s="13">
        <v>2033</v>
      </c>
      <c r="E957" s="13">
        <v>2021.6</v>
      </c>
      <c r="F957" s="14" t="s">
        <v>672</v>
      </c>
      <c r="G957" s="15">
        <v>-2.7000000000000001E-3</v>
      </c>
    </row>
    <row r="958" spans="1:7" x14ac:dyDescent="0.35">
      <c r="A958" s="12" t="s">
        <v>1880</v>
      </c>
      <c r="B958" s="13">
        <v>2020.8</v>
      </c>
      <c r="C958" s="13">
        <v>2026.6</v>
      </c>
      <c r="D958" s="13">
        <v>2035</v>
      </c>
      <c r="E958" s="13">
        <v>2019.7</v>
      </c>
      <c r="F958" s="14" t="s">
        <v>1881</v>
      </c>
      <c r="G958" s="15">
        <v>-1.8E-3</v>
      </c>
    </row>
    <row r="959" spans="1:7" x14ac:dyDescent="0.35">
      <c r="A959" s="12" t="s">
        <v>1882</v>
      </c>
      <c r="B959" s="13">
        <v>2029.1</v>
      </c>
      <c r="C959" s="13">
        <v>2033.7</v>
      </c>
      <c r="D959" s="13">
        <v>2036.3</v>
      </c>
      <c r="E959" s="13">
        <v>2025</v>
      </c>
      <c r="F959" s="14" t="s">
        <v>1701</v>
      </c>
      <c r="G959" s="15">
        <v>4.1000000000000003E-3</v>
      </c>
    </row>
    <row r="960" spans="1:7" x14ac:dyDescent="0.35">
      <c r="A960" s="12" t="s">
        <v>1883</v>
      </c>
      <c r="B960" s="13">
        <v>2034.4</v>
      </c>
      <c r="C960" s="13">
        <v>2031</v>
      </c>
      <c r="D960" s="13">
        <v>2038</v>
      </c>
      <c r="E960" s="13">
        <v>2028.7</v>
      </c>
      <c r="F960" s="14" t="s">
        <v>1866</v>
      </c>
      <c r="G960" s="15">
        <v>2.5999999999999999E-3</v>
      </c>
    </row>
    <row r="961" spans="1:7" x14ac:dyDescent="0.35">
      <c r="A961" s="12" t="s">
        <v>1884</v>
      </c>
      <c r="B961" s="13">
        <v>2042.7</v>
      </c>
      <c r="C961" s="13">
        <v>2039.7</v>
      </c>
      <c r="D961" s="13">
        <v>2047.4</v>
      </c>
      <c r="E961" s="13">
        <v>2033.4</v>
      </c>
      <c r="F961" s="14" t="s">
        <v>151</v>
      </c>
      <c r="G961" s="15">
        <v>4.1000000000000003E-3</v>
      </c>
    </row>
    <row r="962" spans="1:7" x14ac:dyDescent="0.35">
      <c r="A962" s="12" t="s">
        <v>1885</v>
      </c>
      <c r="B962" s="13">
        <v>2054.6999999999998</v>
      </c>
      <c r="C962" s="13">
        <v>2043.8</v>
      </c>
      <c r="D962" s="13">
        <v>2059.4</v>
      </c>
      <c r="E962" s="13">
        <v>2036</v>
      </c>
      <c r="F962" s="14" t="s">
        <v>1886</v>
      </c>
      <c r="G962" s="15">
        <v>5.8999999999999999E-3</v>
      </c>
    </row>
    <row r="963" spans="1:7" x14ac:dyDescent="0.35">
      <c r="A963" s="12" t="s">
        <v>1887</v>
      </c>
      <c r="B963" s="13">
        <v>2126.3000000000002</v>
      </c>
      <c r="C963" s="13">
        <v>2091.6</v>
      </c>
      <c r="D963" s="13">
        <v>2128.4</v>
      </c>
      <c r="E963" s="13">
        <v>2088.1</v>
      </c>
      <c r="F963" s="14" t="s">
        <v>1888</v>
      </c>
      <c r="G963" s="15">
        <v>3.4799999999999998E-2</v>
      </c>
    </row>
    <row r="964" spans="1:7" x14ac:dyDescent="0.35">
      <c r="A964" s="12" t="s">
        <v>1889</v>
      </c>
      <c r="B964" s="13">
        <v>2141.9</v>
      </c>
      <c r="C964" s="13">
        <v>2123.3000000000002</v>
      </c>
      <c r="D964" s="13">
        <v>2150.5</v>
      </c>
      <c r="E964" s="13">
        <v>2118.5</v>
      </c>
      <c r="F964" s="14" t="s">
        <v>1890</v>
      </c>
      <c r="G964" s="15">
        <v>7.3000000000000001E-3</v>
      </c>
    </row>
    <row r="965" spans="1:7" x14ac:dyDescent="0.35">
      <c r="A965" s="12" t="s">
        <v>1891</v>
      </c>
      <c r="B965" s="13">
        <v>2158.1999999999998</v>
      </c>
      <c r="C965" s="13">
        <v>2136.4</v>
      </c>
      <c r="D965" s="13">
        <v>2160.6999999999998</v>
      </c>
      <c r="E965" s="13">
        <v>2131.9</v>
      </c>
      <c r="F965" s="14" t="s">
        <v>1892</v>
      </c>
      <c r="G965" s="15">
        <v>7.6E-3</v>
      </c>
    </row>
    <row r="966" spans="1:7" x14ac:dyDescent="0.35">
      <c r="A966" s="12" t="s">
        <v>1893</v>
      </c>
      <c r="B966" s="13">
        <v>2165.1999999999998</v>
      </c>
      <c r="C966" s="13">
        <v>2156.6999999999998</v>
      </c>
      <c r="D966" s="13">
        <v>2172.1999999999998</v>
      </c>
      <c r="E966" s="13">
        <v>2151.6999999999998</v>
      </c>
      <c r="F966" s="14" t="s">
        <v>1894</v>
      </c>
      <c r="G966" s="15">
        <v>3.2000000000000002E-3</v>
      </c>
    </row>
    <row r="967" spans="1:7" x14ac:dyDescent="0.35">
      <c r="A967" s="12" t="s">
        <v>1895</v>
      </c>
      <c r="B967" s="13">
        <v>2188.6</v>
      </c>
      <c r="C967" s="13">
        <v>2187.6</v>
      </c>
      <c r="D967" s="13">
        <v>2195.5</v>
      </c>
      <c r="E967" s="13">
        <v>2180.9</v>
      </c>
      <c r="F967" s="14" t="s">
        <v>588</v>
      </c>
      <c r="G967" s="15">
        <v>1.0800000000000001E-2</v>
      </c>
    </row>
    <row r="968" spans="1:7" x14ac:dyDescent="0.35">
      <c r="A968" s="12" t="s">
        <v>1896</v>
      </c>
      <c r="B968" s="13">
        <v>2166.1</v>
      </c>
      <c r="C968" s="13">
        <v>2189.1</v>
      </c>
      <c r="D968" s="13">
        <v>2190.8000000000002</v>
      </c>
      <c r="E968" s="13">
        <v>2156.1999999999998</v>
      </c>
      <c r="F968" s="14" t="s">
        <v>1897</v>
      </c>
      <c r="G968" s="15">
        <v>-1.03E-2</v>
      </c>
    </row>
    <row r="969" spans="1:7" x14ac:dyDescent="0.35">
      <c r="A969" s="12" t="s">
        <v>1898</v>
      </c>
      <c r="B969" s="13">
        <v>2180.8000000000002</v>
      </c>
      <c r="C969" s="13">
        <v>2163.6</v>
      </c>
      <c r="D969" s="13">
        <v>2185.6</v>
      </c>
      <c r="E969" s="13">
        <v>2161.3000000000002</v>
      </c>
      <c r="F969" s="14" t="s">
        <v>1899</v>
      </c>
      <c r="G969" s="15">
        <v>6.7999999999999996E-3</v>
      </c>
    </row>
    <row r="970" spans="1:7" x14ac:dyDescent="0.35">
      <c r="A970" s="12" t="s">
        <v>1900</v>
      </c>
      <c r="B970" s="13">
        <v>2167.5</v>
      </c>
      <c r="C970" s="13">
        <v>2179.5</v>
      </c>
      <c r="D970" s="13">
        <v>2181.3000000000002</v>
      </c>
      <c r="E970" s="13">
        <v>2157</v>
      </c>
      <c r="F970" s="14" t="s">
        <v>1901</v>
      </c>
      <c r="G970" s="15">
        <v>-6.1000000000000004E-3</v>
      </c>
    </row>
    <row r="971" spans="1:7" x14ac:dyDescent="0.35">
      <c r="A971" s="12" t="s">
        <v>1902</v>
      </c>
      <c r="B971" s="13">
        <v>2164.3000000000002</v>
      </c>
      <c r="C971" s="13">
        <v>2159.9</v>
      </c>
      <c r="D971" s="13">
        <v>2167.1999999999998</v>
      </c>
      <c r="E971" s="13">
        <v>2149.1999999999998</v>
      </c>
      <c r="F971" s="14" t="s">
        <v>1903</v>
      </c>
      <c r="G971" s="15">
        <v>-1.5E-3</v>
      </c>
    </row>
    <row r="972" spans="1:7" x14ac:dyDescent="0.35">
      <c r="A972" s="12" t="s">
        <v>1904</v>
      </c>
      <c r="B972" s="13">
        <v>2159.6999999999998</v>
      </c>
      <c r="C972" s="13">
        <v>2164</v>
      </c>
      <c r="D972" s="13">
        <v>2166.3000000000002</v>
      </c>
      <c r="E972" s="13">
        <v>2150.1999999999998</v>
      </c>
      <c r="F972" s="14" t="s">
        <v>1905</v>
      </c>
      <c r="G972" s="15">
        <v>-2.0999999999999999E-3</v>
      </c>
    </row>
    <row r="973" spans="1:7" x14ac:dyDescent="0.35">
      <c r="A973" s="12" t="s">
        <v>1906</v>
      </c>
      <c r="B973" s="13">
        <v>2161</v>
      </c>
      <c r="C973" s="13">
        <v>2161.4</v>
      </c>
      <c r="D973" s="13">
        <v>2192.1999999999998</v>
      </c>
      <c r="E973" s="13">
        <v>2152.3000000000002</v>
      </c>
      <c r="F973" s="14" t="s">
        <v>1907</v>
      </c>
      <c r="G973" s="15">
        <v>5.9999999999999995E-4</v>
      </c>
    </row>
    <row r="974" spans="1:7" x14ac:dyDescent="0.35">
      <c r="A974" s="12" t="s">
        <v>1908</v>
      </c>
      <c r="B974" s="13">
        <v>2184.6999999999998</v>
      </c>
      <c r="C974" s="13">
        <v>2190.1999999999998</v>
      </c>
      <c r="D974" s="13">
        <v>2225.3000000000002</v>
      </c>
      <c r="E974" s="13">
        <v>2168.1999999999998</v>
      </c>
      <c r="F974" s="14" t="s">
        <v>1909</v>
      </c>
      <c r="G974" s="15">
        <v>1.0999999999999999E-2</v>
      </c>
    </row>
    <row r="975" spans="1:7" x14ac:dyDescent="0.35">
      <c r="A975" s="12" t="s">
        <v>1910</v>
      </c>
      <c r="B975" s="13">
        <v>2176.4</v>
      </c>
      <c r="C975" s="13">
        <v>2166.6</v>
      </c>
      <c r="D975" s="13">
        <v>2182.5</v>
      </c>
      <c r="E975" s="13">
        <v>2164.4</v>
      </c>
      <c r="F975" s="14" t="s">
        <v>1911</v>
      </c>
      <c r="G975" s="15">
        <v>-3.8E-3</v>
      </c>
    </row>
    <row r="976" spans="1:7" x14ac:dyDescent="0.35">
      <c r="A976" s="12" t="s">
        <v>1912</v>
      </c>
      <c r="B976" s="13">
        <v>2177.1999999999998</v>
      </c>
      <c r="C976" s="13">
        <v>2173</v>
      </c>
      <c r="D976" s="13">
        <v>2200.6</v>
      </c>
      <c r="E976" s="13">
        <v>2168.3000000000002</v>
      </c>
      <c r="F976" s="14" t="s">
        <v>1913</v>
      </c>
      <c r="G976" s="15">
        <v>4.0000000000000002E-4</v>
      </c>
    </row>
    <row r="977" spans="1:7" x14ac:dyDescent="0.35">
      <c r="A977" s="12" t="s">
        <v>1914</v>
      </c>
      <c r="B977" s="13">
        <v>2201.4</v>
      </c>
      <c r="C977" s="13">
        <v>2188.9</v>
      </c>
      <c r="D977" s="13">
        <v>2206.5</v>
      </c>
      <c r="E977" s="13">
        <v>2182.8000000000002</v>
      </c>
      <c r="F977" s="14" t="s">
        <v>1915</v>
      </c>
      <c r="G977" s="15">
        <v>1.11E-2</v>
      </c>
    </row>
    <row r="978" spans="1:7" x14ac:dyDescent="0.35">
      <c r="A978" s="12" t="s">
        <v>1916</v>
      </c>
      <c r="B978" s="13">
        <v>2245.9</v>
      </c>
      <c r="C978" s="13">
        <v>2243.5</v>
      </c>
      <c r="D978" s="13">
        <v>2275</v>
      </c>
      <c r="E978" s="13">
        <v>2238.5</v>
      </c>
      <c r="F978" s="14" t="s">
        <v>1917</v>
      </c>
      <c r="G978" s="15">
        <v>2.0199999999999999E-2</v>
      </c>
    </row>
    <row r="979" spans="1:7" x14ac:dyDescent="0.35">
      <c r="A979" s="12" t="s">
        <v>1918</v>
      </c>
      <c r="B979" s="13">
        <v>2270.3000000000002</v>
      </c>
      <c r="C979" s="13">
        <v>2260.1999999999998</v>
      </c>
      <c r="D979" s="13">
        <v>2290.1</v>
      </c>
      <c r="E979" s="13">
        <v>2256.1</v>
      </c>
      <c r="F979" s="14" t="s">
        <v>1919</v>
      </c>
      <c r="G979" s="15">
        <v>1.09E-2</v>
      </c>
    </row>
    <row r="980" spans="1:7" x14ac:dyDescent="0.35">
      <c r="A980" s="12" t="s">
        <v>1920</v>
      </c>
      <c r="B980" s="13">
        <v>2303.3000000000002</v>
      </c>
      <c r="C980" s="13">
        <v>2290</v>
      </c>
      <c r="D980" s="13">
        <v>2310</v>
      </c>
      <c r="E980" s="13">
        <v>2275.1</v>
      </c>
      <c r="F980" s="14" t="s">
        <v>1921</v>
      </c>
      <c r="G980" s="15">
        <v>1.4500000000000001E-2</v>
      </c>
    </row>
    <row r="981" spans="1:7" x14ac:dyDescent="0.35">
      <c r="A981" s="12" t="s">
        <v>1922</v>
      </c>
      <c r="B981" s="13">
        <v>2296.9</v>
      </c>
      <c r="C981" s="13">
        <v>2308.9</v>
      </c>
      <c r="D981" s="13">
        <v>2312</v>
      </c>
      <c r="E981" s="13">
        <v>2288.4</v>
      </c>
      <c r="F981" s="14" t="s">
        <v>1923</v>
      </c>
      <c r="G981" s="15">
        <v>-2.8E-3</v>
      </c>
    </row>
    <row r="982" spans="1:7" x14ac:dyDescent="0.35">
      <c r="A982" s="12" t="s">
        <v>1924</v>
      </c>
      <c r="B982" s="13">
        <v>2339</v>
      </c>
      <c r="C982" s="13">
        <v>2332.1999999999998</v>
      </c>
      <c r="D982" s="13">
        <v>2357</v>
      </c>
      <c r="E982" s="13">
        <v>2310.5</v>
      </c>
      <c r="F982" s="14" t="s">
        <v>1925</v>
      </c>
      <c r="G982" s="15">
        <v>1.83E-2</v>
      </c>
    </row>
    <row r="983" spans="1:7" x14ac:dyDescent="0.35">
      <c r="A983" s="12" t="s">
        <v>1926</v>
      </c>
      <c r="B983" s="13">
        <v>2350.6</v>
      </c>
      <c r="C983" s="13">
        <v>2344.4</v>
      </c>
      <c r="D983" s="13">
        <v>2372.5</v>
      </c>
      <c r="E983" s="13">
        <v>2344.4</v>
      </c>
      <c r="F983" s="14" t="s">
        <v>1927</v>
      </c>
      <c r="G983" s="15">
        <v>5.0000000000000001E-3</v>
      </c>
    </row>
    <row r="984" spans="1:7" x14ac:dyDescent="0.35">
      <c r="A984" s="12" t="s">
        <v>1928</v>
      </c>
      <c r="B984" s="13">
        <v>2336.6</v>
      </c>
      <c r="C984" s="13">
        <v>2358.9</v>
      </c>
      <c r="D984" s="13">
        <v>2365.8000000000002</v>
      </c>
      <c r="E984" s="13">
        <v>2325.6999999999998</v>
      </c>
      <c r="F984" s="14" t="s">
        <v>1929</v>
      </c>
      <c r="G984" s="15">
        <v>-6.0000000000000001E-3</v>
      </c>
    </row>
    <row r="985" spans="1:7" x14ac:dyDescent="0.35">
      <c r="A985" s="12" t="s">
        <v>1930</v>
      </c>
      <c r="B985" s="13">
        <v>2360.8000000000002</v>
      </c>
      <c r="C985" s="13">
        <v>2340.5</v>
      </c>
      <c r="D985" s="13">
        <v>2382.9</v>
      </c>
      <c r="E985" s="13">
        <v>2331.6</v>
      </c>
      <c r="F985" s="14" t="s">
        <v>1931</v>
      </c>
      <c r="G985" s="15">
        <v>1.04E-2</v>
      </c>
    </row>
    <row r="986" spans="1:7" x14ac:dyDescent="0.35">
      <c r="A986" s="12" t="s">
        <v>1932</v>
      </c>
      <c r="B986" s="13">
        <v>2370.9</v>
      </c>
      <c r="C986" s="13">
        <v>2357.3000000000002</v>
      </c>
      <c r="D986" s="13">
        <v>2392</v>
      </c>
      <c r="E986" s="13">
        <v>2330.1</v>
      </c>
      <c r="F986" s="14" t="s">
        <v>1933</v>
      </c>
      <c r="G986" s="15">
        <v>4.3E-3</v>
      </c>
    </row>
    <row r="987" spans="1:7" x14ac:dyDescent="0.35">
      <c r="A987" s="12" t="s">
        <v>1934</v>
      </c>
      <c r="B987" s="13">
        <v>2395.5</v>
      </c>
      <c r="C987" s="13">
        <v>2387</v>
      </c>
      <c r="D987" s="13">
        <v>2402.1999999999998</v>
      </c>
      <c r="E987" s="13">
        <v>2367.4</v>
      </c>
      <c r="F987" s="14" t="s">
        <v>1935</v>
      </c>
      <c r="G987" s="15">
        <v>1.04E-2</v>
      </c>
    </row>
    <row r="988" spans="1:7" x14ac:dyDescent="0.35">
      <c r="A988" s="12" t="s">
        <v>1936</v>
      </c>
      <c r="B988" s="13">
        <v>2376.1999999999998</v>
      </c>
      <c r="C988" s="13">
        <v>2387.9</v>
      </c>
      <c r="D988" s="13">
        <v>2399.5</v>
      </c>
      <c r="E988" s="13">
        <v>2359.9</v>
      </c>
      <c r="F988" s="14" t="s">
        <v>1937</v>
      </c>
      <c r="G988" s="15">
        <v>-8.0999999999999996E-3</v>
      </c>
    </row>
    <row r="989" spans="1:7" x14ac:dyDescent="0.35">
      <c r="A989" s="12" t="s">
        <v>1938</v>
      </c>
      <c r="B989" s="13">
        <v>2385.8000000000002</v>
      </c>
      <c r="C989" s="13">
        <v>2366.1</v>
      </c>
      <c r="D989" s="13">
        <v>2395.6999999999998</v>
      </c>
      <c r="E989" s="13">
        <v>2366.1</v>
      </c>
      <c r="F989" s="14" t="s">
        <v>1939</v>
      </c>
      <c r="G989" s="15">
        <v>4.0000000000000001E-3</v>
      </c>
    </row>
    <row r="990" spans="1:7" x14ac:dyDescent="0.35">
      <c r="A990" s="12" t="s">
        <v>1940</v>
      </c>
      <c r="B990" s="13">
        <v>2334.6</v>
      </c>
      <c r="C990" s="13">
        <v>2391.5</v>
      </c>
      <c r="D990" s="13">
        <v>2391.5</v>
      </c>
      <c r="E990" s="13">
        <v>2327.3000000000002</v>
      </c>
      <c r="F990" s="14" t="s">
        <v>1941</v>
      </c>
      <c r="G990" s="15">
        <v>-2.1499999999999998E-2</v>
      </c>
    </row>
    <row r="991" spans="1:7" x14ac:dyDescent="0.35">
      <c r="A991" s="12" t="s">
        <v>1942</v>
      </c>
      <c r="B991" s="13">
        <v>2329.9</v>
      </c>
      <c r="C991" s="13">
        <v>2332.1999999999998</v>
      </c>
      <c r="D991" s="13">
        <v>2336</v>
      </c>
      <c r="E991" s="13">
        <v>2293.6</v>
      </c>
      <c r="F991" s="14" t="s">
        <v>1943</v>
      </c>
      <c r="G991" s="15">
        <v>-2E-3</v>
      </c>
    </row>
    <row r="992" spans="1:7" x14ac:dyDescent="0.35">
      <c r="A992" s="12" t="s">
        <v>1944</v>
      </c>
      <c r="B992" s="13">
        <v>2326</v>
      </c>
      <c r="C992" s="13">
        <v>2324</v>
      </c>
      <c r="D992" s="13">
        <v>2338</v>
      </c>
      <c r="E992" s="13">
        <v>2313.6</v>
      </c>
      <c r="F992" s="14" t="s">
        <v>1945</v>
      </c>
      <c r="G992" s="15">
        <v>-1.6999999999999999E-3</v>
      </c>
    </row>
    <row r="993" spans="1:7" x14ac:dyDescent="0.35">
      <c r="A993" s="12" t="s">
        <v>1946</v>
      </c>
      <c r="B993" s="13">
        <v>2330.3000000000002</v>
      </c>
      <c r="C993" s="13">
        <v>2317.8000000000002</v>
      </c>
      <c r="D993" s="13">
        <v>2344.8000000000002</v>
      </c>
      <c r="E993" s="13">
        <v>2306.4</v>
      </c>
      <c r="F993" s="14" t="s">
        <v>1947</v>
      </c>
      <c r="G993" s="15">
        <v>1.8E-3</v>
      </c>
    </row>
    <row r="994" spans="1:7" x14ac:dyDescent="0.35">
      <c r="A994" s="12" t="s">
        <v>1948</v>
      </c>
      <c r="B994" s="13">
        <v>2357.6999999999998</v>
      </c>
      <c r="C994" s="13">
        <v>2347.6</v>
      </c>
      <c r="D994" s="13">
        <v>2358.9</v>
      </c>
      <c r="E994" s="13">
        <v>2331</v>
      </c>
      <c r="F994" s="14" t="s">
        <v>1949</v>
      </c>
      <c r="G994" s="15">
        <v>1.18E-2</v>
      </c>
    </row>
    <row r="995" spans="1:7" x14ac:dyDescent="0.35">
      <c r="A995" s="12" t="s">
        <v>1950</v>
      </c>
      <c r="B995" s="13">
        <v>2302.9</v>
      </c>
      <c r="C995" s="13">
        <v>2347</v>
      </c>
      <c r="D995" s="13">
        <v>2347.6</v>
      </c>
      <c r="E995" s="13">
        <v>2296.1999999999998</v>
      </c>
      <c r="F995" s="14" t="s">
        <v>1951</v>
      </c>
      <c r="G995" s="15">
        <v>-2.3199999999999998E-2</v>
      </c>
    </row>
    <row r="996" spans="1:7" x14ac:dyDescent="0.35">
      <c r="A996" s="12" t="s">
        <v>1952</v>
      </c>
      <c r="B996" s="13">
        <v>2311</v>
      </c>
      <c r="C996" s="13">
        <v>2298.1999999999998</v>
      </c>
      <c r="D996" s="13">
        <v>2339.5</v>
      </c>
      <c r="E996" s="13">
        <v>2291.6999999999998</v>
      </c>
      <c r="F996" s="14" t="s">
        <v>1953</v>
      </c>
      <c r="G996" s="15">
        <v>3.5000000000000001E-3</v>
      </c>
    </row>
    <row r="997" spans="1:7" x14ac:dyDescent="0.35">
      <c r="A997" s="12" t="s">
        <v>1954</v>
      </c>
      <c r="B997" s="13">
        <v>2309.6</v>
      </c>
      <c r="C997" s="13">
        <v>2329.9</v>
      </c>
      <c r="D997" s="13">
        <v>2336.1</v>
      </c>
      <c r="E997" s="13">
        <v>2294.3000000000002</v>
      </c>
      <c r="F997" s="14" t="s">
        <v>1955</v>
      </c>
      <c r="G997" s="15">
        <v>-5.9999999999999995E-4</v>
      </c>
    </row>
    <row r="998" spans="1:7" x14ac:dyDescent="0.35">
      <c r="A998" s="12" t="s">
        <v>1956</v>
      </c>
      <c r="B998" s="13">
        <v>2331.1999999999998</v>
      </c>
      <c r="C998" s="13">
        <v>2312.8000000000002</v>
      </c>
      <c r="D998" s="13">
        <v>2341.9</v>
      </c>
      <c r="E998" s="13">
        <v>2300.6</v>
      </c>
      <c r="F998" s="14" t="s">
        <v>1957</v>
      </c>
      <c r="G998" s="15">
        <v>9.4000000000000004E-3</v>
      </c>
    </row>
    <row r="999" spans="1:7" x14ac:dyDescent="0.35">
      <c r="A999" s="12" t="s">
        <v>1958</v>
      </c>
      <c r="B999" s="13">
        <v>2324.1999999999998</v>
      </c>
      <c r="C999" s="13">
        <v>2334.8000000000002</v>
      </c>
      <c r="D999" s="13">
        <v>2338.6999999999998</v>
      </c>
      <c r="E999" s="13">
        <v>2318.1999999999998</v>
      </c>
      <c r="F999" s="14" t="s">
        <v>1959</v>
      </c>
      <c r="G999" s="15">
        <v>-3.0000000000000001E-3</v>
      </c>
    </row>
    <row r="1000" spans="1:7" x14ac:dyDescent="0.35">
      <c r="A1000" s="12" t="s">
        <v>1960</v>
      </c>
      <c r="B1000" s="13">
        <v>2322.3000000000002</v>
      </c>
      <c r="C1000" s="13">
        <v>2322</v>
      </c>
      <c r="D1000" s="13">
        <v>2329.6</v>
      </c>
      <c r="E1000" s="13">
        <v>2311.4</v>
      </c>
      <c r="F1000" s="14" t="s">
        <v>1961</v>
      </c>
      <c r="G1000" s="15">
        <v>-8.0000000000000004E-4</v>
      </c>
    </row>
    <row r="1001" spans="1:7" x14ac:dyDescent="0.35">
      <c r="A1001" s="12" t="s">
        <v>1962</v>
      </c>
      <c r="B1001" s="13">
        <v>2340.3000000000002</v>
      </c>
      <c r="C1001" s="13">
        <v>2316.5</v>
      </c>
      <c r="D1001" s="13">
        <v>2354.1999999999998</v>
      </c>
      <c r="E1001" s="13">
        <v>2312.9</v>
      </c>
      <c r="F1001" s="14" t="s">
        <v>1963</v>
      </c>
      <c r="G1001" s="15">
        <v>7.7999999999999996E-3</v>
      </c>
    </row>
    <row r="1002" spans="1:7" x14ac:dyDescent="0.35">
      <c r="A1002" s="12" t="s">
        <v>1964</v>
      </c>
      <c r="B1002" s="13">
        <v>2343</v>
      </c>
      <c r="C1002" s="13">
        <v>2369.1</v>
      </c>
      <c r="D1002" s="13">
        <v>2370.8000000000002</v>
      </c>
      <c r="E1002" s="13">
        <v>2337.6</v>
      </c>
      <c r="F1002" s="14" t="s">
        <v>1965</v>
      </c>
      <c r="G1002" s="15">
        <v>1.1999999999999999E-3</v>
      </c>
    </row>
    <row r="1003" spans="1:7" x14ac:dyDescent="0.35">
      <c r="A1003" s="12" t="s">
        <v>1966</v>
      </c>
      <c r="B1003" s="13">
        <v>2359.9</v>
      </c>
      <c r="C1003" s="13">
        <v>2342.3000000000002</v>
      </c>
      <c r="D1003" s="13">
        <v>2365.1999999999998</v>
      </c>
      <c r="E1003" s="13">
        <v>2340.5</v>
      </c>
      <c r="F1003" s="14" t="s">
        <v>1967</v>
      </c>
      <c r="G1003" s="15">
        <v>7.1999999999999998E-3</v>
      </c>
    </row>
    <row r="1004" spans="1:7" x14ac:dyDescent="0.35">
      <c r="A1004" s="12" t="s">
        <v>1968</v>
      </c>
      <c r="B1004" s="13">
        <v>2394.9</v>
      </c>
      <c r="C1004" s="13">
        <v>2362.9</v>
      </c>
      <c r="D1004" s="13">
        <v>2396.1</v>
      </c>
      <c r="E1004" s="13">
        <v>2357.1</v>
      </c>
      <c r="F1004" s="14" t="s">
        <v>1969</v>
      </c>
      <c r="G1004" s="15">
        <v>1.4800000000000001E-2</v>
      </c>
    </row>
    <row r="1005" spans="1:7" x14ac:dyDescent="0.35">
      <c r="A1005" s="12" t="s">
        <v>1970</v>
      </c>
      <c r="B1005" s="13">
        <v>2385.5</v>
      </c>
      <c r="C1005" s="13">
        <v>2391.5</v>
      </c>
      <c r="D1005" s="13">
        <v>2402.6999999999998</v>
      </c>
      <c r="E1005" s="13">
        <v>2375.1999999999998</v>
      </c>
      <c r="F1005" s="14" t="s">
        <v>1971</v>
      </c>
      <c r="G1005" s="15">
        <v>-3.8999999999999998E-3</v>
      </c>
    </row>
    <row r="1006" spans="1:7" x14ac:dyDescent="0.35">
      <c r="A1006" s="12" t="s">
        <v>1972</v>
      </c>
      <c r="B1006" s="13">
        <v>2438.5</v>
      </c>
      <c r="C1006" s="13">
        <v>2422.1999999999998</v>
      </c>
      <c r="D1006" s="13">
        <v>2454.1999999999998</v>
      </c>
      <c r="E1006" s="13">
        <v>2411.1</v>
      </c>
      <c r="F1006" s="14" t="s">
        <v>1973</v>
      </c>
      <c r="G1006" s="15">
        <v>2.2200000000000001E-2</v>
      </c>
    </row>
    <row r="1007" spans="1:7" x14ac:dyDescent="0.35">
      <c r="A1007" s="12" t="s">
        <v>1974</v>
      </c>
      <c r="B1007" s="13">
        <v>2425.9</v>
      </c>
      <c r="C1007" s="13">
        <v>2431.5</v>
      </c>
      <c r="D1007" s="13">
        <v>2438.1999999999998</v>
      </c>
      <c r="E1007" s="13">
        <v>2408.5</v>
      </c>
      <c r="F1007" s="14" t="s">
        <v>1975</v>
      </c>
      <c r="G1007" s="15">
        <v>-5.1999999999999998E-3</v>
      </c>
    </row>
    <row r="1008" spans="1:7" x14ac:dyDescent="0.35">
      <c r="A1008" s="12" t="s">
        <v>1976</v>
      </c>
      <c r="B1008" s="13">
        <v>2392.9</v>
      </c>
      <c r="C1008" s="13">
        <v>2425.4</v>
      </c>
      <c r="D1008" s="13">
        <v>2430.5</v>
      </c>
      <c r="E1008" s="13">
        <v>2378</v>
      </c>
      <c r="F1008" s="14" t="s">
        <v>1977</v>
      </c>
      <c r="G1008" s="15">
        <v>-1.3599999999999999E-2</v>
      </c>
    </row>
    <row r="1009" spans="1:7" x14ac:dyDescent="0.35">
      <c r="A1009" s="12" t="s">
        <v>1978</v>
      </c>
      <c r="B1009" s="13">
        <v>2337.1999999999998</v>
      </c>
      <c r="C1009" s="13">
        <v>2383</v>
      </c>
      <c r="D1009" s="13">
        <v>2385.6999999999998</v>
      </c>
      <c r="E1009" s="13">
        <v>2328.1</v>
      </c>
      <c r="F1009" s="14" t="s">
        <v>1979</v>
      </c>
      <c r="G1009" s="15">
        <v>-2.3300000000000001E-2</v>
      </c>
    </row>
    <row r="1010" spans="1:7" x14ac:dyDescent="0.35">
      <c r="A1010" s="12" t="s">
        <v>1980</v>
      </c>
      <c r="B1010" s="13">
        <v>2356.5</v>
      </c>
      <c r="C1010" s="13">
        <v>2338</v>
      </c>
      <c r="D1010" s="13">
        <v>2365.5</v>
      </c>
      <c r="E1010" s="13">
        <v>2333.8000000000002</v>
      </c>
      <c r="F1010" s="14" t="s">
        <v>1981</v>
      </c>
      <c r="G1010" s="15">
        <v>8.3000000000000001E-3</v>
      </c>
    </row>
    <row r="1011" spans="1:7" x14ac:dyDescent="0.35">
      <c r="A1011" s="12" t="s">
        <v>1982</v>
      </c>
      <c r="B1011" s="13">
        <v>2341.1999999999998</v>
      </c>
      <c r="C1011" s="13">
        <v>2362.5</v>
      </c>
      <c r="D1011" s="13">
        <v>2363.6999999999998</v>
      </c>
      <c r="E1011" s="13">
        <v>2334.1999999999998</v>
      </c>
      <c r="F1011" s="14" t="s">
        <v>1983</v>
      </c>
      <c r="G1011" s="15">
        <v>-6.4999999999999997E-3</v>
      </c>
    </row>
    <row r="1012" spans="1:7" x14ac:dyDescent="0.35">
      <c r="A1012" s="12" t="s">
        <v>1984</v>
      </c>
      <c r="B1012" s="13">
        <v>2354.6999999999998</v>
      </c>
      <c r="C1012" s="13">
        <v>2357.9</v>
      </c>
      <c r="D1012" s="13">
        <v>2360.6999999999998</v>
      </c>
      <c r="E1012" s="13">
        <v>2332.1</v>
      </c>
      <c r="F1012" s="14" t="s">
        <v>1985</v>
      </c>
      <c r="G1012" s="15">
        <v>5.7999999999999996E-3</v>
      </c>
    </row>
    <row r="1013" spans="1:7" x14ac:dyDescent="0.35">
      <c r="A1013" s="12" t="s">
        <v>1986</v>
      </c>
      <c r="B1013" s="13">
        <v>2357.5</v>
      </c>
      <c r="C1013" s="13">
        <v>2335</v>
      </c>
      <c r="D1013" s="13">
        <v>2363.5</v>
      </c>
      <c r="E1013" s="13">
        <v>2323.9</v>
      </c>
      <c r="F1013" s="14" t="s">
        <v>1987</v>
      </c>
      <c r="G1013" s="15">
        <v>1.1999999999999999E-3</v>
      </c>
    </row>
    <row r="1014" spans="1:7" x14ac:dyDescent="0.35">
      <c r="A1014" s="12" t="s">
        <v>1988</v>
      </c>
      <c r="B1014" s="13">
        <v>2335.6999999999998</v>
      </c>
      <c r="C1014" s="13">
        <v>2360.1999999999998</v>
      </c>
      <c r="D1014" s="13">
        <v>2361</v>
      </c>
      <c r="E1014" s="13">
        <v>2324.5</v>
      </c>
      <c r="F1014" s="14" t="s">
        <v>1989</v>
      </c>
      <c r="G1014" s="15">
        <v>-9.1999999999999998E-3</v>
      </c>
    </row>
    <row r="1015" spans="1:7" x14ac:dyDescent="0.35">
      <c r="A1015" s="12" t="s">
        <v>1990</v>
      </c>
      <c r="B1015" s="13">
        <v>2363.6</v>
      </c>
      <c r="C1015" s="13">
        <v>2335.5</v>
      </c>
      <c r="D1015" s="13">
        <v>2365.1999999999998</v>
      </c>
      <c r="E1015" s="13">
        <v>2335.1</v>
      </c>
      <c r="F1015" s="14" t="s">
        <v>1991</v>
      </c>
      <c r="G1015" s="15">
        <v>1.1900000000000001E-2</v>
      </c>
    </row>
    <row r="1016" spans="1:7" x14ac:dyDescent="0.35">
      <c r="A1016" s="12" t="s">
        <v>1992</v>
      </c>
      <c r="B1016" s="13">
        <v>2378.9</v>
      </c>
      <c r="C1016" s="13">
        <v>2363.8000000000002</v>
      </c>
      <c r="D1016" s="13">
        <v>2385.1999999999998</v>
      </c>
      <c r="E1016" s="13">
        <v>2361.4</v>
      </c>
      <c r="F1016" s="14" t="s">
        <v>1993</v>
      </c>
      <c r="G1016" s="15">
        <v>6.4999999999999997E-3</v>
      </c>
    </row>
    <row r="1017" spans="1:7" x14ac:dyDescent="0.35">
      <c r="A1017" s="12" t="s">
        <v>1994</v>
      </c>
      <c r="B1017" s="13">
        <v>2315.1</v>
      </c>
      <c r="C1017" s="13">
        <v>2299.5</v>
      </c>
      <c r="D1017" s="13">
        <v>2319.3000000000002</v>
      </c>
      <c r="E1017" s="13">
        <v>2292.9</v>
      </c>
      <c r="F1017" s="14" t="s">
        <v>1995</v>
      </c>
      <c r="G1017" s="15">
        <v>-2.6800000000000001E-2</v>
      </c>
    </row>
    <row r="1018" spans="1:7" x14ac:dyDescent="0.35">
      <c r="A1018" s="12" t="s">
        <v>1996</v>
      </c>
      <c r="B1018" s="13">
        <v>2314.6</v>
      </c>
      <c r="C1018" s="13">
        <v>2315.6999999999998</v>
      </c>
      <c r="D1018" s="13">
        <v>2325.1999999999998</v>
      </c>
      <c r="E1018" s="13">
        <v>2303.3000000000002</v>
      </c>
      <c r="F1018" s="14" t="s">
        <v>1997</v>
      </c>
      <c r="G1018" s="15">
        <v>-2.0000000000000001E-4</v>
      </c>
    </row>
    <row r="1019" spans="1:7" x14ac:dyDescent="0.35">
      <c r="A1019" s="12" t="s">
        <v>1998</v>
      </c>
      <c r="B1019" s="13">
        <v>2342.6999999999998</v>
      </c>
      <c r="C1019" s="13">
        <v>2321.6999999999998</v>
      </c>
      <c r="D1019" s="13">
        <v>2345.1</v>
      </c>
      <c r="E1019" s="13">
        <v>2315.6999999999998</v>
      </c>
      <c r="F1019" s="14" t="s">
        <v>1999</v>
      </c>
      <c r="G1019" s="15">
        <v>1.21E-2</v>
      </c>
    </row>
    <row r="1020" spans="1:7" x14ac:dyDescent="0.35">
      <c r="A1020" s="12" t="s">
        <v>2000</v>
      </c>
      <c r="B1020" s="13">
        <v>2305.9</v>
      </c>
      <c r="C1020" s="13">
        <v>2328.4</v>
      </c>
      <c r="D1020" s="13">
        <v>2330.1999999999998</v>
      </c>
      <c r="E1020" s="13">
        <v>2299.1999999999998</v>
      </c>
      <c r="F1020" s="14" t="s">
        <v>2001</v>
      </c>
      <c r="G1020" s="15">
        <v>-1.5699999999999999E-2</v>
      </c>
    </row>
    <row r="1021" spans="1:7" x14ac:dyDescent="0.35">
      <c r="A1021" s="12" t="s">
        <v>2002</v>
      </c>
      <c r="B1021" s="13">
        <v>2316.9</v>
      </c>
      <c r="C1021" s="13">
        <v>2336</v>
      </c>
      <c r="D1021" s="13">
        <v>2336</v>
      </c>
      <c r="E1021" s="13">
        <v>2312.4</v>
      </c>
      <c r="F1021" s="14" t="s">
        <v>2003</v>
      </c>
      <c r="G1021" s="15">
        <v>4.7999999999999996E-3</v>
      </c>
    </row>
    <row r="1022" spans="1:7" x14ac:dyDescent="0.35">
      <c r="A1022" s="12" t="s">
        <v>2004</v>
      </c>
      <c r="B1022" s="13">
        <v>2334.8000000000002</v>
      </c>
      <c r="C1022" s="13">
        <v>2323.3000000000002</v>
      </c>
      <c r="D1022" s="13">
        <v>2334.5</v>
      </c>
      <c r="E1022" s="13">
        <v>2309.1</v>
      </c>
      <c r="F1022" s="14" t="s">
        <v>2005</v>
      </c>
      <c r="G1022" s="15">
        <v>7.7000000000000002E-3</v>
      </c>
    </row>
    <row r="1023" spans="1:7" x14ac:dyDescent="0.35">
      <c r="A1023" s="12" t="s">
        <v>2006</v>
      </c>
      <c r="B1023" s="13">
        <v>2357</v>
      </c>
      <c r="C1023" s="13">
        <v>2331.4</v>
      </c>
      <c r="D1023" s="13">
        <v>2367</v>
      </c>
      <c r="E1023" s="13">
        <v>2327</v>
      </c>
      <c r="F1023" s="14" t="s">
        <v>2007</v>
      </c>
      <c r="G1023" s="15">
        <v>9.4999999999999998E-3</v>
      </c>
    </row>
    <row r="1024" spans="1:7" x14ac:dyDescent="0.35">
      <c r="A1024" s="12" t="s">
        <v>2008</v>
      </c>
      <c r="B1024" s="13">
        <v>2332.4</v>
      </c>
      <c r="C1024" s="13">
        <v>2322.1</v>
      </c>
      <c r="D1024" s="13">
        <v>2334.6999999999998</v>
      </c>
      <c r="E1024" s="13">
        <v>2318</v>
      </c>
      <c r="F1024" s="14" t="s">
        <v>2009</v>
      </c>
      <c r="G1024" s="15">
        <v>-1.04E-2</v>
      </c>
    </row>
    <row r="1025" spans="1:7" x14ac:dyDescent="0.35">
      <c r="A1025" s="12" t="s">
        <v>2010</v>
      </c>
      <c r="B1025" s="13">
        <v>2318.4</v>
      </c>
      <c r="C1025" s="13">
        <v>2334.4</v>
      </c>
      <c r="D1025" s="13">
        <v>2336.1999999999998</v>
      </c>
      <c r="E1025" s="13">
        <v>2314.8000000000002</v>
      </c>
      <c r="F1025" s="14" t="s">
        <v>2011</v>
      </c>
      <c r="G1025" s="15">
        <v>-6.0000000000000001E-3</v>
      </c>
    </row>
    <row r="1026" spans="1:7" x14ac:dyDescent="0.35">
      <c r="A1026" s="12" t="s">
        <v>2012</v>
      </c>
      <c r="B1026" s="13">
        <v>2301</v>
      </c>
      <c r="C1026" s="13">
        <v>2318.8000000000002</v>
      </c>
      <c r="D1026" s="13">
        <v>2320.5</v>
      </c>
      <c r="E1026" s="13">
        <v>2292.9</v>
      </c>
      <c r="F1026" s="14" t="s">
        <v>2013</v>
      </c>
      <c r="G1026" s="15">
        <v>-7.4999999999999997E-3</v>
      </c>
    </row>
    <row r="1027" spans="1:7" x14ac:dyDescent="0.35">
      <c r="A1027" s="12" t="s">
        <v>2014</v>
      </c>
      <c r="B1027" s="13">
        <v>2336.6</v>
      </c>
      <c r="C1027" s="13">
        <v>2309.4</v>
      </c>
      <c r="D1027" s="13">
        <v>2342</v>
      </c>
      <c r="E1027" s="13">
        <v>2306.8000000000002</v>
      </c>
      <c r="F1027" s="14" t="s">
        <v>2015</v>
      </c>
      <c r="G1027" s="15">
        <v>1.55E-2</v>
      </c>
    </row>
    <row r="1028" spans="1:7" x14ac:dyDescent="0.35">
      <c r="A1028" s="12" t="s">
        <v>2016</v>
      </c>
      <c r="B1028" s="13">
        <v>2338.9</v>
      </c>
      <c r="C1028" s="13">
        <v>2336.1999999999998</v>
      </c>
      <c r="D1028" s="13">
        <v>2348.8000000000002</v>
      </c>
      <c r="E1028" s="13">
        <v>2328.1999999999998</v>
      </c>
      <c r="F1028" s="14" t="s">
        <v>2017</v>
      </c>
      <c r="G1028" s="15">
        <v>1E-3</v>
      </c>
    </row>
    <row r="1029" spans="1:7" x14ac:dyDescent="0.35">
      <c r="A1029" s="12" t="s">
        <v>2018</v>
      </c>
      <c r="B1029" s="13">
        <v>2333.4</v>
      </c>
      <c r="C1029" s="13">
        <v>2341.6</v>
      </c>
      <c r="D1029" s="13">
        <v>2346.1</v>
      </c>
      <c r="E1029" s="13">
        <v>2327.4</v>
      </c>
      <c r="F1029" s="14" t="s">
        <v>2019</v>
      </c>
      <c r="G1029" s="15">
        <v>-2.3999999999999998E-3</v>
      </c>
    </row>
    <row r="1030" spans="1:7" x14ac:dyDescent="0.35">
      <c r="A1030" s="12" t="s">
        <v>2020</v>
      </c>
      <c r="B1030" s="13">
        <v>2369.4</v>
      </c>
      <c r="C1030" s="13">
        <v>2338.6</v>
      </c>
      <c r="D1030" s="13">
        <v>2374.5</v>
      </c>
      <c r="E1030" s="13">
        <v>2335.6999999999998</v>
      </c>
      <c r="F1030" s="14" t="s">
        <v>2021</v>
      </c>
      <c r="G1030" s="15">
        <v>1.54E-2</v>
      </c>
    </row>
    <row r="1031" spans="1:7" x14ac:dyDescent="0.35">
      <c r="A1031" s="12" t="s">
        <v>2022</v>
      </c>
      <c r="B1031" s="13">
        <v>2363.5</v>
      </c>
      <c r="C1031" s="13">
        <v>2396.1999999999998</v>
      </c>
      <c r="D1031" s="13">
        <v>2399.3000000000002</v>
      </c>
      <c r="E1031" s="13">
        <v>2358.3000000000002</v>
      </c>
      <c r="F1031" s="14" t="s">
        <v>2023</v>
      </c>
      <c r="G1031" s="15">
        <v>-2.5000000000000001E-3</v>
      </c>
    </row>
    <row r="1032" spans="1:7" x14ac:dyDescent="0.35">
      <c r="A1032" s="12" t="s">
        <v>2024</v>
      </c>
      <c r="B1032" s="13">
        <v>2367.9</v>
      </c>
      <c r="C1032" s="13">
        <v>2366.5</v>
      </c>
      <c r="D1032" s="13">
        <v>2378.3000000000002</v>
      </c>
      <c r="E1032" s="13">
        <v>2356</v>
      </c>
      <c r="F1032" s="14" t="s">
        <v>2025</v>
      </c>
      <c r="G1032" s="15">
        <v>1.9E-3</v>
      </c>
    </row>
    <row r="1033" spans="1:7" x14ac:dyDescent="0.35">
      <c r="A1033" s="12" t="s">
        <v>2026</v>
      </c>
      <c r="B1033" s="13">
        <v>2379.6999999999998</v>
      </c>
      <c r="C1033" s="13">
        <v>2371</v>
      </c>
      <c r="D1033" s="13">
        <v>2393.4</v>
      </c>
      <c r="E1033" s="13">
        <v>2369.6999999999998</v>
      </c>
      <c r="F1033" s="14" t="s">
        <v>2027</v>
      </c>
      <c r="G1033" s="15">
        <v>5.0000000000000001E-3</v>
      </c>
    </row>
    <row r="1034" spans="1:7" x14ac:dyDescent="0.35">
      <c r="A1034" s="12" t="s">
        <v>2028</v>
      </c>
      <c r="B1034" s="13">
        <v>2421.9</v>
      </c>
      <c r="C1034" s="13">
        <v>2377.4</v>
      </c>
      <c r="D1034" s="13">
        <v>2430.4</v>
      </c>
      <c r="E1034" s="13">
        <v>2376.8000000000002</v>
      </c>
      <c r="F1034" s="14" t="s">
        <v>1374</v>
      </c>
      <c r="G1034" s="15">
        <v>1.77E-2</v>
      </c>
    </row>
    <row r="1035" spans="1:7" x14ac:dyDescent="0.35">
      <c r="A1035" s="12" t="s">
        <v>2029</v>
      </c>
      <c r="B1035" s="13">
        <v>2428.9</v>
      </c>
      <c r="C1035" s="13">
        <v>2419.3000000000002</v>
      </c>
      <c r="D1035" s="13">
        <v>2445</v>
      </c>
      <c r="E1035" s="13">
        <v>2406.1</v>
      </c>
      <c r="F1035" s="14" t="s">
        <v>2030</v>
      </c>
      <c r="G1035" s="15">
        <v>2.8999999999999998E-3</v>
      </c>
    </row>
    <row r="1036" spans="1:7" x14ac:dyDescent="0.35">
      <c r="A1036" s="12" t="s">
        <v>2031</v>
      </c>
      <c r="B1036" s="13">
        <v>2467.8000000000002</v>
      </c>
      <c r="C1036" s="13">
        <v>2427.1</v>
      </c>
      <c r="D1036" s="13">
        <v>2474.5</v>
      </c>
      <c r="E1036" s="13">
        <v>2424.5</v>
      </c>
      <c r="F1036" s="14" t="s">
        <v>2032</v>
      </c>
      <c r="G1036" s="15">
        <v>1.6E-2</v>
      </c>
    </row>
    <row r="1037" spans="1:7" x14ac:dyDescent="0.35">
      <c r="A1037" s="12" t="s">
        <v>2033</v>
      </c>
      <c r="B1037" s="13">
        <v>2459.9</v>
      </c>
      <c r="C1037" s="13">
        <v>2473.1999999999998</v>
      </c>
      <c r="D1037" s="13">
        <v>2488.4</v>
      </c>
      <c r="E1037" s="13">
        <v>2455.5</v>
      </c>
      <c r="F1037" s="14" t="s">
        <v>2034</v>
      </c>
      <c r="G1037" s="15">
        <v>-3.2000000000000002E-3</v>
      </c>
    </row>
    <row r="1038" spans="1:7" x14ac:dyDescent="0.35">
      <c r="A1038" s="12" t="s">
        <v>2035</v>
      </c>
      <c r="B1038" s="13">
        <v>2456.4</v>
      </c>
      <c r="C1038" s="13">
        <v>2462.5</v>
      </c>
      <c r="D1038" s="13">
        <v>2478.5</v>
      </c>
      <c r="E1038" s="13">
        <v>2442.9</v>
      </c>
      <c r="F1038" s="14" t="s">
        <v>2036</v>
      </c>
      <c r="G1038" s="15">
        <v>-1.4E-3</v>
      </c>
    </row>
    <row r="1039" spans="1:7" x14ac:dyDescent="0.35">
      <c r="A1039" s="12" t="s">
        <v>2037</v>
      </c>
      <c r="B1039" s="13">
        <v>2394.6999999999998</v>
      </c>
      <c r="C1039" s="13">
        <v>2403.6999999999998</v>
      </c>
      <c r="D1039" s="13">
        <v>2414.4</v>
      </c>
      <c r="E1039" s="13">
        <v>2385.1999999999998</v>
      </c>
      <c r="F1039" s="14" t="s">
        <v>2038</v>
      </c>
      <c r="G1039" s="15">
        <v>-2.5100000000000001E-2</v>
      </c>
    </row>
    <row r="1040" spans="1:7" x14ac:dyDescent="0.35">
      <c r="A1040" s="12" t="s">
        <v>2039</v>
      </c>
      <c r="B1040" s="13">
        <v>2407.3000000000002</v>
      </c>
      <c r="C1040" s="13">
        <v>2398</v>
      </c>
      <c r="D1040" s="13">
        <v>2413.5</v>
      </c>
      <c r="E1040" s="13">
        <v>2389.1999999999998</v>
      </c>
      <c r="F1040" s="14" t="s">
        <v>2040</v>
      </c>
      <c r="G1040" s="15">
        <v>5.3E-3</v>
      </c>
    </row>
    <row r="1041" spans="1:7" x14ac:dyDescent="0.35">
      <c r="A1041" s="12" t="s">
        <v>2041</v>
      </c>
      <c r="B1041" s="13">
        <v>2415.6999999999998</v>
      </c>
      <c r="C1041" s="13">
        <v>2410.6999999999998</v>
      </c>
      <c r="D1041" s="13">
        <v>2433</v>
      </c>
      <c r="E1041" s="13">
        <v>2397</v>
      </c>
      <c r="F1041" s="14" t="s">
        <v>2042</v>
      </c>
      <c r="G1041" s="15">
        <v>3.5000000000000001E-3</v>
      </c>
    </row>
    <row r="1042" spans="1:7" x14ac:dyDescent="0.35">
      <c r="A1042" s="12" t="s">
        <v>2043</v>
      </c>
      <c r="B1042" s="13">
        <v>2353.5</v>
      </c>
      <c r="C1042" s="13">
        <v>2398.1</v>
      </c>
      <c r="D1042" s="13">
        <v>2400.8000000000002</v>
      </c>
      <c r="E1042" s="13">
        <v>2351.9</v>
      </c>
      <c r="F1042" s="14" t="s">
        <v>2044</v>
      </c>
      <c r="G1042" s="15">
        <v>-2.5700000000000001E-2</v>
      </c>
    </row>
    <row r="1043" spans="1:7" x14ac:dyDescent="0.35">
      <c r="A1043" s="12" t="s">
        <v>2045</v>
      </c>
      <c r="B1043" s="13">
        <v>2377.8000000000002</v>
      </c>
      <c r="C1043" s="13">
        <v>2386.9</v>
      </c>
      <c r="D1043" s="13">
        <v>2402.1</v>
      </c>
      <c r="E1043" s="13">
        <v>2367.3000000000002</v>
      </c>
      <c r="F1043" s="14" t="s">
        <v>2046</v>
      </c>
      <c r="G1043" s="15">
        <v>1.03E-2</v>
      </c>
    </row>
    <row r="1044" spans="1:7" x14ac:dyDescent="0.35">
      <c r="A1044" s="12" t="s">
        <v>2047</v>
      </c>
      <c r="B1044" s="13">
        <v>2417.6</v>
      </c>
      <c r="C1044" s="13">
        <v>2392.8000000000002</v>
      </c>
      <c r="D1044" s="13">
        <v>2422.4</v>
      </c>
      <c r="E1044" s="13">
        <v>2388.8000000000002</v>
      </c>
      <c r="F1044" s="14" t="s">
        <v>2048</v>
      </c>
      <c r="G1044" s="15">
        <v>1.67E-2</v>
      </c>
    </row>
    <row r="1045" spans="1:7" x14ac:dyDescent="0.35">
      <c r="A1045" s="12" t="s">
        <v>2049</v>
      </c>
      <c r="B1045" s="13">
        <v>2438.5</v>
      </c>
      <c r="C1045" s="13">
        <v>2420.8000000000002</v>
      </c>
      <c r="D1045" s="13">
        <v>2461.1</v>
      </c>
      <c r="E1045" s="13">
        <v>2415.4</v>
      </c>
      <c r="F1045" s="14" t="s">
        <v>2050</v>
      </c>
      <c r="G1045" s="15">
        <v>8.6E-3</v>
      </c>
    </row>
    <row r="1046" spans="1:7" x14ac:dyDescent="0.35">
      <c r="A1046" s="12" t="s">
        <v>2051</v>
      </c>
      <c r="B1046" s="13">
        <v>2445.9</v>
      </c>
      <c r="C1046" s="13">
        <v>2458.8000000000002</v>
      </c>
      <c r="D1046" s="13">
        <v>2470.8000000000002</v>
      </c>
      <c r="E1046" s="13">
        <v>2439.1</v>
      </c>
      <c r="F1046" s="14" t="s">
        <v>2052</v>
      </c>
      <c r="G1046" s="15">
        <v>3.0000000000000001E-3</v>
      </c>
    </row>
    <row r="1047" spans="1:7" x14ac:dyDescent="0.35">
      <c r="A1047" s="12" t="s">
        <v>2053</v>
      </c>
      <c r="B1047" s="13">
        <v>2411.8000000000002</v>
      </c>
      <c r="C1047" s="13">
        <v>2458.5</v>
      </c>
      <c r="D1047" s="13">
        <v>2466.1</v>
      </c>
      <c r="E1047" s="13">
        <v>2373.8000000000002</v>
      </c>
      <c r="F1047" s="14" t="s">
        <v>2054</v>
      </c>
      <c r="G1047" s="15">
        <v>-1.3899999999999999E-2</v>
      </c>
    </row>
    <row r="1048" spans="1:7" x14ac:dyDescent="0.35">
      <c r="A1048" s="12" t="s">
        <v>2055</v>
      </c>
      <c r="B1048" s="13">
        <v>2398.9</v>
      </c>
      <c r="C1048" s="13">
        <v>2420.9</v>
      </c>
      <c r="D1048" s="13">
        <v>2431.1999999999998</v>
      </c>
      <c r="E1048" s="13">
        <v>2390.1999999999998</v>
      </c>
      <c r="F1048" s="14" t="s">
        <v>2056</v>
      </c>
      <c r="G1048" s="15">
        <v>-5.3E-3</v>
      </c>
    </row>
    <row r="1049" spans="1:7" x14ac:dyDescent="0.35">
      <c r="A1049" s="12" t="s">
        <v>2057</v>
      </c>
      <c r="B1049" s="13">
        <v>2400</v>
      </c>
      <c r="C1049" s="13">
        <v>2398.6</v>
      </c>
      <c r="D1049" s="13">
        <v>2414.1999999999998</v>
      </c>
      <c r="E1049" s="13">
        <v>2387</v>
      </c>
      <c r="F1049" s="14" t="s">
        <v>2058</v>
      </c>
      <c r="G1049" s="15">
        <v>5.0000000000000001E-4</v>
      </c>
    </row>
    <row r="1050" spans="1:7" x14ac:dyDescent="0.35">
      <c r="A1050" s="12" t="s">
        <v>2059</v>
      </c>
      <c r="B1050" s="13">
        <v>2430.3000000000002</v>
      </c>
      <c r="C1050" s="13">
        <v>2389.5</v>
      </c>
      <c r="D1050" s="13">
        <v>2433.9</v>
      </c>
      <c r="E1050" s="13">
        <v>2388</v>
      </c>
      <c r="F1050" s="14" t="s">
        <v>2060</v>
      </c>
      <c r="G1050" s="15">
        <v>1.26E-2</v>
      </c>
    </row>
    <row r="1051" spans="1:7" x14ac:dyDescent="0.35">
      <c r="A1051" s="12" t="s">
        <v>2061</v>
      </c>
      <c r="B1051" s="13">
        <v>2469.9</v>
      </c>
      <c r="C1051" s="13">
        <v>2436</v>
      </c>
      <c r="D1051" s="13">
        <v>2478</v>
      </c>
      <c r="E1051" s="13">
        <v>2430</v>
      </c>
      <c r="F1051" s="14" t="s">
        <v>2062</v>
      </c>
      <c r="G1051" s="15">
        <v>1.6299999999999999E-2</v>
      </c>
    </row>
    <row r="1052" spans="1:7" x14ac:dyDescent="0.35">
      <c r="A1052" s="12" t="s">
        <v>2063</v>
      </c>
      <c r="B1052" s="13">
        <v>2473.9</v>
      </c>
      <c r="C1052" s="13">
        <v>2477.3000000000002</v>
      </c>
      <c r="D1052" s="13">
        <v>2482.5</v>
      </c>
      <c r="E1052" s="13">
        <v>2464.1999999999998</v>
      </c>
      <c r="F1052" s="14" t="s">
        <v>2064</v>
      </c>
      <c r="G1052" s="15">
        <v>1.6000000000000001E-3</v>
      </c>
    </row>
    <row r="1053" spans="1:7" x14ac:dyDescent="0.35">
      <c r="A1053" s="12" t="s">
        <v>2065</v>
      </c>
      <c r="B1053" s="13">
        <v>2446.1999999999998</v>
      </c>
      <c r="C1053" s="13">
        <v>2470.6</v>
      </c>
      <c r="D1053" s="13">
        <v>2485.4</v>
      </c>
      <c r="E1053" s="13">
        <v>2443</v>
      </c>
      <c r="F1053" s="14" t="s">
        <v>2066</v>
      </c>
      <c r="G1053" s="15">
        <v>-1.12E-2</v>
      </c>
    </row>
    <row r="1054" spans="1:7" x14ac:dyDescent="0.35">
      <c r="A1054" s="12" t="s">
        <v>2067</v>
      </c>
      <c r="B1054" s="13">
        <v>2458.6</v>
      </c>
      <c r="C1054" s="13">
        <v>2452</v>
      </c>
      <c r="D1054" s="13">
        <v>2471.8000000000002</v>
      </c>
      <c r="E1054" s="13">
        <v>2437.1</v>
      </c>
      <c r="F1054" s="14" t="s">
        <v>2068</v>
      </c>
      <c r="G1054" s="15">
        <v>5.1000000000000004E-3</v>
      </c>
    </row>
    <row r="1055" spans="1:7" x14ac:dyDescent="0.35">
      <c r="A1055" s="12" t="s">
        <v>2069</v>
      </c>
      <c r="B1055" s="13">
        <v>2506.8000000000002</v>
      </c>
      <c r="C1055" s="13">
        <v>2512.8000000000002</v>
      </c>
      <c r="D1055" s="13">
        <v>2513.8000000000002</v>
      </c>
      <c r="E1055" s="13">
        <v>2489.3000000000002</v>
      </c>
      <c r="F1055" s="14" t="s">
        <v>2070</v>
      </c>
      <c r="G1055" s="15">
        <v>1.9599999999999999E-2</v>
      </c>
    </row>
    <row r="1056" spans="1:7" x14ac:dyDescent="0.35">
      <c r="A1056" s="12" t="s">
        <v>2071</v>
      </c>
      <c r="B1056" s="13">
        <v>2516.1</v>
      </c>
      <c r="C1056" s="13">
        <v>2507.6999999999998</v>
      </c>
      <c r="D1056" s="13">
        <v>2535.4</v>
      </c>
      <c r="E1056" s="13">
        <v>2502.1</v>
      </c>
      <c r="F1056" s="14" t="s">
        <v>2072</v>
      </c>
      <c r="G1056" s="15">
        <v>3.7000000000000002E-3</v>
      </c>
    </row>
    <row r="1057" spans="1:7" x14ac:dyDescent="0.35">
      <c r="A1057" s="12" t="s">
        <v>2073</v>
      </c>
      <c r="B1057" s="13">
        <v>2512.8000000000002</v>
      </c>
      <c r="C1057" s="13">
        <v>2517.4</v>
      </c>
      <c r="D1057" s="13">
        <v>2522</v>
      </c>
      <c r="E1057" s="13">
        <v>2495</v>
      </c>
      <c r="F1057" s="14" t="s">
        <v>2074</v>
      </c>
      <c r="G1057" s="15">
        <v>-1.2999999999999999E-3</v>
      </c>
    </row>
    <row r="1058" spans="1:7" x14ac:dyDescent="0.35">
      <c r="A1058" s="12" t="s">
        <v>2075</v>
      </c>
      <c r="B1058" s="13">
        <v>2482.1</v>
      </c>
      <c r="C1058" s="13">
        <v>2515.6</v>
      </c>
      <c r="D1058" s="13">
        <v>2516</v>
      </c>
      <c r="E1058" s="13">
        <v>2472.6</v>
      </c>
      <c r="F1058" s="14" t="s">
        <v>2076</v>
      </c>
      <c r="G1058" s="15">
        <v>-1.2200000000000001E-2</v>
      </c>
    </row>
    <row r="1059" spans="1:7" x14ac:dyDescent="0.35">
      <c r="A1059" s="12" t="s">
        <v>2077</v>
      </c>
      <c r="B1059" s="13">
        <v>2520.1999999999998</v>
      </c>
      <c r="C1059" s="13">
        <v>2512.6</v>
      </c>
      <c r="D1059" s="13">
        <v>2527.6999999999998</v>
      </c>
      <c r="E1059" s="13">
        <v>2509.3000000000002</v>
      </c>
      <c r="F1059" s="14" t="s">
        <v>2078</v>
      </c>
      <c r="G1059" s="15">
        <v>1.5299999999999999E-2</v>
      </c>
    </row>
    <row r="1060" spans="1:7" x14ac:dyDescent="0.35">
      <c r="A1060" s="12" t="s">
        <v>2079</v>
      </c>
      <c r="B1060" s="13">
        <v>2517.6999999999998</v>
      </c>
      <c r="C1060" s="13">
        <v>2517.6</v>
      </c>
      <c r="D1060" s="13">
        <v>2525.1999999999998</v>
      </c>
      <c r="E1060" s="13">
        <v>2504.4</v>
      </c>
      <c r="F1060" s="14" t="s">
        <v>2080</v>
      </c>
      <c r="G1060" s="15">
        <v>-1E-3</v>
      </c>
    </row>
    <row r="1061" spans="1:7" x14ac:dyDescent="0.35">
      <c r="A1061" s="12" t="s">
        <v>2081</v>
      </c>
      <c r="B1061" s="13">
        <v>2502.6</v>
      </c>
      <c r="C1061" s="13">
        <v>2525.1999999999998</v>
      </c>
      <c r="D1061" s="13">
        <v>2526.4</v>
      </c>
      <c r="E1061" s="13">
        <v>2493.1999999999998</v>
      </c>
      <c r="F1061" s="14" t="s">
        <v>2082</v>
      </c>
      <c r="G1061" s="15">
        <v>-6.0000000000000001E-3</v>
      </c>
    </row>
    <row r="1062" spans="1:7" x14ac:dyDescent="0.35">
      <c r="A1062" s="12" t="s">
        <v>2083</v>
      </c>
      <c r="B1062" s="13">
        <v>2536.6999999999998</v>
      </c>
      <c r="C1062" s="13">
        <v>2516.6</v>
      </c>
      <c r="D1062" s="13">
        <v>2538.6999999999998</v>
      </c>
      <c r="E1062" s="13">
        <v>2513.8000000000002</v>
      </c>
      <c r="F1062" s="14" t="s">
        <v>2084</v>
      </c>
      <c r="G1062" s="15">
        <v>1.3599999999999999E-2</v>
      </c>
    </row>
    <row r="1063" spans="1:7" x14ac:dyDescent="0.35">
      <c r="A1063" s="12" t="s">
        <v>2085</v>
      </c>
      <c r="B1063" s="13">
        <v>2499.6999999999998</v>
      </c>
      <c r="C1063" s="13">
        <v>2509</v>
      </c>
      <c r="D1063" s="13">
        <v>2516.3000000000002</v>
      </c>
      <c r="E1063" s="13">
        <v>2481.6</v>
      </c>
      <c r="F1063" s="14" t="s">
        <v>2086</v>
      </c>
      <c r="G1063" s="15">
        <v>-1.46E-2</v>
      </c>
    </row>
    <row r="1064" spans="1:7" x14ac:dyDescent="0.35">
      <c r="A1064" s="12" t="s">
        <v>2087</v>
      </c>
      <c r="B1064" s="13">
        <v>2502.6999999999998</v>
      </c>
      <c r="C1064" s="13">
        <v>2500.4</v>
      </c>
      <c r="D1064" s="13">
        <v>2507.8000000000002</v>
      </c>
      <c r="E1064" s="13">
        <v>2479.8000000000002</v>
      </c>
      <c r="F1064" s="14" t="s">
        <v>2088</v>
      </c>
      <c r="G1064" s="15">
        <v>1.1999999999999999E-3</v>
      </c>
    </row>
    <row r="1065" spans="1:7" x14ac:dyDescent="0.35">
      <c r="A1065" s="12" t="s">
        <v>2089</v>
      </c>
      <c r="B1065" s="13">
        <v>2519.6999999999998</v>
      </c>
      <c r="C1065" s="13">
        <v>2502.3000000000002</v>
      </c>
      <c r="D1065" s="13">
        <v>2530.5</v>
      </c>
      <c r="E1065" s="13">
        <v>2500.6999999999998</v>
      </c>
      <c r="F1065" s="14" t="s">
        <v>2090</v>
      </c>
      <c r="G1065" s="15">
        <v>6.7999999999999996E-3</v>
      </c>
    </row>
    <row r="1066" spans="1:7" x14ac:dyDescent="0.35">
      <c r="A1066" s="12" t="s">
        <v>2091</v>
      </c>
      <c r="B1066" s="13">
        <v>2509.3000000000002</v>
      </c>
      <c r="C1066" s="13">
        <v>2503.1999999999998</v>
      </c>
      <c r="D1066" s="13">
        <v>2512.6999999999998</v>
      </c>
      <c r="E1066" s="13">
        <v>2491.3000000000002</v>
      </c>
      <c r="F1066" s="14" t="s">
        <v>2092</v>
      </c>
      <c r="G1066" s="15">
        <v>-4.1000000000000003E-3</v>
      </c>
    </row>
    <row r="1067" spans="1:7" x14ac:dyDescent="0.35">
      <c r="A1067" s="12" t="s">
        <v>2093</v>
      </c>
      <c r="B1067" s="13">
        <v>2519.5</v>
      </c>
      <c r="C1067" s="13">
        <v>2511.6</v>
      </c>
      <c r="D1067" s="13">
        <v>2523.9</v>
      </c>
      <c r="E1067" s="13">
        <v>2505.6</v>
      </c>
      <c r="F1067" s="14" t="s">
        <v>2094</v>
      </c>
      <c r="G1067" s="15">
        <v>4.1000000000000003E-3</v>
      </c>
    </row>
    <row r="1068" spans="1:7" x14ac:dyDescent="0.35">
      <c r="A1068" s="12" t="s">
        <v>2095</v>
      </c>
      <c r="B1068" s="13">
        <v>2519</v>
      </c>
      <c r="C1068" s="13">
        <v>2522</v>
      </c>
      <c r="D1068" s="13">
        <v>2534.4</v>
      </c>
      <c r="E1068" s="13">
        <v>2505.6999999999998</v>
      </c>
      <c r="F1068" s="14" t="s">
        <v>2096</v>
      </c>
      <c r="G1068" s="15">
        <v>-2.0000000000000001E-4</v>
      </c>
    </row>
    <row r="1069" spans="1:7" x14ac:dyDescent="0.35">
      <c r="A1069" s="12" t="s">
        <v>2097</v>
      </c>
      <c r="B1069" s="13">
        <v>2557.1</v>
      </c>
      <c r="C1069" s="13">
        <v>2517.9</v>
      </c>
      <c r="D1069" s="13">
        <v>2564.8000000000002</v>
      </c>
      <c r="E1069" s="13">
        <v>2515.5</v>
      </c>
      <c r="F1069" s="14" t="s">
        <v>1789</v>
      </c>
      <c r="G1069" s="15">
        <v>1.5100000000000001E-2</v>
      </c>
    </row>
    <row r="1070" spans="1:7" x14ac:dyDescent="0.35">
      <c r="A1070" s="12" t="s">
        <v>2098</v>
      </c>
      <c r="B1070" s="13">
        <v>2585.1999999999998</v>
      </c>
      <c r="C1070" s="13">
        <v>2584.8000000000002</v>
      </c>
      <c r="D1070" s="13">
        <v>2593.4</v>
      </c>
      <c r="E1070" s="13">
        <v>2578.8000000000002</v>
      </c>
      <c r="F1070" s="14" t="s">
        <v>2099</v>
      </c>
      <c r="G1070" s="15">
        <v>1.0999999999999999E-2</v>
      </c>
    </row>
    <row r="1071" spans="1:7" x14ac:dyDescent="0.35">
      <c r="A1071" s="12" t="s">
        <v>2100</v>
      </c>
      <c r="B1071" s="13">
        <v>2568.9</v>
      </c>
      <c r="C1071" s="13">
        <v>2586.3000000000002</v>
      </c>
      <c r="D1071" s="13">
        <v>2590</v>
      </c>
      <c r="E1071" s="13">
        <v>2564.1</v>
      </c>
      <c r="F1071" s="14" t="s">
        <v>2101</v>
      </c>
      <c r="G1071" s="15">
        <v>-6.3E-3</v>
      </c>
    </row>
    <row r="1072" spans="1:7" x14ac:dyDescent="0.35">
      <c r="A1072" s="12" t="s">
        <v>2102</v>
      </c>
      <c r="B1072" s="13">
        <v>2574.9</v>
      </c>
      <c r="C1072" s="13">
        <v>2573.4</v>
      </c>
      <c r="D1072" s="13">
        <v>2603.6999999999998</v>
      </c>
      <c r="E1072" s="13">
        <v>2549.4</v>
      </c>
      <c r="F1072" s="14" t="s">
        <v>2103</v>
      </c>
      <c r="G1072" s="15">
        <v>2.3E-3</v>
      </c>
    </row>
    <row r="1073" spans="1:7" x14ac:dyDescent="0.35">
      <c r="A1073" s="12" t="s">
        <v>2104</v>
      </c>
      <c r="B1073" s="13">
        <v>2590.9</v>
      </c>
      <c r="C1073" s="13">
        <v>2561.6</v>
      </c>
      <c r="D1073" s="13">
        <v>2597</v>
      </c>
      <c r="E1073" s="13">
        <v>2552.1</v>
      </c>
      <c r="F1073" s="14" t="s">
        <v>2105</v>
      </c>
      <c r="G1073" s="15">
        <v>6.1999999999999998E-3</v>
      </c>
    </row>
    <row r="1074" spans="1:7" x14ac:dyDescent="0.35">
      <c r="A1074" s="12" t="s">
        <v>2106</v>
      </c>
      <c r="B1074" s="13">
        <v>2628.6</v>
      </c>
      <c r="C1074" s="13">
        <v>2622.5</v>
      </c>
      <c r="D1074" s="13">
        <v>2635.7</v>
      </c>
      <c r="E1074" s="13">
        <v>2615.4</v>
      </c>
      <c r="F1074" s="14" t="s">
        <v>2107</v>
      </c>
      <c r="G1074" s="15">
        <v>1.46E-2</v>
      </c>
    </row>
    <row r="1075" spans="1:7" x14ac:dyDescent="0.35">
      <c r="A1075" s="12" t="s">
        <v>2108</v>
      </c>
      <c r="B1075" s="13">
        <v>2653</v>
      </c>
      <c r="C1075" s="13">
        <v>2628.6</v>
      </c>
      <c r="D1075" s="13">
        <v>2665.1</v>
      </c>
      <c r="E1075" s="13">
        <v>2623.5</v>
      </c>
      <c r="F1075" s="14" t="s">
        <v>2109</v>
      </c>
      <c r="G1075" s="15">
        <v>9.2999999999999992E-3</v>
      </c>
    </row>
    <row r="1076" spans="1:7" x14ac:dyDescent="0.35">
      <c r="A1076" s="12" t="s">
        <v>2110</v>
      </c>
      <c r="B1076" s="13">
        <v>2660.7</v>
      </c>
      <c r="C1076" s="13">
        <v>2658.7</v>
      </c>
      <c r="D1076" s="13">
        <v>2670.5</v>
      </c>
      <c r="E1076" s="13">
        <v>2649.8</v>
      </c>
      <c r="F1076" s="14" t="s">
        <v>2111</v>
      </c>
      <c r="G1076" s="15">
        <v>2.8999999999999998E-3</v>
      </c>
    </row>
    <row r="1077" spans="1:7" x14ac:dyDescent="0.35">
      <c r="A1077" s="12" t="s">
        <v>2112</v>
      </c>
      <c r="B1077" s="13">
        <v>2670.4</v>
      </c>
      <c r="C1077" s="13">
        <v>2656.8</v>
      </c>
      <c r="D1077" s="13">
        <v>2683.9</v>
      </c>
      <c r="E1077" s="13">
        <v>2653.4</v>
      </c>
      <c r="F1077" s="14" t="s">
        <v>2113</v>
      </c>
      <c r="G1077" s="15">
        <v>3.5999999999999999E-3</v>
      </c>
    </row>
    <row r="1078" spans="1:7" x14ac:dyDescent="0.35">
      <c r="A1078" s="12" t="s">
        <v>2114</v>
      </c>
      <c r="B1078" s="13">
        <v>2647.9</v>
      </c>
      <c r="C1078" s="13">
        <v>2667.9</v>
      </c>
      <c r="D1078" s="13">
        <v>2675.2</v>
      </c>
      <c r="E1078" s="13">
        <v>2636.8</v>
      </c>
      <c r="F1078" s="14" t="s">
        <v>2115</v>
      </c>
      <c r="G1078" s="15">
        <v>-8.3999999999999995E-3</v>
      </c>
    </row>
    <row r="1079" spans="1:7" x14ac:dyDescent="0.35">
      <c r="A1079" s="12" t="s">
        <v>2116</v>
      </c>
      <c r="B1079" s="13">
        <v>2678.5</v>
      </c>
      <c r="C1079" s="13">
        <v>2644.4</v>
      </c>
      <c r="D1079" s="13">
        <v>2681.7</v>
      </c>
      <c r="E1079" s="13">
        <v>2644.4</v>
      </c>
      <c r="F1079" s="14" t="s">
        <v>2117</v>
      </c>
      <c r="G1079" s="15">
        <v>1.1599999999999999E-2</v>
      </c>
    </row>
    <row r="1080" spans="1:7" x14ac:dyDescent="0.35">
      <c r="A1080" s="12" t="s">
        <v>2118</v>
      </c>
      <c r="B1080" s="13">
        <v>2658.1</v>
      </c>
      <c r="C1080" s="13">
        <v>2671.1</v>
      </c>
      <c r="D1080" s="13">
        <v>2672.4</v>
      </c>
      <c r="E1080" s="13">
        <v>2653.3</v>
      </c>
      <c r="F1080" s="14" t="s">
        <v>2119</v>
      </c>
      <c r="G1080" s="15">
        <v>-7.6E-3</v>
      </c>
    </row>
    <row r="1081" spans="1:7" x14ac:dyDescent="0.35">
      <c r="A1081" s="12" t="s">
        <v>2120</v>
      </c>
      <c r="B1081" s="13">
        <v>2667.4</v>
      </c>
      <c r="C1081" s="13">
        <v>2668.3</v>
      </c>
      <c r="D1081" s="13">
        <v>2670.7</v>
      </c>
      <c r="E1081" s="13">
        <v>2646.5</v>
      </c>
      <c r="F1081" s="14" t="s">
        <v>2121</v>
      </c>
      <c r="G1081" s="15">
        <v>3.5000000000000001E-3</v>
      </c>
    </row>
    <row r="1082" spans="1:7" x14ac:dyDescent="0.35">
      <c r="A1082" s="12" t="s">
        <v>2122</v>
      </c>
      <c r="B1082" s="13">
        <v>2654</v>
      </c>
      <c r="C1082" s="13">
        <v>2658.8</v>
      </c>
      <c r="D1082" s="13">
        <v>2666.6</v>
      </c>
      <c r="E1082" s="13">
        <v>2646</v>
      </c>
      <c r="F1082" s="14" t="s">
        <v>2123</v>
      </c>
      <c r="G1082" s="15">
        <v>-5.0000000000000001E-3</v>
      </c>
    </row>
    <row r="1083" spans="1:7" x14ac:dyDescent="0.35">
      <c r="A1083" s="12" t="s">
        <v>2124</v>
      </c>
      <c r="B1083" s="13">
        <v>2623.5</v>
      </c>
      <c r="C1083" s="13">
        <v>2649.6</v>
      </c>
      <c r="D1083" s="13">
        <v>2660.4</v>
      </c>
      <c r="E1083" s="13">
        <v>2612.6999999999998</v>
      </c>
      <c r="F1083" s="14" t="s">
        <v>2125</v>
      </c>
      <c r="G1083" s="15">
        <v>-1.15E-2</v>
      </c>
    </row>
    <row r="1084" spans="1:7" x14ac:dyDescent="0.35">
      <c r="A1084" s="12" t="s">
        <v>2126</v>
      </c>
      <c r="B1084" s="13">
        <v>2614.1</v>
      </c>
      <c r="C1084" s="13">
        <v>2628.8</v>
      </c>
      <c r="D1084" s="13">
        <v>2630.6</v>
      </c>
      <c r="E1084" s="13">
        <v>2612</v>
      </c>
      <c r="F1084" s="14" t="s">
        <v>2127</v>
      </c>
      <c r="G1084" s="15">
        <v>-3.5999999999999999E-3</v>
      </c>
    </row>
    <row r="1085" spans="1:7" x14ac:dyDescent="0.35">
      <c r="A1085" s="12" t="s">
        <v>2128</v>
      </c>
      <c r="B1085" s="13">
        <v>2627.4</v>
      </c>
      <c r="C1085" s="13">
        <v>2614.8000000000002</v>
      </c>
      <c r="D1085" s="13">
        <v>2636.9</v>
      </c>
      <c r="E1085" s="13">
        <v>2608.8000000000002</v>
      </c>
      <c r="F1085" s="14" t="s">
        <v>2129</v>
      </c>
      <c r="G1085" s="15">
        <v>5.1000000000000004E-3</v>
      </c>
    </row>
    <row r="1086" spans="1:7" x14ac:dyDescent="0.35">
      <c r="A1086" s="12" t="s">
        <v>2130</v>
      </c>
      <c r="B1086" s="13">
        <v>2653.7</v>
      </c>
      <c r="C1086" s="13">
        <v>2659.9</v>
      </c>
      <c r="D1086" s="13">
        <v>2671.3</v>
      </c>
      <c r="E1086" s="13">
        <v>2648.4</v>
      </c>
      <c r="F1086" s="14" t="s">
        <v>2131</v>
      </c>
      <c r="G1086" s="15">
        <v>0.01</v>
      </c>
    </row>
    <row r="1087" spans="1:7" x14ac:dyDescent="0.35">
      <c r="A1087" s="12" t="s">
        <v>2132</v>
      </c>
      <c r="B1087" s="13">
        <v>2667</v>
      </c>
      <c r="C1087" s="13">
        <v>2654.6</v>
      </c>
      <c r="D1087" s="13">
        <v>2673.8</v>
      </c>
      <c r="E1087" s="13">
        <v>2643.1</v>
      </c>
      <c r="F1087" s="14" t="s">
        <v>2133</v>
      </c>
      <c r="G1087" s="15">
        <v>5.0000000000000001E-3</v>
      </c>
    </row>
    <row r="1088" spans="1:7" x14ac:dyDescent="0.35">
      <c r="A1088" s="12" t="s">
        <v>2134</v>
      </c>
      <c r="B1088" s="13">
        <v>2679.3</v>
      </c>
      <c r="C1088" s="13">
        <v>2666.8</v>
      </c>
      <c r="D1088" s="13">
        <v>2689.5</v>
      </c>
      <c r="E1088" s="13">
        <v>2666</v>
      </c>
      <c r="F1088" s="14" t="s">
        <v>2135</v>
      </c>
      <c r="G1088" s="15">
        <v>4.5999999999999999E-3</v>
      </c>
    </row>
    <row r="1089" spans="1:7" x14ac:dyDescent="0.35">
      <c r="A1089" s="12" t="s">
        <v>2136</v>
      </c>
      <c r="B1089" s="13">
        <v>2695.5</v>
      </c>
      <c r="C1089" s="13">
        <v>2676.9</v>
      </c>
      <c r="D1089" s="13">
        <v>2700.5</v>
      </c>
      <c r="E1089" s="13">
        <v>2676.9</v>
      </c>
      <c r="F1089" s="14" t="s">
        <v>2137</v>
      </c>
      <c r="G1089" s="15">
        <v>6.0000000000000001E-3</v>
      </c>
    </row>
    <row r="1090" spans="1:7" x14ac:dyDescent="0.35">
      <c r="A1090" s="12" t="s">
        <v>2138</v>
      </c>
      <c r="B1090" s="13">
        <v>2726.8</v>
      </c>
      <c r="C1090" s="13">
        <v>2724.3</v>
      </c>
      <c r="D1090" s="13">
        <v>2742.6</v>
      </c>
      <c r="E1090" s="13">
        <v>2716.9</v>
      </c>
      <c r="F1090" s="14" t="s">
        <v>2139</v>
      </c>
      <c r="G1090" s="15">
        <v>1.1599999999999999E-2</v>
      </c>
    </row>
    <row r="1091" spans="1:7" x14ac:dyDescent="0.35">
      <c r="A1091" s="12" t="s">
        <v>2140</v>
      </c>
      <c r="B1091" s="13">
        <v>2747.4</v>
      </c>
      <c r="C1091" s="13">
        <v>2723.1</v>
      </c>
      <c r="D1091" s="13">
        <v>2749.5</v>
      </c>
      <c r="E1091" s="13">
        <v>2721.8</v>
      </c>
      <c r="F1091" s="14" t="s">
        <v>2141</v>
      </c>
      <c r="G1091" s="15">
        <v>7.6E-3</v>
      </c>
    </row>
    <row r="1092" spans="1:7" x14ac:dyDescent="0.35">
      <c r="A1092" s="12" t="s">
        <v>2142</v>
      </c>
      <c r="B1092" s="13">
        <v>2717.1</v>
      </c>
      <c r="C1092" s="13">
        <v>2748.9</v>
      </c>
      <c r="D1092" s="13">
        <v>2758.5</v>
      </c>
      <c r="E1092" s="13">
        <v>2709.9</v>
      </c>
      <c r="F1092" s="14" t="s">
        <v>2143</v>
      </c>
      <c r="G1092" s="15">
        <v>-1.0999999999999999E-2</v>
      </c>
    </row>
    <row r="1093" spans="1:7" x14ac:dyDescent="0.35">
      <c r="A1093" s="12" t="s">
        <v>2144</v>
      </c>
      <c r="B1093" s="13">
        <v>2736.5</v>
      </c>
      <c r="C1093" s="13">
        <v>2717.4</v>
      </c>
      <c r="D1093" s="13">
        <v>2743.3</v>
      </c>
      <c r="E1093" s="13">
        <v>2717.4</v>
      </c>
      <c r="F1093" s="14" t="s">
        <v>2145</v>
      </c>
      <c r="G1093" s="15">
        <v>7.1000000000000004E-3</v>
      </c>
    </row>
    <row r="1094" spans="1:7" x14ac:dyDescent="0.35">
      <c r="A1094" s="12" t="s">
        <v>2146</v>
      </c>
      <c r="B1094" s="13">
        <v>2743.6</v>
      </c>
      <c r="C1094" s="13">
        <v>2739.4</v>
      </c>
      <c r="D1094" s="13">
        <v>2745.6</v>
      </c>
      <c r="E1094" s="13">
        <v>2725.8</v>
      </c>
      <c r="F1094" s="14" t="s">
        <v>2147</v>
      </c>
      <c r="G1094" s="15">
        <v>2.5999999999999999E-3</v>
      </c>
    </row>
    <row r="1095" spans="1:7" x14ac:dyDescent="0.35">
      <c r="A1095" s="12" t="s">
        <v>2148</v>
      </c>
      <c r="B1095" s="13">
        <v>2768.8</v>
      </c>
      <c r="C1095" s="13">
        <v>2741.9</v>
      </c>
      <c r="D1095" s="13">
        <v>2773.2</v>
      </c>
      <c r="E1095" s="13">
        <v>2741.9</v>
      </c>
      <c r="F1095" s="14" t="s">
        <v>2149</v>
      </c>
      <c r="G1095" s="15">
        <v>9.1999999999999998E-3</v>
      </c>
    </row>
    <row r="1096" spans="1:7" x14ac:dyDescent="0.35">
      <c r="A1096" s="12" t="s">
        <v>2150</v>
      </c>
      <c r="B1096" s="13">
        <v>2800.8</v>
      </c>
      <c r="C1096" s="13">
        <v>2786.9</v>
      </c>
      <c r="D1096" s="13">
        <v>2801.8</v>
      </c>
      <c r="E1096" s="13">
        <v>2782.4</v>
      </c>
      <c r="F1096" s="14" t="s">
        <v>2151</v>
      </c>
      <c r="G1096" s="15">
        <v>1.1599999999999999E-2</v>
      </c>
    </row>
    <row r="1097" spans="1:7" x14ac:dyDescent="0.35">
      <c r="A1097" s="12" t="s">
        <v>2152</v>
      </c>
      <c r="B1097" s="13">
        <v>2749.3</v>
      </c>
      <c r="C1097" s="13">
        <v>2799.1</v>
      </c>
      <c r="D1097" s="13">
        <v>2801.2</v>
      </c>
      <c r="E1097" s="13">
        <v>2741.8</v>
      </c>
      <c r="F1097" s="14" t="s">
        <v>2153</v>
      </c>
      <c r="G1097" s="15">
        <v>-1.84E-2</v>
      </c>
    </row>
    <row r="1098" spans="1:7" x14ac:dyDescent="0.35">
      <c r="A1098" s="12" t="s">
        <v>2154</v>
      </c>
      <c r="B1098" s="13">
        <v>2746.2</v>
      </c>
      <c r="C1098" s="13">
        <v>2743.5</v>
      </c>
      <c r="D1098" s="13">
        <v>2757.5</v>
      </c>
      <c r="E1098" s="13">
        <v>2739.4</v>
      </c>
      <c r="F1098" s="14" t="s">
        <v>2155</v>
      </c>
      <c r="G1098" s="15">
        <v>-1.1000000000000001E-3</v>
      </c>
    </row>
    <row r="1099" spans="1:7" x14ac:dyDescent="0.35">
      <c r="A1099" s="12" t="s">
        <v>2156</v>
      </c>
      <c r="B1099" s="13">
        <v>2749.7</v>
      </c>
      <c r="C1099" s="13">
        <v>2746</v>
      </c>
      <c r="D1099" s="13">
        <v>2759.5</v>
      </c>
      <c r="E1099" s="13">
        <v>2733.4</v>
      </c>
      <c r="F1099" s="14" t="s">
        <v>2157</v>
      </c>
      <c r="G1099" s="15">
        <v>1.2999999999999999E-3</v>
      </c>
    </row>
    <row r="1100" spans="1:7" x14ac:dyDescent="0.35">
      <c r="A1100" s="12" t="s">
        <v>2158</v>
      </c>
      <c r="B1100" s="13">
        <v>2676.3</v>
      </c>
      <c r="C1100" s="13">
        <v>2752.6</v>
      </c>
      <c r="D1100" s="13">
        <v>2758.8</v>
      </c>
      <c r="E1100" s="13">
        <v>2660.7</v>
      </c>
      <c r="F1100" s="14" t="s">
        <v>2159</v>
      </c>
      <c r="G1100" s="15">
        <v>-2.6700000000000002E-2</v>
      </c>
    </row>
    <row r="1101" spans="1:7" x14ac:dyDescent="0.35">
      <c r="A1101" s="12" t="s">
        <v>2160</v>
      </c>
      <c r="B1101" s="13">
        <v>2705.8</v>
      </c>
      <c r="C1101" s="13">
        <v>2667.7</v>
      </c>
      <c r="D1101" s="13">
        <v>2718.3</v>
      </c>
      <c r="E1101" s="13">
        <v>2650.3</v>
      </c>
      <c r="F1101" s="14" t="s">
        <v>2161</v>
      </c>
      <c r="G1101" s="15">
        <v>1.0999999999999999E-2</v>
      </c>
    </row>
    <row r="1102" spans="1:7" x14ac:dyDescent="0.35">
      <c r="A1102" s="12" t="s">
        <v>2162</v>
      </c>
      <c r="B1102" s="13">
        <v>2617.6999999999998</v>
      </c>
      <c r="C1102" s="13">
        <v>2692.1</v>
      </c>
      <c r="D1102" s="13">
        <v>2693.4</v>
      </c>
      <c r="E1102" s="13">
        <v>2617.1</v>
      </c>
      <c r="F1102" s="14" t="s">
        <v>2163</v>
      </c>
      <c r="G1102" s="15">
        <v>-3.2599999999999997E-2</v>
      </c>
    </row>
    <row r="1103" spans="1:7" x14ac:dyDescent="0.35">
      <c r="A1103" s="12" t="s">
        <v>2164</v>
      </c>
      <c r="B1103" s="13">
        <v>2606.3000000000002</v>
      </c>
      <c r="C1103" s="13">
        <v>2625.7</v>
      </c>
      <c r="D1103" s="13">
        <v>2633.4</v>
      </c>
      <c r="E1103" s="13">
        <v>2595.6999999999998</v>
      </c>
      <c r="F1103" s="14" t="s">
        <v>2165</v>
      </c>
      <c r="G1103" s="15">
        <v>-4.4000000000000003E-3</v>
      </c>
    </row>
    <row r="1104" spans="1:7" x14ac:dyDescent="0.35">
      <c r="A1104" s="12" t="s">
        <v>2166</v>
      </c>
      <c r="B1104" s="13">
        <v>2586.5</v>
      </c>
      <c r="C1104" s="13">
        <v>2604.6999999999998</v>
      </c>
      <c r="D1104" s="13">
        <v>2625</v>
      </c>
      <c r="E1104" s="13">
        <v>2578.1</v>
      </c>
      <c r="F1104" s="14" t="s">
        <v>2167</v>
      </c>
      <c r="G1104" s="15">
        <v>-7.6E-3</v>
      </c>
    </row>
    <row r="1105" spans="1:7" x14ac:dyDescent="0.35">
      <c r="A1105" s="12" t="s">
        <v>2168</v>
      </c>
      <c r="B1105" s="13">
        <v>2572.9</v>
      </c>
      <c r="C1105" s="13">
        <v>2578.1</v>
      </c>
      <c r="D1105" s="13">
        <v>2585.8000000000002</v>
      </c>
      <c r="E1105" s="13">
        <v>2541.5</v>
      </c>
      <c r="F1105" s="14" t="s">
        <v>2169</v>
      </c>
      <c r="G1105" s="15">
        <v>-5.3E-3</v>
      </c>
    </row>
    <row r="1106" spans="1:7" x14ac:dyDescent="0.35">
      <c r="A1106" s="12" t="s">
        <v>2170</v>
      </c>
      <c r="B1106" s="13">
        <v>2614.6</v>
      </c>
      <c r="C1106" s="13">
        <v>2571.5</v>
      </c>
      <c r="D1106" s="13">
        <v>2619.5</v>
      </c>
      <c r="E1106" s="13">
        <v>2568.5</v>
      </c>
      <c r="F1106" s="14" t="s">
        <v>2171</v>
      </c>
      <c r="G1106" s="15">
        <v>1.6199999999999999E-2</v>
      </c>
    </row>
    <row r="1107" spans="1:7" x14ac:dyDescent="0.35">
      <c r="A1107" s="12" t="s">
        <v>2172</v>
      </c>
      <c r="B1107" s="13">
        <v>2631</v>
      </c>
      <c r="C1107" s="13">
        <v>2616.3000000000002</v>
      </c>
      <c r="D1107" s="13">
        <v>2643.4</v>
      </c>
      <c r="E1107" s="13">
        <v>2614.1999999999998</v>
      </c>
      <c r="F1107" s="14" t="s">
        <v>2173</v>
      </c>
      <c r="G1107" s="15">
        <v>6.3E-3</v>
      </c>
    </row>
    <row r="1108" spans="1:7" x14ac:dyDescent="0.35">
      <c r="A1108" s="12" t="s">
        <v>2174</v>
      </c>
      <c r="B1108" s="13">
        <v>2651.7</v>
      </c>
      <c r="C1108" s="13">
        <v>2635.8</v>
      </c>
      <c r="D1108" s="13">
        <v>2659</v>
      </c>
      <c r="E1108" s="13">
        <v>2621.9</v>
      </c>
      <c r="F1108" s="14" t="s">
        <v>2175</v>
      </c>
      <c r="G1108" s="15">
        <v>7.9000000000000008E-3</v>
      </c>
    </row>
    <row r="1109" spans="1:7" x14ac:dyDescent="0.35">
      <c r="A1109" s="12" t="s">
        <v>2176</v>
      </c>
      <c r="B1109" s="13">
        <v>2674.9</v>
      </c>
      <c r="C1109" s="13">
        <v>2653.5</v>
      </c>
      <c r="D1109" s="13">
        <v>2676.5</v>
      </c>
      <c r="E1109" s="13">
        <v>2651.6</v>
      </c>
      <c r="F1109" s="14" t="s">
        <v>616</v>
      </c>
      <c r="G1109" s="15">
        <v>8.6999999999999994E-3</v>
      </c>
    </row>
    <row r="1110" spans="1:7" x14ac:dyDescent="0.35">
      <c r="A1110" s="12" t="s">
        <v>2177</v>
      </c>
      <c r="B1110" s="13">
        <v>2618.5</v>
      </c>
      <c r="C1110" s="13">
        <v>2716.9</v>
      </c>
      <c r="D1110" s="13">
        <v>2723.2</v>
      </c>
      <c r="E1110" s="13">
        <v>2616.6</v>
      </c>
      <c r="F1110" s="14" t="s">
        <v>2178</v>
      </c>
      <c r="G1110" s="15">
        <v>-2.1100000000000001E-2</v>
      </c>
    </row>
    <row r="1111" spans="1:7" x14ac:dyDescent="0.35">
      <c r="A1111" s="12" t="s">
        <v>2179</v>
      </c>
      <c r="B1111" s="13">
        <v>2621.3000000000002</v>
      </c>
      <c r="C1111" s="13">
        <v>2626.2</v>
      </c>
      <c r="D1111" s="13">
        <v>2642.7</v>
      </c>
      <c r="E1111" s="13">
        <v>2605.3000000000002</v>
      </c>
      <c r="F1111" s="14" t="s">
        <v>2180</v>
      </c>
      <c r="G1111" s="15">
        <v>1.1000000000000001E-3</v>
      </c>
    </row>
    <row r="1112" spans="1:7" x14ac:dyDescent="0.35">
      <c r="A1112" s="12" t="s">
        <v>2181</v>
      </c>
      <c r="B1112" s="13">
        <v>2652.3</v>
      </c>
      <c r="C1112" s="13">
        <v>2646.4</v>
      </c>
      <c r="D1112" s="13">
        <v>2670.7</v>
      </c>
      <c r="E1112" s="13">
        <v>2641.1</v>
      </c>
      <c r="F1112" s="14" t="s">
        <v>2182</v>
      </c>
      <c r="G1112" s="15">
        <v>1.18E-2</v>
      </c>
    </row>
    <row r="1113" spans="1:7" x14ac:dyDescent="0.35">
      <c r="A1113" s="12" t="s">
        <v>2183</v>
      </c>
      <c r="B1113" s="13">
        <v>2646.5</v>
      </c>
      <c r="C1113" s="13">
        <v>2663.7</v>
      </c>
      <c r="D1113" s="13">
        <v>2663.9</v>
      </c>
      <c r="E1113" s="13">
        <v>2633.5</v>
      </c>
      <c r="F1113" s="14" t="s">
        <v>2184</v>
      </c>
      <c r="G1113" s="15">
        <v>-2.2000000000000001E-3</v>
      </c>
    </row>
    <row r="1114" spans="1:7" x14ac:dyDescent="0.35">
      <c r="A1114" s="12" t="s">
        <v>2185</v>
      </c>
      <c r="B1114" s="13">
        <v>2655.9</v>
      </c>
      <c r="C1114" s="13">
        <v>2652</v>
      </c>
      <c r="D1114" s="13">
        <v>2665</v>
      </c>
      <c r="E1114" s="13">
        <v>2645</v>
      </c>
      <c r="F1114" s="14" t="s">
        <v>2186</v>
      </c>
      <c r="G1114" s="15">
        <v>3.5999999999999999E-3</v>
      </c>
    </row>
    <row r="1115" spans="1:7" x14ac:dyDescent="0.35">
      <c r="A1115" s="12" t="s">
        <v>2187</v>
      </c>
      <c r="B1115" s="13">
        <v>2664.3</v>
      </c>
      <c r="C1115" s="13">
        <v>2651.3</v>
      </c>
      <c r="D1115" s="13">
        <v>2670</v>
      </c>
      <c r="E1115" s="13">
        <v>2643.8</v>
      </c>
      <c r="F1115" s="14" t="s">
        <v>2188</v>
      </c>
      <c r="G1115" s="15">
        <v>3.2000000000000002E-3</v>
      </c>
    </row>
    <row r="1116" spans="1:7" x14ac:dyDescent="0.35">
      <c r="A1116" s="12" t="s">
        <v>2189</v>
      </c>
      <c r="B1116" s="13">
        <v>2636.1</v>
      </c>
      <c r="C1116" s="13">
        <v>2661.9</v>
      </c>
      <c r="D1116" s="13">
        <v>2667.3</v>
      </c>
      <c r="E1116" s="13">
        <v>2634.5</v>
      </c>
      <c r="F1116" s="14" t="s">
        <v>2190</v>
      </c>
      <c r="G1116" s="15">
        <v>-1.06E-2</v>
      </c>
    </row>
    <row r="1117" spans="1:7" x14ac:dyDescent="0.35">
      <c r="A1117" s="12" t="s">
        <v>2191</v>
      </c>
      <c r="B1117" s="13">
        <v>2673.3</v>
      </c>
      <c r="C1117" s="13">
        <v>2654.5</v>
      </c>
      <c r="D1117" s="13">
        <v>2687</v>
      </c>
      <c r="E1117" s="13">
        <v>2637.5</v>
      </c>
      <c r="F1117" s="14" t="s">
        <v>2192</v>
      </c>
      <c r="G1117" s="15">
        <v>1.41E-2</v>
      </c>
    </row>
    <row r="1118" spans="1:7" x14ac:dyDescent="0.35">
      <c r="A1118" s="12" t="s">
        <v>2193</v>
      </c>
      <c r="B1118" s="13">
        <v>2705.6</v>
      </c>
      <c r="C1118" s="13">
        <v>2669.8</v>
      </c>
      <c r="D1118" s="13">
        <v>2708.8</v>
      </c>
      <c r="E1118" s="13">
        <v>2669.8</v>
      </c>
      <c r="F1118" s="14" t="s">
        <v>2194</v>
      </c>
      <c r="G1118" s="15">
        <v>1.21E-2</v>
      </c>
    </row>
    <row r="1119" spans="1:7" x14ac:dyDescent="0.35">
      <c r="A1119" s="12" t="s">
        <v>2195</v>
      </c>
      <c r="B1119" s="13">
        <v>2741.5</v>
      </c>
      <c r="C1119" s="13">
        <v>2708.8</v>
      </c>
      <c r="D1119" s="13">
        <v>2743.8</v>
      </c>
      <c r="E1119" s="13">
        <v>2700.3</v>
      </c>
      <c r="F1119" s="14" t="s">
        <v>2196</v>
      </c>
      <c r="G1119" s="15">
        <v>1.3299999999999999E-2</v>
      </c>
    </row>
    <row r="1120" spans="1:7" x14ac:dyDescent="0.35">
      <c r="A1120" s="12" t="s">
        <v>2197</v>
      </c>
      <c r="B1120" s="13">
        <v>2695.1</v>
      </c>
      <c r="C1120" s="13">
        <v>2737.8</v>
      </c>
      <c r="D1120" s="13">
        <v>2743.5</v>
      </c>
      <c r="E1120" s="13">
        <v>2683.3</v>
      </c>
      <c r="F1120" s="14" t="s">
        <v>2198</v>
      </c>
      <c r="G1120" s="15">
        <v>-1.6899999999999998E-2</v>
      </c>
    </row>
    <row r="1121" spans="1:7" x14ac:dyDescent="0.35">
      <c r="A1121" s="12" t="s">
        <v>2199</v>
      </c>
      <c r="B1121" s="13">
        <v>2657</v>
      </c>
      <c r="C1121" s="13">
        <v>2654.6</v>
      </c>
      <c r="D1121" s="13">
        <v>2669.7</v>
      </c>
      <c r="E1121" s="13">
        <v>2648.3</v>
      </c>
      <c r="F1121" s="14" t="s">
        <v>2200</v>
      </c>
      <c r="G1121" s="15">
        <v>-1.41E-2</v>
      </c>
    </row>
    <row r="1122" spans="1:7" x14ac:dyDescent="0.35">
      <c r="A1122" s="12" t="s">
        <v>2201</v>
      </c>
      <c r="B1122" s="13">
        <v>2649.6</v>
      </c>
      <c r="C1122" s="13">
        <v>2657.2</v>
      </c>
      <c r="D1122" s="13">
        <v>2662.5</v>
      </c>
      <c r="E1122" s="13">
        <v>2634.3</v>
      </c>
      <c r="F1122" s="14" t="s">
        <v>2202</v>
      </c>
      <c r="G1122" s="15">
        <v>-2.8E-3</v>
      </c>
    </row>
    <row r="1123" spans="1:7" x14ac:dyDescent="0.35">
      <c r="A1123" s="12" t="s">
        <v>2203</v>
      </c>
      <c r="B1123" s="13">
        <v>2640.8</v>
      </c>
      <c r="C1123" s="13">
        <v>2651.2</v>
      </c>
      <c r="D1123" s="13">
        <v>2654.3</v>
      </c>
      <c r="E1123" s="13">
        <v>2587.1999999999998</v>
      </c>
      <c r="F1123" s="14" t="s">
        <v>2204</v>
      </c>
      <c r="G1123" s="15">
        <v>-3.3E-3</v>
      </c>
    </row>
    <row r="1124" spans="1:7" x14ac:dyDescent="0.35">
      <c r="A1124" s="12" t="s">
        <v>2205</v>
      </c>
      <c r="B1124" s="13">
        <v>2596</v>
      </c>
      <c r="C1124" s="13">
        <v>2586</v>
      </c>
      <c r="D1124" s="13">
        <v>2625</v>
      </c>
      <c r="E1124" s="13">
        <v>2585.9</v>
      </c>
      <c r="F1124" s="14" t="s">
        <v>2206</v>
      </c>
      <c r="G1124" s="15">
        <v>-1.7000000000000001E-2</v>
      </c>
    </row>
    <row r="1125" spans="1:7" x14ac:dyDescent="0.35">
      <c r="A1125" s="12" t="s">
        <v>2207</v>
      </c>
      <c r="B1125" s="13">
        <v>2615.5</v>
      </c>
      <c r="C1125" s="13">
        <v>2627.3</v>
      </c>
      <c r="D1125" s="13">
        <v>2632.9</v>
      </c>
      <c r="E1125" s="13">
        <v>2610.1999999999998</v>
      </c>
      <c r="F1125" s="14" t="s">
        <v>2208</v>
      </c>
      <c r="G1125" s="15">
        <v>7.4999999999999997E-3</v>
      </c>
    </row>
    <row r="1126" spans="1:7" x14ac:dyDescent="0.35">
      <c r="A1126" s="12" t="s">
        <v>2209</v>
      </c>
      <c r="B1126" s="13">
        <v>2640.3</v>
      </c>
      <c r="C1126" s="13">
        <v>2623.3</v>
      </c>
      <c r="D1126" s="13">
        <v>2642.4</v>
      </c>
      <c r="E1126" s="13">
        <v>2622.8</v>
      </c>
      <c r="F1126" s="14" t="s">
        <v>2210</v>
      </c>
      <c r="G1126" s="15">
        <v>9.4999999999999998E-3</v>
      </c>
    </row>
    <row r="1127" spans="1:7" x14ac:dyDescent="0.35">
      <c r="A1127" s="12" t="s">
        <v>2211</v>
      </c>
      <c r="B1127" s="13">
        <v>2618.1</v>
      </c>
      <c r="C1127" s="13">
        <v>2636.1</v>
      </c>
      <c r="D1127" s="13">
        <v>2640.7</v>
      </c>
      <c r="E1127" s="13">
        <v>2608.4</v>
      </c>
      <c r="F1127" s="14" t="s">
        <v>2212</v>
      </c>
      <c r="G1127" s="15">
        <v>-8.3999999999999995E-3</v>
      </c>
    </row>
    <row r="1128" spans="1:7" x14ac:dyDescent="0.35">
      <c r="A1128" s="12" t="s">
        <v>2213</v>
      </c>
      <c r="B1128" s="13">
        <v>2669</v>
      </c>
      <c r="C1128" s="13">
        <v>2641</v>
      </c>
      <c r="D1128" s="13">
        <v>2674.2</v>
      </c>
      <c r="E1128" s="13">
        <v>2636.1</v>
      </c>
      <c r="F1128" s="14" t="s">
        <v>2214</v>
      </c>
      <c r="G1128" s="15">
        <v>1.9400000000000001E-2</v>
      </c>
    </row>
    <row r="1129" spans="1:7" x14ac:dyDescent="0.35">
      <c r="A1129" s="12" t="s">
        <v>2215</v>
      </c>
      <c r="B1129" s="13">
        <v>2647.4</v>
      </c>
      <c r="C1129" s="13">
        <v>2652.8</v>
      </c>
      <c r="D1129" s="13">
        <v>2663.8</v>
      </c>
      <c r="E1129" s="13">
        <v>2624.6</v>
      </c>
      <c r="F1129" s="14" t="s">
        <v>2216</v>
      </c>
      <c r="G1129" s="15">
        <v>-8.0999999999999996E-3</v>
      </c>
    </row>
    <row r="1130" spans="1:7" x14ac:dyDescent="0.35">
      <c r="A1130" s="12" t="s">
        <v>2217</v>
      </c>
      <c r="B1130" s="13">
        <v>2665.4</v>
      </c>
      <c r="C1130" s="13">
        <v>2647.1</v>
      </c>
      <c r="D1130" s="13">
        <v>2678.5</v>
      </c>
      <c r="E1130" s="13">
        <v>2643.5</v>
      </c>
      <c r="F1130" s="14" t="s">
        <v>1539</v>
      </c>
      <c r="G1130" s="15">
        <v>6.7999999999999996E-3</v>
      </c>
    </row>
    <row r="1131" spans="1:7" x14ac:dyDescent="0.35">
      <c r="A1131" s="12" t="s">
        <v>2218</v>
      </c>
      <c r="B1131" s="13">
        <v>2672.4</v>
      </c>
      <c r="C1131" s="13">
        <v>2662.9</v>
      </c>
      <c r="D1131" s="13">
        <v>2687</v>
      </c>
      <c r="E1131" s="13">
        <v>2658.4</v>
      </c>
      <c r="F1131" s="14" t="s">
        <v>2219</v>
      </c>
      <c r="G1131" s="15">
        <v>2.5999999999999999E-3</v>
      </c>
    </row>
    <row r="1132" spans="1:7" x14ac:dyDescent="0.35">
      <c r="A1132" s="12" t="s">
        <v>2220</v>
      </c>
      <c r="B1132" s="13">
        <v>2690.8</v>
      </c>
      <c r="C1132" s="13">
        <v>2679.9</v>
      </c>
      <c r="D1132" s="13">
        <v>2696.8</v>
      </c>
      <c r="E1132" s="13">
        <v>2673.7</v>
      </c>
      <c r="F1132" s="14" t="s">
        <v>2221</v>
      </c>
      <c r="G1132" s="15">
        <v>6.8999999999999999E-3</v>
      </c>
    </row>
    <row r="1133" spans="1:7" x14ac:dyDescent="0.35">
      <c r="A1133" s="12" t="s">
        <v>2222</v>
      </c>
      <c r="B1133" s="13">
        <v>2678.6</v>
      </c>
      <c r="C1133" s="13">
        <v>2716.8</v>
      </c>
      <c r="D1133" s="13">
        <v>2723.8</v>
      </c>
      <c r="E1133" s="13">
        <v>2675.2</v>
      </c>
      <c r="F1133" s="14" t="s">
        <v>2223</v>
      </c>
      <c r="G1133" s="15">
        <v>-4.4999999999999997E-3</v>
      </c>
    </row>
    <row r="1134" spans="1:7" x14ac:dyDescent="0.35">
      <c r="A1134" s="12" t="s">
        <v>2224</v>
      </c>
      <c r="B1134" s="13">
        <v>2682.3</v>
      </c>
      <c r="C1134" s="13">
        <v>2682</v>
      </c>
      <c r="D1134" s="13">
        <v>2693.7</v>
      </c>
      <c r="E1134" s="13">
        <v>2672</v>
      </c>
      <c r="F1134" s="14" t="s">
        <v>2225</v>
      </c>
      <c r="G1134" s="15">
        <v>1.4E-3</v>
      </c>
    </row>
    <row r="1135" spans="1:7" x14ac:dyDescent="0.35">
      <c r="A1135" s="12" t="s">
        <v>2226</v>
      </c>
      <c r="B1135" s="13">
        <v>2717.8</v>
      </c>
      <c r="C1135" s="13">
        <v>2693.3</v>
      </c>
      <c r="D1135" s="13">
        <v>2722.7</v>
      </c>
      <c r="E1135" s="13">
        <v>2685.4</v>
      </c>
      <c r="F1135" s="14" t="s">
        <v>2227</v>
      </c>
      <c r="G1135" s="15">
        <v>1.32E-2</v>
      </c>
    </row>
    <row r="1136" spans="1:7" x14ac:dyDescent="0.35">
      <c r="A1136" s="12" t="s">
        <v>2228</v>
      </c>
      <c r="B1136" s="13">
        <v>2750.9</v>
      </c>
      <c r="C1136" s="13">
        <v>2722.3</v>
      </c>
      <c r="D1136" s="13">
        <v>2757.9</v>
      </c>
      <c r="E1136" s="13">
        <v>2720.4</v>
      </c>
      <c r="F1136" s="14" t="s">
        <v>2229</v>
      </c>
      <c r="G1136" s="15">
        <v>1.2200000000000001E-2</v>
      </c>
    </row>
    <row r="1137" spans="1:7" x14ac:dyDescent="0.35">
      <c r="A1137" s="12" t="s">
        <v>2230</v>
      </c>
      <c r="B1137" s="13">
        <v>2785.6</v>
      </c>
      <c r="C1137" s="13">
        <v>2766</v>
      </c>
      <c r="D1137" s="13">
        <v>2788.4</v>
      </c>
      <c r="E1137" s="13">
        <v>2741.5</v>
      </c>
      <c r="F1137" s="14" t="s">
        <v>2231</v>
      </c>
      <c r="G1137" s="15">
        <v>1.26E-2</v>
      </c>
    </row>
    <row r="1138" spans="1:7" x14ac:dyDescent="0.35">
      <c r="A1138" s="12" t="s">
        <v>2232</v>
      </c>
      <c r="B1138" s="13">
        <v>2797.4</v>
      </c>
      <c r="C1138" s="13">
        <v>2784.5</v>
      </c>
      <c r="D1138" s="13">
        <v>2800.3</v>
      </c>
      <c r="E1138" s="13">
        <v>2782.5</v>
      </c>
      <c r="F1138" s="14" t="s">
        <v>2233</v>
      </c>
      <c r="G1138" s="15">
        <v>4.1999999999999997E-3</v>
      </c>
    </row>
    <row r="1139" spans="1:7" x14ac:dyDescent="0.35">
      <c r="A1139" s="12" t="s">
        <v>2234</v>
      </c>
      <c r="B1139" s="13">
        <v>2778.3</v>
      </c>
      <c r="C1139" s="13">
        <v>2778.1</v>
      </c>
      <c r="D1139" s="13">
        <v>2780.2</v>
      </c>
      <c r="E1139" s="13">
        <v>2754.7</v>
      </c>
      <c r="F1139" s="14" t="s">
        <v>2235</v>
      </c>
      <c r="G1139" s="15">
        <v>-6.7999999999999996E-3</v>
      </c>
    </row>
    <row r="1140" spans="1:7" x14ac:dyDescent="0.35">
      <c r="A1140" s="12" t="s">
        <v>2236</v>
      </c>
      <c r="B1140" s="13">
        <v>2752.4</v>
      </c>
      <c r="C1140" s="13">
        <v>2791</v>
      </c>
      <c r="D1140" s="13">
        <v>2791</v>
      </c>
      <c r="E1140" s="13">
        <v>2746.8</v>
      </c>
      <c r="F1140" s="14" t="s">
        <v>2237</v>
      </c>
      <c r="G1140" s="15">
        <v>-9.2999999999999992E-3</v>
      </c>
    </row>
    <row r="1141" spans="1:7" x14ac:dyDescent="0.35">
      <c r="A1141" s="12" t="s">
        <v>2238</v>
      </c>
      <c r="B1141" s="13">
        <v>2781</v>
      </c>
      <c r="C1141" s="13">
        <v>2757</v>
      </c>
      <c r="D1141" s="13">
        <v>2786.9</v>
      </c>
      <c r="E1141" s="13">
        <v>2752.9</v>
      </c>
      <c r="F1141" s="14" t="s">
        <v>2239</v>
      </c>
      <c r="G1141" s="15">
        <v>1.04E-2</v>
      </c>
    </row>
    <row r="1142" spans="1:7" x14ac:dyDescent="0.35">
      <c r="A1142" s="12" t="s">
        <v>2240</v>
      </c>
      <c r="B1142" s="13">
        <v>2781.5</v>
      </c>
      <c r="C1142" s="13">
        <v>2784.9</v>
      </c>
      <c r="D1142" s="13">
        <v>2790.1</v>
      </c>
      <c r="E1142" s="13">
        <v>2772.8</v>
      </c>
      <c r="F1142" s="14" t="s">
        <v>2241</v>
      </c>
      <c r="G1142" s="15">
        <v>2.0000000000000001E-4</v>
      </c>
    </row>
    <row r="1143" spans="1:7" x14ac:dyDescent="0.35">
      <c r="A1143" s="12" t="s">
        <v>2242</v>
      </c>
      <c r="B1143" s="13">
        <v>2845.2</v>
      </c>
      <c r="C1143" s="13">
        <v>2796.2</v>
      </c>
      <c r="D1143" s="13">
        <v>2853.2</v>
      </c>
      <c r="E1143" s="13">
        <v>2794.9</v>
      </c>
      <c r="F1143" s="14" t="s">
        <v>2243</v>
      </c>
      <c r="G1143" s="15">
        <v>2.29E-2</v>
      </c>
    </row>
    <row r="1144" spans="1:7" x14ac:dyDescent="0.35">
      <c r="A1144" s="12" t="s">
        <v>2244</v>
      </c>
      <c r="B1144" s="13">
        <v>2857.1</v>
      </c>
      <c r="C1144" s="13">
        <v>2846.5</v>
      </c>
      <c r="D1144" s="13">
        <v>2872</v>
      </c>
      <c r="E1144" s="13">
        <v>2802.2</v>
      </c>
      <c r="F1144" s="14" t="s">
        <v>2245</v>
      </c>
      <c r="G1144" s="15">
        <v>4.1999999999999997E-3</v>
      </c>
    </row>
    <row r="1145" spans="1:7" x14ac:dyDescent="0.35">
      <c r="A1145" s="12" t="s">
        <v>2246</v>
      </c>
      <c r="B1145" s="13">
        <v>2875.8</v>
      </c>
      <c r="C1145" s="13">
        <v>2850.4</v>
      </c>
      <c r="D1145" s="13">
        <v>2877.1</v>
      </c>
      <c r="E1145" s="13">
        <v>2837.4</v>
      </c>
      <c r="F1145" s="14" t="s">
        <v>2247</v>
      </c>
      <c r="G1145" s="15">
        <v>6.4999999999999997E-3</v>
      </c>
    </row>
    <row r="1146" spans="1:7" x14ac:dyDescent="0.35">
      <c r="A1146" s="12" t="s">
        <v>2248</v>
      </c>
      <c r="B1146" s="13">
        <v>2893</v>
      </c>
      <c r="C1146" s="13">
        <v>2873.7</v>
      </c>
      <c r="D1146" s="13">
        <v>2906</v>
      </c>
      <c r="E1146" s="13">
        <v>2870.1</v>
      </c>
      <c r="F1146" s="14" t="s">
        <v>2249</v>
      </c>
      <c r="G1146" s="15">
        <v>6.0000000000000001E-3</v>
      </c>
    </row>
    <row r="1147" spans="1:7" x14ac:dyDescent="0.35">
      <c r="A1147" s="12" t="s">
        <v>2250</v>
      </c>
      <c r="B1147" s="13">
        <v>2876.7</v>
      </c>
      <c r="C1147" s="13">
        <v>2885</v>
      </c>
      <c r="D1147" s="13">
        <v>2894.2</v>
      </c>
      <c r="E1147" s="13">
        <v>2855</v>
      </c>
      <c r="F1147" s="14" t="s">
        <v>2251</v>
      </c>
      <c r="G1147" s="15">
        <v>-5.5999999999999999E-3</v>
      </c>
    </row>
    <row r="1148" spans="1:7" x14ac:dyDescent="0.35">
      <c r="A1148" s="12" t="s">
        <v>2252</v>
      </c>
      <c r="B1148" s="13">
        <v>2934.4</v>
      </c>
      <c r="C1148" s="13">
        <v>2884.8</v>
      </c>
      <c r="D1148" s="13">
        <v>2938.1</v>
      </c>
      <c r="E1148" s="13">
        <v>2879.9</v>
      </c>
      <c r="F1148" s="14" t="s">
        <v>2253</v>
      </c>
      <c r="G1148" s="15">
        <v>2.01E-2</v>
      </c>
    </row>
    <row r="1149" spans="1:7" x14ac:dyDescent="0.35">
      <c r="A1149" s="12" t="s">
        <v>2254</v>
      </c>
      <c r="B1149" s="13">
        <v>2932.6</v>
      </c>
      <c r="C1149" s="13">
        <v>2937</v>
      </c>
      <c r="D1149" s="13">
        <v>2968.5</v>
      </c>
      <c r="E1149" s="13">
        <v>2907</v>
      </c>
      <c r="F1149" s="14" t="s">
        <v>2255</v>
      </c>
      <c r="G1149" s="15">
        <v>-5.9999999999999995E-4</v>
      </c>
    </row>
    <row r="1150" spans="1:7" x14ac:dyDescent="0.35">
      <c r="A1150" s="12" t="s">
        <v>2256</v>
      </c>
      <c r="B1150" s="13">
        <v>2928.7</v>
      </c>
      <c r="C1150" s="13">
        <v>2927</v>
      </c>
      <c r="D1150" s="13">
        <v>2936.5</v>
      </c>
      <c r="E1150" s="13">
        <v>2886.5</v>
      </c>
      <c r="F1150" s="14" t="s">
        <v>2257</v>
      </c>
      <c r="G1150" s="15">
        <v>-1.2999999999999999E-3</v>
      </c>
    </row>
    <row r="1151" spans="1:7" x14ac:dyDescent="0.35">
      <c r="A1151" s="12" t="s">
        <v>2258</v>
      </c>
      <c r="B1151" s="13">
        <v>2945.4</v>
      </c>
      <c r="C1151" s="13">
        <v>2928.8</v>
      </c>
      <c r="D1151" s="13">
        <v>2958.8</v>
      </c>
      <c r="E1151" s="13">
        <v>2925.8</v>
      </c>
      <c r="F1151" s="14" t="s">
        <v>2259</v>
      </c>
      <c r="G1151" s="15">
        <v>5.7000000000000002E-3</v>
      </c>
    </row>
    <row r="1152" spans="1:7" x14ac:dyDescent="0.35">
      <c r="A1152" s="12" t="s">
        <v>2260</v>
      </c>
      <c r="B1152" s="13">
        <v>2949</v>
      </c>
      <c r="C1152" s="13">
        <v>2895.1</v>
      </c>
      <c r="D1152" s="13">
        <v>2956.5</v>
      </c>
      <c r="E1152" s="13">
        <v>2887.6</v>
      </c>
      <c r="F1152" s="14" t="s">
        <v>2261</v>
      </c>
      <c r="G1152" s="15">
        <v>1.1999999999999999E-3</v>
      </c>
    </row>
    <row r="1153" spans="1:7" x14ac:dyDescent="0.35">
      <c r="A1153" s="12" t="s">
        <v>2262</v>
      </c>
      <c r="B1153" s="13">
        <v>2936.1</v>
      </c>
      <c r="C1153" s="13">
        <v>2954.1</v>
      </c>
      <c r="D1153" s="13">
        <v>2964.4</v>
      </c>
      <c r="E1153" s="13">
        <v>2933.7</v>
      </c>
      <c r="F1153" s="14" t="s">
        <v>1991</v>
      </c>
      <c r="G1153" s="15">
        <v>-4.4000000000000003E-3</v>
      </c>
    </row>
    <row r="1154" spans="1:7" x14ac:dyDescent="0.35">
      <c r="A1154" s="12" t="s">
        <v>2263</v>
      </c>
      <c r="B1154" s="13">
        <v>2956.1</v>
      </c>
      <c r="C1154" s="13">
        <v>2949.5</v>
      </c>
      <c r="D1154" s="13">
        <v>2973.4</v>
      </c>
      <c r="E1154" s="13">
        <v>2939.3</v>
      </c>
      <c r="F1154" s="14" t="s">
        <v>2264</v>
      </c>
      <c r="G1154" s="15">
        <v>6.7999999999999996E-3</v>
      </c>
    </row>
    <row r="1155" spans="1:7" x14ac:dyDescent="0.35">
      <c r="A1155" s="12" t="s">
        <v>2265</v>
      </c>
      <c r="B1155" s="13">
        <v>2949.7</v>
      </c>
      <c r="C1155" s="13">
        <v>2939.3</v>
      </c>
      <c r="D1155" s="13">
        <v>2960</v>
      </c>
      <c r="E1155" s="13">
        <v>2926.4</v>
      </c>
      <c r="F1155" s="14" t="s">
        <v>2266</v>
      </c>
      <c r="G1155" s="15">
        <v>-2.2000000000000001E-3</v>
      </c>
    </row>
    <row r="1156" spans="1:7" x14ac:dyDescent="0.35">
      <c r="A1156" s="12" t="s">
        <v>2267</v>
      </c>
      <c r="B1156" s="13">
        <v>2906</v>
      </c>
      <c r="C1156" s="13">
        <v>2955.9</v>
      </c>
      <c r="D1156" s="13">
        <v>2955.9</v>
      </c>
      <c r="E1156" s="13">
        <v>2884.5</v>
      </c>
      <c r="F1156" s="14" t="s">
        <v>2001</v>
      </c>
      <c r="G1156" s="15">
        <v>-1.4800000000000001E-2</v>
      </c>
    </row>
    <row r="1157" spans="1:7" x14ac:dyDescent="0.35">
      <c r="A1157" s="12" t="s">
        <v>2268</v>
      </c>
      <c r="B1157" s="13">
        <v>2917.8</v>
      </c>
      <c r="C1157" s="13">
        <v>2915.6</v>
      </c>
      <c r="D1157" s="13">
        <v>2926.4</v>
      </c>
      <c r="E1157" s="13">
        <v>2891</v>
      </c>
      <c r="F1157" s="14" t="s">
        <v>2269</v>
      </c>
      <c r="G1157" s="15">
        <v>4.1000000000000003E-3</v>
      </c>
    </row>
    <row r="1158" spans="1:7" x14ac:dyDescent="0.35">
      <c r="A1158" s="12" t="s">
        <v>2270</v>
      </c>
      <c r="B1158" s="13">
        <v>2895.9</v>
      </c>
      <c r="C1158" s="13">
        <v>2931.4</v>
      </c>
      <c r="D1158" s="13">
        <v>2935.8</v>
      </c>
      <c r="E1158" s="13">
        <v>2879</v>
      </c>
      <c r="F1158" s="14" t="s">
        <v>2271</v>
      </c>
      <c r="G1158" s="15">
        <v>-7.4999999999999997E-3</v>
      </c>
    </row>
    <row r="1159" spans="1:7" x14ac:dyDescent="0.35">
      <c r="A1159" s="12" t="s">
        <v>2272</v>
      </c>
      <c r="B1159" s="13">
        <v>2901.1</v>
      </c>
      <c r="C1159" s="13">
        <v>2872</v>
      </c>
      <c r="D1159" s="13">
        <v>2906.4</v>
      </c>
      <c r="E1159" s="13">
        <v>2866.3</v>
      </c>
      <c r="F1159" s="14" t="s">
        <v>2273</v>
      </c>
      <c r="G1159" s="15">
        <v>1.8E-3</v>
      </c>
    </row>
    <row r="1160" spans="1:7" x14ac:dyDescent="0.35">
      <c r="A1160" s="12" t="s">
        <v>2274</v>
      </c>
      <c r="B1160" s="13">
        <v>2920.6</v>
      </c>
      <c r="C1160" s="13">
        <v>2904.2</v>
      </c>
      <c r="D1160" s="13">
        <v>2939.8</v>
      </c>
      <c r="E1160" s="13">
        <v>2892.5</v>
      </c>
      <c r="F1160" s="14" t="s">
        <v>2275</v>
      </c>
      <c r="G1160" s="15">
        <v>6.7000000000000002E-3</v>
      </c>
    </row>
    <row r="1161" spans="1:7" x14ac:dyDescent="0.35">
      <c r="A1161" s="12" t="s">
        <v>2276</v>
      </c>
      <c r="B1161" s="13">
        <v>2926</v>
      </c>
      <c r="C1161" s="13">
        <v>2929</v>
      </c>
      <c r="D1161" s="13">
        <v>2941.3</v>
      </c>
      <c r="E1161" s="13">
        <v>2903.4</v>
      </c>
      <c r="F1161" s="14" t="s">
        <v>2277</v>
      </c>
      <c r="G1161" s="15">
        <v>1.8E-3</v>
      </c>
    </row>
    <row r="1162" spans="1:7" x14ac:dyDescent="0.35">
      <c r="A1162" s="12" t="s">
        <v>2278</v>
      </c>
      <c r="B1162" s="13">
        <v>2926.6</v>
      </c>
      <c r="C1162" s="13">
        <v>2929.5</v>
      </c>
      <c r="D1162" s="13">
        <v>2935.9</v>
      </c>
      <c r="E1162" s="13">
        <v>2897.6</v>
      </c>
      <c r="F1162" s="14" t="s">
        <v>2279</v>
      </c>
      <c r="G1162" s="15">
        <v>2.0000000000000001E-4</v>
      </c>
    </row>
    <row r="1163" spans="1:7" x14ac:dyDescent="0.35">
      <c r="A1163" s="12" t="s">
        <v>2280</v>
      </c>
      <c r="B1163" s="13">
        <v>2899.4</v>
      </c>
      <c r="C1163" s="13">
        <v>2919.6</v>
      </c>
      <c r="D1163" s="13">
        <v>2926.4</v>
      </c>
      <c r="E1163" s="13">
        <v>2885.2</v>
      </c>
      <c r="F1163" s="14" t="s">
        <v>2281</v>
      </c>
      <c r="G1163" s="15">
        <v>-9.2999999999999992E-3</v>
      </c>
    </row>
    <row r="1164" spans="1:7" x14ac:dyDescent="0.35">
      <c r="A1164" s="12" t="s">
        <v>2282</v>
      </c>
      <c r="B1164" s="13">
        <v>2920.9</v>
      </c>
      <c r="C1164" s="13">
        <v>2893.2</v>
      </c>
      <c r="D1164" s="13">
        <v>2929</v>
      </c>
      <c r="E1164" s="13">
        <v>2882.5</v>
      </c>
      <c r="F1164" s="14" t="s">
        <v>2283</v>
      </c>
      <c r="G1164" s="15">
        <v>7.4000000000000003E-3</v>
      </c>
    </row>
    <row r="1165" spans="1:7" x14ac:dyDescent="0.35">
      <c r="A1165" s="12" t="s">
        <v>2284</v>
      </c>
      <c r="B1165" s="13">
        <v>2946.8</v>
      </c>
      <c r="C1165" s="13">
        <v>2922.3</v>
      </c>
      <c r="D1165" s="13">
        <v>2948.9</v>
      </c>
      <c r="E1165" s="13">
        <v>2911</v>
      </c>
      <c r="F1165" s="14" t="s">
        <v>2285</v>
      </c>
      <c r="G1165" s="15">
        <v>8.8999999999999999E-3</v>
      </c>
    </row>
    <row r="1166" spans="1:7" x14ac:dyDescent="0.35">
      <c r="A1166" s="12" t="s">
        <v>2286</v>
      </c>
      <c r="B1166" s="13">
        <v>2991.3</v>
      </c>
      <c r="C1166" s="13">
        <v>2943.3</v>
      </c>
      <c r="D1166" s="13">
        <v>3001.5</v>
      </c>
      <c r="E1166" s="13">
        <v>2942.2</v>
      </c>
      <c r="F1166" s="14" t="s">
        <v>2287</v>
      </c>
      <c r="G1166" s="15">
        <v>1.5100000000000001E-2</v>
      </c>
    </row>
    <row r="1167" spans="1:7" x14ac:dyDescent="0.35">
      <c r="A1167" s="12" t="s">
        <v>2288</v>
      </c>
      <c r="B1167" s="13">
        <v>3034.1</v>
      </c>
      <c r="C1167" s="13">
        <v>3021.2</v>
      </c>
      <c r="D1167" s="13">
        <v>3038.6</v>
      </c>
      <c r="E1167" s="13">
        <v>3019.5</v>
      </c>
      <c r="F1167" s="14" t="s">
        <v>2289</v>
      </c>
      <c r="G1167" s="15">
        <v>1.43E-2</v>
      </c>
    </row>
    <row r="1168" spans="1:7" x14ac:dyDescent="0.35">
      <c r="A1168" s="12" t="s">
        <v>2290</v>
      </c>
      <c r="B1168" s="13">
        <v>3068.9</v>
      </c>
      <c r="C1168" s="13">
        <v>3036.9</v>
      </c>
      <c r="D1168" s="13">
        <v>3075.1</v>
      </c>
      <c r="E1168" s="13">
        <v>3036</v>
      </c>
      <c r="F1168" s="14" t="s">
        <v>2291</v>
      </c>
      <c r="G1168" s="15">
        <v>1.15E-2</v>
      </c>
    </row>
    <row r="1169" spans="1:7" x14ac:dyDescent="0.35">
      <c r="A1169" s="12" t="s">
        <v>2292</v>
      </c>
      <c r="B1169" s="13">
        <v>3069.1</v>
      </c>
      <c r="C1169" s="13">
        <v>3069.3</v>
      </c>
      <c r="D1169" s="13">
        <v>3089.4</v>
      </c>
      <c r="E1169" s="13">
        <v>3059.2</v>
      </c>
      <c r="F1169" s="14" t="s">
        <v>2293</v>
      </c>
      <c r="G1169" s="15">
        <v>1E-4</v>
      </c>
    </row>
    <row r="1170" spans="1:7" x14ac:dyDescent="0.35">
      <c r="A1170" s="12" t="s">
        <v>2294</v>
      </c>
      <c r="B1170" s="13">
        <v>3071.3</v>
      </c>
      <c r="C1170" s="13">
        <v>3085.6</v>
      </c>
      <c r="D1170" s="13">
        <v>3092.8</v>
      </c>
      <c r="E1170" s="13">
        <v>3060.3</v>
      </c>
      <c r="F1170" s="14" t="s">
        <v>2295</v>
      </c>
      <c r="G1170" s="15">
        <v>6.9999999999999999E-4</v>
      </c>
    </row>
    <row r="1171" spans="1:7" x14ac:dyDescent="0.35">
      <c r="A1171" s="12" t="s">
        <v>2296</v>
      </c>
      <c r="B1171" s="13">
        <v>3044</v>
      </c>
      <c r="C1171" s="13">
        <v>3054.7</v>
      </c>
      <c r="D1171" s="13">
        <v>3066.4</v>
      </c>
      <c r="E1171" s="13">
        <v>3036</v>
      </c>
      <c r="F1171" s="14" t="s">
        <v>2297</v>
      </c>
      <c r="G1171" s="15">
        <v>-8.8999999999999999E-3</v>
      </c>
    </row>
    <row r="1172" spans="1:7" x14ac:dyDescent="0.35">
      <c r="A1172" s="12" t="s">
        <v>2298</v>
      </c>
      <c r="B1172" s="13">
        <v>3039.6</v>
      </c>
      <c r="C1172" s="13">
        <v>3030.6</v>
      </c>
      <c r="D1172" s="13">
        <v>3055.4</v>
      </c>
      <c r="E1172" s="13">
        <v>3025.9</v>
      </c>
      <c r="F1172" s="14" t="s">
        <v>2299</v>
      </c>
      <c r="G1172" s="15">
        <v>-1.4E-3</v>
      </c>
    </row>
    <row r="1173" spans="1:7" x14ac:dyDescent="0.35">
      <c r="A1173" s="12" t="s">
        <v>2300</v>
      </c>
      <c r="B1173" s="13">
        <v>3037.3</v>
      </c>
      <c r="C1173" s="13">
        <v>3039.5</v>
      </c>
      <c r="D1173" s="13">
        <v>3049.7</v>
      </c>
      <c r="E1173" s="13">
        <v>3032.8</v>
      </c>
      <c r="F1173" s="14" t="s">
        <v>2301</v>
      </c>
      <c r="G1173" s="15">
        <v>-8.0000000000000004E-4</v>
      </c>
    </row>
    <row r="1174" spans="1:7" x14ac:dyDescent="0.35">
      <c r="A1174" s="12" t="s">
        <v>2302</v>
      </c>
      <c r="B1174" s="13">
        <v>3075.8</v>
      </c>
      <c r="C1174" s="13">
        <v>3040.9</v>
      </c>
      <c r="D1174" s="13">
        <v>3086</v>
      </c>
      <c r="E1174" s="13">
        <v>3038.9</v>
      </c>
      <c r="F1174" s="14" t="s">
        <v>2303</v>
      </c>
      <c r="G1174" s="15">
        <v>1.2699999999999999E-2</v>
      </c>
    </row>
    <row r="1175" spans="1:7" x14ac:dyDescent="0.35">
      <c r="A1175" s="12" t="s">
        <v>2304</v>
      </c>
      <c r="B1175" s="13">
        <v>3150.3</v>
      </c>
      <c r="C1175" s="13">
        <v>3118.8</v>
      </c>
      <c r="D1175" s="13">
        <v>3162</v>
      </c>
      <c r="E1175" s="13">
        <v>3112.4</v>
      </c>
      <c r="F1175" s="14" t="s">
        <v>2305</v>
      </c>
      <c r="G1175" s="15">
        <v>2.4199999999999999E-2</v>
      </c>
    </row>
    <row r="1176" spans="1:7" x14ac:dyDescent="0.35">
      <c r="A1176" s="12" t="s">
        <v>2306</v>
      </c>
      <c r="B1176" s="13">
        <v>3146</v>
      </c>
      <c r="C1176" s="13">
        <v>3157.3</v>
      </c>
      <c r="D1176" s="13">
        <v>3177</v>
      </c>
      <c r="E1176" s="13">
        <v>3130.5</v>
      </c>
      <c r="F1176" s="14" t="s">
        <v>2307</v>
      </c>
      <c r="G1176" s="15">
        <v>-1.4E-3</v>
      </c>
    </row>
    <row r="1177" spans="1:7" x14ac:dyDescent="0.35">
      <c r="A1177" s="12" t="s">
        <v>2308</v>
      </c>
      <c r="B1177" s="13">
        <v>3166.2</v>
      </c>
      <c r="C1177" s="13">
        <v>3147.5</v>
      </c>
      <c r="D1177" s="13">
        <v>3201.6</v>
      </c>
      <c r="E1177" s="13">
        <v>3135.7</v>
      </c>
      <c r="F1177" s="14" t="s">
        <v>2309</v>
      </c>
      <c r="G1177" s="15">
        <v>6.4000000000000003E-3</v>
      </c>
    </row>
    <row r="1178" spans="1:7" x14ac:dyDescent="0.35">
      <c r="A1178" s="12" t="s">
        <v>2310</v>
      </c>
      <c r="B1178" s="13">
        <v>3121.7</v>
      </c>
      <c r="C1178" s="13">
        <v>3196.6</v>
      </c>
      <c r="D1178" s="13">
        <v>3196.6</v>
      </c>
      <c r="E1178" s="13">
        <v>3073.5</v>
      </c>
      <c r="F1178" s="14" t="s">
        <v>2311</v>
      </c>
      <c r="G1178" s="15">
        <v>-1.41E-2</v>
      </c>
    </row>
    <row r="1179" spans="1:7" x14ac:dyDescent="0.35">
      <c r="A1179" s="12" t="s">
        <v>2312</v>
      </c>
      <c r="B1179" s="13">
        <v>2973.6</v>
      </c>
      <c r="C1179" s="13">
        <v>3055.1</v>
      </c>
      <c r="D1179" s="13">
        <v>3084.4</v>
      </c>
      <c r="E1179" s="13">
        <v>2970.4</v>
      </c>
      <c r="F1179" s="14" t="s">
        <v>2313</v>
      </c>
      <c r="G1179" s="15">
        <v>-4.7399999999999998E-2</v>
      </c>
    </row>
    <row r="1180" spans="1:7" x14ac:dyDescent="0.35">
      <c r="A1180" s="12" t="s">
        <v>2314</v>
      </c>
      <c r="B1180" s="13">
        <v>2990.2</v>
      </c>
      <c r="C1180" s="13">
        <v>2997.5</v>
      </c>
      <c r="D1180" s="13">
        <v>3037.9</v>
      </c>
      <c r="E1180" s="13">
        <v>2988.6</v>
      </c>
      <c r="F1180" s="14" t="s">
        <v>2315</v>
      </c>
      <c r="G1180" s="15">
        <v>5.5999999999999999E-3</v>
      </c>
    </row>
    <row r="1181" spans="1:7" x14ac:dyDescent="0.35">
      <c r="A1181" s="12" t="s">
        <v>2316</v>
      </c>
      <c r="B1181" s="13">
        <v>3079.4</v>
      </c>
      <c r="C1181" s="13">
        <v>2998.3</v>
      </c>
      <c r="D1181" s="13">
        <v>3118.5</v>
      </c>
      <c r="E1181" s="13">
        <v>2983.3</v>
      </c>
      <c r="F1181" s="14" t="s">
        <v>2317</v>
      </c>
      <c r="G1181" s="15">
        <v>2.98E-2</v>
      </c>
    </row>
    <row r="1182" spans="1:7" x14ac:dyDescent="0.35">
      <c r="A1182" s="12" t="s">
        <v>2318</v>
      </c>
      <c r="B1182" s="13">
        <v>3177.5</v>
      </c>
      <c r="C1182" s="13">
        <v>3099.1</v>
      </c>
      <c r="D1182" s="13">
        <v>3195</v>
      </c>
      <c r="E1182" s="13">
        <v>3086.1</v>
      </c>
      <c r="F1182" s="14" t="s">
        <v>2319</v>
      </c>
      <c r="G1182" s="15">
        <v>3.1899999999999998E-2</v>
      </c>
    </row>
    <row r="1183" spans="1:7" x14ac:dyDescent="0.35">
      <c r="A1183" s="12" t="s">
        <v>2320</v>
      </c>
      <c r="B1183" s="13">
        <v>3226.3</v>
      </c>
      <c r="C1183" s="13">
        <v>3246</v>
      </c>
      <c r="D1183" s="13">
        <v>3261.6</v>
      </c>
      <c r="E1183" s="13">
        <v>3208.7</v>
      </c>
      <c r="F1183" s="14" t="s">
        <v>2321</v>
      </c>
      <c r="G1183" s="15">
        <v>1.54E-2</v>
      </c>
    </row>
    <row r="1184" spans="1:7" x14ac:dyDescent="0.35">
      <c r="A1184" s="12" t="s">
        <v>2322</v>
      </c>
      <c r="B1184" s="13">
        <v>3240.4</v>
      </c>
      <c r="C1184" s="13">
        <v>3226.1</v>
      </c>
      <c r="D1184" s="13">
        <v>3250.9</v>
      </c>
      <c r="E1184" s="13">
        <v>3225.5</v>
      </c>
      <c r="F1184" s="14" t="s">
        <v>2323</v>
      </c>
      <c r="G1184" s="15">
        <v>4.4000000000000003E-3</v>
      </c>
    </row>
    <row r="1185" spans="1:7" x14ac:dyDescent="0.35">
      <c r="A1185" s="12" t="s">
        <v>2324</v>
      </c>
      <c r="B1185" s="13">
        <v>3346.4</v>
      </c>
      <c r="C1185" s="13">
        <v>3248.4</v>
      </c>
      <c r="D1185" s="13">
        <v>3358.4</v>
      </c>
      <c r="E1185" s="13">
        <v>3245.2</v>
      </c>
      <c r="F1185" s="14" t="s">
        <v>2325</v>
      </c>
      <c r="G1185" s="15">
        <v>3.27E-2</v>
      </c>
    </row>
    <row r="1186" spans="1:7" x14ac:dyDescent="0.35">
      <c r="A1186" s="12" t="s">
        <v>2326</v>
      </c>
      <c r="B1186" s="13">
        <v>3425.3</v>
      </c>
      <c r="C1186" s="13">
        <v>3347</v>
      </c>
      <c r="D1186" s="13">
        <v>3442.3</v>
      </c>
      <c r="E1186" s="13">
        <v>3344</v>
      </c>
      <c r="F1186" s="14" t="s">
        <v>2327</v>
      </c>
      <c r="G1186" s="15">
        <v>2.3599999999999999E-2</v>
      </c>
    </row>
    <row r="1187" spans="1:7" x14ac:dyDescent="0.35">
      <c r="A1187" s="12" t="s">
        <v>2328</v>
      </c>
      <c r="B1187" s="13">
        <v>3419.4</v>
      </c>
      <c r="C1187" s="13">
        <v>3435.1</v>
      </c>
      <c r="D1187" s="13">
        <v>3509.9</v>
      </c>
      <c r="E1187" s="13">
        <v>3379.1</v>
      </c>
      <c r="F1187" s="14" t="s">
        <v>2329</v>
      </c>
      <c r="G1187" s="15">
        <v>-1.6999999999999999E-3</v>
      </c>
    </row>
    <row r="1188" spans="1:7" x14ac:dyDescent="0.35">
      <c r="A1188" s="12" t="s">
        <v>2330</v>
      </c>
      <c r="B1188" s="13">
        <v>3294.1</v>
      </c>
      <c r="C1188" s="13">
        <v>3367.7</v>
      </c>
      <c r="D1188" s="13">
        <v>3396</v>
      </c>
      <c r="E1188" s="13">
        <v>3270.8</v>
      </c>
      <c r="F1188" s="14" t="s">
        <v>2331</v>
      </c>
      <c r="G1188" s="15">
        <v>-3.6600000000000001E-2</v>
      </c>
    </row>
    <row r="1189" spans="1:7" x14ac:dyDescent="0.35">
      <c r="A1189" s="12" t="s">
        <v>2332</v>
      </c>
      <c r="B1189" s="13">
        <v>3348.6</v>
      </c>
      <c r="C1189" s="13">
        <v>3301.8</v>
      </c>
      <c r="D1189" s="13">
        <v>3377</v>
      </c>
      <c r="E1189" s="13">
        <v>3301.3</v>
      </c>
      <c r="F1189" s="14" t="s">
        <v>2333</v>
      </c>
      <c r="G1189" s="15">
        <v>1.6500000000000001E-2</v>
      </c>
    </row>
    <row r="1190" spans="1:7" x14ac:dyDescent="0.35">
      <c r="A1190" s="12" t="s">
        <v>2334</v>
      </c>
      <c r="B1190" s="13">
        <v>3333</v>
      </c>
      <c r="C1190" s="13">
        <v>3318.3</v>
      </c>
      <c r="D1190" s="13">
        <v>3347.7</v>
      </c>
      <c r="E1190" s="13">
        <v>3266.3</v>
      </c>
      <c r="F1190" s="14" t="s">
        <v>1819</v>
      </c>
      <c r="G1190" s="15">
        <v>-4.7000000000000002E-3</v>
      </c>
    </row>
    <row r="1191" spans="1:7" x14ac:dyDescent="0.35">
      <c r="A1191" s="12" t="s">
        <v>2335</v>
      </c>
      <c r="B1191" s="13">
        <v>3333.6</v>
      </c>
      <c r="C1191" s="13">
        <v>3354.9</v>
      </c>
      <c r="D1191" s="13">
        <v>3359.3</v>
      </c>
      <c r="E1191" s="13">
        <v>3309.2</v>
      </c>
      <c r="F1191" s="14" t="s">
        <v>2336</v>
      </c>
      <c r="G1191" s="15">
        <v>2.0000000000000001E-4</v>
      </c>
    </row>
    <row r="1192" spans="1:7" x14ac:dyDescent="0.35">
      <c r="A1192" s="12" t="s">
        <v>2337</v>
      </c>
      <c r="B1192" s="13">
        <v>3319.1</v>
      </c>
      <c r="C1192" s="13">
        <v>3324.5</v>
      </c>
      <c r="D1192" s="13">
        <v>3337.6</v>
      </c>
      <c r="E1192" s="13">
        <v>3275.6</v>
      </c>
      <c r="F1192" s="14" t="s">
        <v>1959</v>
      </c>
      <c r="G1192" s="15">
        <v>-4.3E-3</v>
      </c>
    </row>
    <row r="1193" spans="1:7" x14ac:dyDescent="0.35">
      <c r="A1193" s="12" t="s">
        <v>2338</v>
      </c>
      <c r="B1193" s="13">
        <v>3222.2</v>
      </c>
      <c r="C1193" s="13">
        <v>3299</v>
      </c>
      <c r="D1193" s="13">
        <v>3300.6</v>
      </c>
      <c r="E1193" s="13">
        <v>3209.4</v>
      </c>
      <c r="F1193" s="14" t="s">
        <v>2339</v>
      </c>
      <c r="G1193" s="15">
        <v>-2.92E-2</v>
      </c>
    </row>
    <row r="1194" spans="1:7" x14ac:dyDescent="0.35">
      <c r="A1194" s="12" t="s">
        <v>2340</v>
      </c>
      <c r="B1194" s="13">
        <v>3322.3</v>
      </c>
      <c r="C1194" s="13">
        <v>3247.1</v>
      </c>
      <c r="D1194" s="13">
        <v>3346.7</v>
      </c>
      <c r="E1194" s="13">
        <v>3243.1</v>
      </c>
      <c r="F1194" s="14" t="s">
        <v>2341</v>
      </c>
      <c r="G1194" s="15">
        <v>3.1099999999999999E-2</v>
      </c>
    </row>
    <row r="1195" spans="1:7" x14ac:dyDescent="0.35">
      <c r="A1195" s="12" t="s">
        <v>2342</v>
      </c>
      <c r="B1195" s="13">
        <v>3422.8</v>
      </c>
      <c r="C1195" s="13">
        <v>3345.7</v>
      </c>
      <c r="D1195" s="13">
        <v>3444.5</v>
      </c>
      <c r="E1195" s="13">
        <v>3332.1</v>
      </c>
      <c r="F1195" s="14" t="s">
        <v>2343</v>
      </c>
      <c r="G1195" s="15">
        <v>3.0300000000000001E-2</v>
      </c>
    </row>
    <row r="1196" spans="1:7" x14ac:dyDescent="0.35">
      <c r="A1196" s="12" t="s">
        <v>2344</v>
      </c>
      <c r="B1196" s="13">
        <v>3391.9</v>
      </c>
      <c r="C1196" s="13">
        <v>3448.1</v>
      </c>
      <c r="D1196" s="13">
        <v>3448.2</v>
      </c>
      <c r="E1196" s="13">
        <v>3367</v>
      </c>
      <c r="F1196" s="14" t="s">
        <v>2345</v>
      </c>
      <c r="G1196" s="15">
        <v>-8.9999999999999993E-3</v>
      </c>
    </row>
    <row r="1197" spans="1:7" x14ac:dyDescent="0.35">
      <c r="A1197" s="12" t="s">
        <v>2346</v>
      </c>
      <c r="B1197" s="13">
        <v>3306</v>
      </c>
      <c r="C1197" s="13">
        <v>3373.1</v>
      </c>
      <c r="D1197" s="13">
        <v>3422</v>
      </c>
      <c r="E1197" s="13">
        <v>3293.3</v>
      </c>
      <c r="F1197" s="14" t="s">
        <v>2347</v>
      </c>
      <c r="G1197" s="15">
        <v>-2.53E-2</v>
      </c>
    </row>
    <row r="1198" spans="1:7" x14ac:dyDescent="0.35">
      <c r="A1198" s="12" t="s">
        <v>2348</v>
      </c>
      <c r="B1198" s="13">
        <v>3228</v>
      </c>
      <c r="C1198" s="13">
        <v>3281</v>
      </c>
      <c r="D1198" s="13">
        <v>3295.5</v>
      </c>
      <c r="E1198" s="13">
        <v>3211.2</v>
      </c>
      <c r="F1198" s="14" t="s">
        <v>2349</v>
      </c>
      <c r="G1198" s="15">
        <v>-2.3599999999999999E-2</v>
      </c>
    </row>
    <row r="1199" spans="1:7" x14ac:dyDescent="0.35">
      <c r="A1199" s="12" t="s">
        <v>2350</v>
      </c>
      <c r="B1199" s="13">
        <v>3247.8</v>
      </c>
      <c r="C1199" s="13">
        <v>3240.7</v>
      </c>
      <c r="D1199" s="13">
        <v>3270.4</v>
      </c>
      <c r="E1199" s="13">
        <v>3220.1</v>
      </c>
      <c r="F1199" s="14" t="s">
        <v>2351</v>
      </c>
      <c r="G1199" s="15">
        <v>6.1000000000000004E-3</v>
      </c>
    </row>
    <row r="1200" spans="1:7" x14ac:dyDescent="0.35">
      <c r="A1200" s="12" t="s">
        <v>2352</v>
      </c>
      <c r="B1200" s="13">
        <v>3188.3</v>
      </c>
      <c r="C1200" s="13">
        <v>3254.1</v>
      </c>
      <c r="D1200" s="13">
        <v>3261.3</v>
      </c>
      <c r="E1200" s="13">
        <v>3170.7</v>
      </c>
      <c r="F1200" s="14" t="s">
        <v>2353</v>
      </c>
      <c r="G1200" s="15">
        <v>-1.83E-2</v>
      </c>
    </row>
    <row r="1201" spans="1:7" x14ac:dyDescent="0.35">
      <c r="A1201" s="12" t="s">
        <v>2354</v>
      </c>
      <c r="B1201" s="13">
        <v>3226.6</v>
      </c>
      <c r="C1201" s="13">
        <v>3180.8</v>
      </c>
      <c r="D1201" s="13">
        <v>3244.3</v>
      </c>
      <c r="E1201" s="13">
        <v>3123.3</v>
      </c>
      <c r="F1201" s="14" t="s">
        <v>2355</v>
      </c>
      <c r="G1201" s="15">
        <v>1.2E-2</v>
      </c>
    </row>
    <row r="1202" spans="1:7" x14ac:dyDescent="0.35">
      <c r="A1202" s="12" t="s">
        <v>2356</v>
      </c>
      <c r="B1202" s="13">
        <v>3261.4</v>
      </c>
      <c r="C1202" s="13">
        <v>3246</v>
      </c>
      <c r="D1202" s="13">
        <v>3280</v>
      </c>
      <c r="E1202" s="13">
        <v>3236.2</v>
      </c>
      <c r="F1202" s="14" t="s">
        <v>2357</v>
      </c>
      <c r="G1202" s="15">
        <v>1.0800000000000001E-2</v>
      </c>
    </row>
    <row r="1203" spans="1:7" x14ac:dyDescent="0.35">
      <c r="A1203" s="12" t="s">
        <v>2358</v>
      </c>
      <c r="B1203" s="13">
        <v>3312.6</v>
      </c>
      <c r="C1203" s="13">
        <v>3260.7</v>
      </c>
      <c r="D1203" s="13">
        <v>3326.4</v>
      </c>
      <c r="E1203" s="13">
        <v>3235.3</v>
      </c>
      <c r="F1203" s="14" t="s">
        <v>2359</v>
      </c>
      <c r="G1203" s="15">
        <v>1.5699999999999999E-2</v>
      </c>
    </row>
    <row r="1204" spans="1:7" x14ac:dyDescent="0.35">
      <c r="A1204" s="12" t="s">
        <v>2360</v>
      </c>
      <c r="B1204" s="13">
        <v>3341.9</v>
      </c>
      <c r="C1204" s="13">
        <v>3321.2</v>
      </c>
      <c r="D1204" s="13">
        <v>3355.5</v>
      </c>
      <c r="E1204" s="13">
        <v>3315.3</v>
      </c>
      <c r="F1204" s="14" t="s">
        <v>2361</v>
      </c>
      <c r="G1204" s="15">
        <v>8.8000000000000005E-3</v>
      </c>
    </row>
    <row r="1205" spans="1:7" x14ac:dyDescent="0.35">
      <c r="A1205" s="12" t="s">
        <v>2362</v>
      </c>
      <c r="B1205" s="13">
        <v>3323.6</v>
      </c>
      <c r="C1205" s="13">
        <v>3346.5</v>
      </c>
      <c r="D1205" s="13">
        <v>3375.3</v>
      </c>
      <c r="E1205" s="13">
        <v>3306.9</v>
      </c>
      <c r="F1205" s="14" t="s">
        <v>2363</v>
      </c>
      <c r="G1205" s="15">
        <v>-5.4999999999999997E-3</v>
      </c>
    </row>
    <row r="1206" spans="1:7" x14ac:dyDescent="0.35">
      <c r="A1206" s="12" t="s">
        <v>2364</v>
      </c>
      <c r="B1206" s="13">
        <v>3370.27</v>
      </c>
      <c r="C1206" s="13">
        <v>3384</v>
      </c>
      <c r="D1206" s="13">
        <v>3384.12</v>
      </c>
      <c r="E1206" s="13">
        <v>3367.94</v>
      </c>
      <c r="F1206" s="14" t="s">
        <v>2365</v>
      </c>
      <c r="G1206" s="15">
        <v>1.4E-2</v>
      </c>
    </row>
    <row r="1207" spans="1:7" x14ac:dyDescent="0.35">
      <c r="A1207" s="12" t="s">
        <v>2366</v>
      </c>
      <c r="B1207" s="13">
        <v>3313.7</v>
      </c>
      <c r="C1207" s="13">
        <v>3369.6</v>
      </c>
      <c r="D1207" s="13">
        <v>3369.6</v>
      </c>
      <c r="E1207" s="13">
        <v>3297.9</v>
      </c>
      <c r="F1207" s="14" t="s">
        <v>2367</v>
      </c>
      <c r="G1207" s="15">
        <v>-1.6799999999999999E-2</v>
      </c>
    </row>
    <row r="1208" spans="1:7" x14ac:dyDescent="0.35">
      <c r="A1208" s="12" t="s">
        <v>2368</v>
      </c>
      <c r="B1208" s="13">
        <v>3308.3</v>
      </c>
      <c r="C1208" s="13">
        <v>3317.3</v>
      </c>
      <c r="D1208" s="13">
        <v>3337.5</v>
      </c>
      <c r="E1208" s="13">
        <v>3287.9</v>
      </c>
      <c r="F1208" s="14" t="s">
        <v>1328</v>
      </c>
      <c r="G1208" s="15">
        <v>-1.6000000000000001E-3</v>
      </c>
    </row>
    <row r="1209" spans="1:7" x14ac:dyDescent="0.35">
      <c r="A1209" s="12" t="s">
        <v>2369</v>
      </c>
      <c r="B1209" s="13">
        <v>3343.9</v>
      </c>
      <c r="C1209" s="13">
        <v>3311.8</v>
      </c>
      <c r="D1209" s="13">
        <v>3356.3</v>
      </c>
      <c r="E1209" s="13">
        <v>3269.1</v>
      </c>
      <c r="F1209" s="14" t="s">
        <v>2370</v>
      </c>
      <c r="G1209" s="15">
        <v>1.0800000000000001E-2</v>
      </c>
    </row>
    <row r="1210" spans="1:7" x14ac:dyDescent="0.35">
      <c r="A1210" s="12" t="s">
        <v>2371</v>
      </c>
      <c r="B1210" s="13">
        <v>3397.2</v>
      </c>
      <c r="C1210" s="13">
        <v>3323</v>
      </c>
      <c r="D1210" s="13">
        <v>3408.1</v>
      </c>
      <c r="E1210" s="13">
        <v>3319.4</v>
      </c>
      <c r="F1210" s="14" t="s">
        <v>2372</v>
      </c>
      <c r="G1210" s="15">
        <v>1.5900000000000001E-2</v>
      </c>
    </row>
    <row r="1211" spans="1:7" x14ac:dyDescent="0.35">
      <c r="A1211" s="12" t="s">
        <v>2373</v>
      </c>
      <c r="B1211" s="13">
        <v>3377.1</v>
      </c>
      <c r="C1211" s="13">
        <v>3406.5</v>
      </c>
      <c r="D1211" s="13">
        <v>3417.8</v>
      </c>
      <c r="E1211" s="13">
        <v>3357.2</v>
      </c>
      <c r="F1211" s="14" t="s">
        <v>2374</v>
      </c>
      <c r="G1211" s="15">
        <v>-5.8999999999999999E-3</v>
      </c>
    </row>
    <row r="1212" spans="1:7" x14ac:dyDescent="0.35">
      <c r="A1212" s="12" t="s">
        <v>2375</v>
      </c>
      <c r="B1212" s="13">
        <v>3399.2</v>
      </c>
      <c r="C1212" s="13">
        <v>3377.8</v>
      </c>
      <c r="D1212" s="13">
        <v>3409.7</v>
      </c>
      <c r="E1212" s="13">
        <v>3366.9</v>
      </c>
      <c r="F1212" s="14" t="s">
        <v>2376</v>
      </c>
      <c r="G1212" s="15">
        <v>6.4999999999999997E-3</v>
      </c>
    </row>
    <row r="1213" spans="1:7" x14ac:dyDescent="0.35">
      <c r="A1213" s="12" t="s">
        <v>2377</v>
      </c>
      <c r="B1213" s="13">
        <v>3375.1</v>
      </c>
      <c r="C1213" s="13">
        <v>3398</v>
      </c>
      <c r="D1213" s="13">
        <v>3427.7</v>
      </c>
      <c r="E1213" s="13">
        <v>3362.3</v>
      </c>
      <c r="F1213" s="14" t="s">
        <v>2378</v>
      </c>
      <c r="G1213" s="15">
        <v>-7.1000000000000004E-3</v>
      </c>
    </row>
    <row r="1214" spans="1:7" x14ac:dyDescent="0.35">
      <c r="A1214" s="12" t="s">
        <v>2379</v>
      </c>
      <c r="B1214" s="13">
        <v>3354.9</v>
      </c>
      <c r="C1214" s="13">
        <v>3333.4</v>
      </c>
      <c r="D1214" s="13">
        <v>3359</v>
      </c>
      <c r="E1214" s="13">
        <v>3313.1</v>
      </c>
      <c r="F1214" s="14" t="s">
        <v>2380</v>
      </c>
      <c r="G1214" s="15">
        <v>-6.0000000000000001E-3</v>
      </c>
    </row>
    <row r="1215" spans="1:7" x14ac:dyDescent="0.35">
      <c r="A1215" s="12" t="s">
        <v>2381</v>
      </c>
      <c r="B1215" s="13">
        <v>3343.4</v>
      </c>
      <c r="C1215" s="13">
        <v>3346.3</v>
      </c>
      <c r="D1215" s="13">
        <v>3370.4</v>
      </c>
      <c r="E1215" s="13">
        <v>3321.3</v>
      </c>
      <c r="F1215" s="14" t="s">
        <v>2382</v>
      </c>
      <c r="G1215" s="15">
        <v>-3.3999999999999998E-3</v>
      </c>
    </row>
    <row r="1216" spans="1:7" x14ac:dyDescent="0.35">
      <c r="A1216" s="12" t="s">
        <v>2383</v>
      </c>
      <c r="B1216" s="13">
        <v>3343.7</v>
      </c>
      <c r="C1216" s="13">
        <v>3344.3</v>
      </c>
      <c r="D1216" s="13">
        <v>3382.3</v>
      </c>
      <c r="E1216" s="13">
        <v>3335.4</v>
      </c>
      <c r="F1216" s="14" t="s">
        <v>2384</v>
      </c>
      <c r="G1216" s="15">
        <v>1E-4</v>
      </c>
    </row>
    <row r="1217" spans="1:7" x14ac:dyDescent="0.35">
      <c r="A1217" s="12" t="s">
        <v>2385</v>
      </c>
      <c r="B1217" s="13">
        <v>3402.4</v>
      </c>
      <c r="C1217" s="13">
        <v>3377.5</v>
      </c>
      <c r="D1217" s="13">
        <v>3419.8</v>
      </c>
      <c r="E1217" s="13">
        <v>3358.5</v>
      </c>
      <c r="F1217" s="14" t="s">
        <v>2386</v>
      </c>
      <c r="G1217" s="15">
        <v>1.7600000000000001E-2</v>
      </c>
    </row>
    <row r="1218" spans="1:7" x14ac:dyDescent="0.35">
      <c r="A1218" s="12" t="s">
        <v>2387</v>
      </c>
      <c r="B1218" s="13">
        <v>3417.3</v>
      </c>
      <c r="C1218" s="13">
        <v>3473</v>
      </c>
      <c r="D1218" s="13">
        <v>3476.3</v>
      </c>
      <c r="E1218" s="13">
        <v>3400.9</v>
      </c>
      <c r="F1218" s="14" t="s">
        <v>2388</v>
      </c>
      <c r="G1218" s="15">
        <v>4.4000000000000003E-3</v>
      </c>
    </row>
    <row r="1219" spans="1:7" x14ac:dyDescent="0.35">
      <c r="A1219" s="12" t="s">
        <v>2389</v>
      </c>
      <c r="B1219" s="13">
        <v>3406.9</v>
      </c>
      <c r="C1219" s="13">
        <v>3404.2</v>
      </c>
      <c r="D1219" s="13">
        <v>3422.7</v>
      </c>
      <c r="E1219" s="13">
        <v>3384.4</v>
      </c>
      <c r="F1219" s="14" t="s">
        <v>2390</v>
      </c>
      <c r="G1219" s="15">
        <v>-3.0000000000000001E-3</v>
      </c>
    </row>
    <row r="1220" spans="1:7" x14ac:dyDescent="0.35">
      <c r="A1220" s="12" t="s">
        <v>2391</v>
      </c>
      <c r="B1220" s="13">
        <v>3408.1</v>
      </c>
      <c r="C1220" s="13">
        <v>3409</v>
      </c>
      <c r="D1220" s="13">
        <v>3419</v>
      </c>
      <c r="E1220" s="13">
        <v>3380.1</v>
      </c>
      <c r="F1220" s="14" t="s">
        <v>2392</v>
      </c>
      <c r="G1220" s="15">
        <v>4.0000000000000002E-4</v>
      </c>
    </row>
    <row r="1221" spans="1:7" x14ac:dyDescent="0.35">
      <c r="A1221" s="12" t="s">
        <v>2393</v>
      </c>
      <c r="B1221" s="13">
        <v>3380.6</v>
      </c>
      <c r="C1221" s="13">
        <v>3387</v>
      </c>
      <c r="D1221" s="13">
        <v>3395.7</v>
      </c>
      <c r="E1221" s="13">
        <v>3348.3</v>
      </c>
      <c r="F1221" s="14" t="s">
        <v>2394</v>
      </c>
      <c r="G1221" s="15">
        <v>-8.0999999999999996E-3</v>
      </c>
    </row>
    <row r="1222" spans="1:7" x14ac:dyDescent="0.35">
      <c r="A1222" s="12" t="s">
        <v>2395</v>
      </c>
      <c r="B1222" s="13">
        <v>3320</v>
      </c>
      <c r="C1222" s="13">
        <v>3361.2</v>
      </c>
      <c r="D1222" s="13">
        <v>3361.2</v>
      </c>
      <c r="E1222" s="13">
        <v>3296.4</v>
      </c>
      <c r="F1222" s="14" t="s">
        <v>2396</v>
      </c>
      <c r="G1222" s="15">
        <v>-1.7899999999999999E-2</v>
      </c>
    </row>
    <row r="1223" spans="1:7" x14ac:dyDescent="0.35">
      <c r="A1223" s="12" t="s">
        <v>2397</v>
      </c>
      <c r="B1223" s="13">
        <v>3329</v>
      </c>
      <c r="C1223" s="13">
        <v>3322.9</v>
      </c>
      <c r="D1223" s="13">
        <v>3335.6</v>
      </c>
      <c r="E1223" s="13">
        <v>3312</v>
      </c>
      <c r="F1223" s="14" t="s">
        <v>2398</v>
      </c>
      <c r="G1223" s="15">
        <v>2.7000000000000001E-3</v>
      </c>
    </row>
    <row r="1224" spans="1:7" x14ac:dyDescent="0.35">
      <c r="A1224" s="12" t="s">
        <v>2399</v>
      </c>
      <c r="B1224" s="13">
        <v>3333.9</v>
      </c>
      <c r="C1224" s="13">
        <v>3333.6</v>
      </c>
      <c r="D1224" s="13">
        <v>3349</v>
      </c>
      <c r="E1224" s="13">
        <v>3309.2</v>
      </c>
      <c r="F1224" s="14" t="s">
        <v>2400</v>
      </c>
      <c r="G1224" s="15">
        <v>1.5E-3</v>
      </c>
    </row>
    <row r="1225" spans="1:7" x14ac:dyDescent="0.35">
      <c r="A1225" s="12" t="s">
        <v>2401</v>
      </c>
      <c r="B1225" s="13">
        <v>3307.7</v>
      </c>
      <c r="C1225" s="13">
        <v>3284.3</v>
      </c>
      <c r="D1225" s="13">
        <v>3321.6</v>
      </c>
      <c r="E1225" s="13">
        <v>3250.5</v>
      </c>
      <c r="F1225" s="14" t="s">
        <v>2402</v>
      </c>
      <c r="G1225" s="15">
        <v>-7.9000000000000008E-3</v>
      </c>
    </row>
    <row r="1226" spans="1:7" x14ac:dyDescent="0.35">
      <c r="A1226" s="12" t="s">
        <v>2403</v>
      </c>
      <c r="B1226" s="13">
        <v>3349.8</v>
      </c>
      <c r="C1226" s="13">
        <v>3315.7</v>
      </c>
      <c r="D1226" s="13">
        <v>3370.5</v>
      </c>
      <c r="E1226" s="13">
        <v>3313.7</v>
      </c>
      <c r="F1226" s="14" t="s">
        <v>2404</v>
      </c>
      <c r="G1226" s="15">
        <v>1.2699999999999999E-2</v>
      </c>
    </row>
    <row r="1227" spans="1:7" x14ac:dyDescent="0.35">
      <c r="A1227" s="12" t="s">
        <v>2405</v>
      </c>
      <c r="B1227" s="13">
        <v>3359.7</v>
      </c>
      <c r="C1227" s="13">
        <v>3350</v>
      </c>
      <c r="D1227" s="13">
        <v>3371</v>
      </c>
      <c r="E1227" s="13">
        <v>3337.2</v>
      </c>
      <c r="F1227" s="14" t="s">
        <v>497</v>
      </c>
      <c r="G1227" s="15">
        <v>3.0000000000000001E-3</v>
      </c>
    </row>
    <row r="1228" spans="1:7" x14ac:dyDescent="0.35">
      <c r="A1228" s="12" t="s">
        <v>2406</v>
      </c>
      <c r="B1228" s="13">
        <v>3342.9</v>
      </c>
      <c r="C1228" s="13">
        <v>3369</v>
      </c>
      <c r="D1228" s="13">
        <v>3376.9</v>
      </c>
      <c r="E1228" s="13">
        <v>3321.4</v>
      </c>
      <c r="F1228" s="14" t="s">
        <v>2407</v>
      </c>
      <c r="G1228" s="15">
        <v>-5.0000000000000001E-3</v>
      </c>
    </row>
    <row r="1229" spans="1:7" x14ac:dyDescent="0.35">
      <c r="A1229" s="12" t="s">
        <v>2408</v>
      </c>
      <c r="B1229" s="13">
        <v>3342.8</v>
      </c>
      <c r="C1229" s="13">
        <v>3344.5</v>
      </c>
      <c r="D1229" s="13">
        <v>3352.9</v>
      </c>
      <c r="E1229" s="13">
        <v>3304.4</v>
      </c>
      <c r="F1229" s="14" t="s">
        <v>2409</v>
      </c>
      <c r="G1229" s="15">
        <v>0</v>
      </c>
    </row>
    <row r="1230" spans="1:7" x14ac:dyDescent="0.35">
      <c r="A1230" s="12" t="s">
        <v>2410</v>
      </c>
      <c r="B1230" s="13">
        <v>3316.9</v>
      </c>
      <c r="C1230" s="13">
        <v>3348.9</v>
      </c>
      <c r="D1230" s="13">
        <v>3355.6</v>
      </c>
      <c r="E1230" s="13">
        <v>3295.4</v>
      </c>
      <c r="F1230" s="14" t="s">
        <v>2411</v>
      </c>
      <c r="G1230" s="15">
        <v>-7.7000000000000002E-3</v>
      </c>
    </row>
    <row r="1231" spans="1:7" x14ac:dyDescent="0.35">
      <c r="A1231" s="12" t="s">
        <v>2412</v>
      </c>
      <c r="B1231" s="13">
        <v>3321</v>
      </c>
      <c r="C1231" s="13">
        <v>3310.6</v>
      </c>
      <c r="D1231" s="13">
        <v>3325.6</v>
      </c>
      <c r="E1231" s="13">
        <v>3290.2</v>
      </c>
      <c r="F1231" s="14" t="s">
        <v>2413</v>
      </c>
      <c r="G1231" s="15">
        <v>1.1999999999999999E-3</v>
      </c>
    </row>
    <row r="1232" spans="1:7" x14ac:dyDescent="0.35">
      <c r="A1232" s="12" t="s">
        <v>2414</v>
      </c>
      <c r="B1232" s="13">
        <v>3325.7</v>
      </c>
      <c r="C1232" s="13">
        <v>3322.2</v>
      </c>
      <c r="D1232" s="13">
        <v>3339.4</v>
      </c>
      <c r="E1232" s="13">
        <v>3319.2</v>
      </c>
      <c r="F1232" s="14" t="s">
        <v>2415</v>
      </c>
      <c r="G1232" s="15">
        <v>1.4E-3</v>
      </c>
    </row>
    <row r="1233" spans="1:7" x14ac:dyDescent="0.35">
      <c r="A1233" s="12" t="s">
        <v>2416</v>
      </c>
      <c r="B1233" s="13">
        <v>3359.1</v>
      </c>
      <c r="C1233" s="13">
        <v>3376.5</v>
      </c>
      <c r="D1233" s="13">
        <v>3389.3</v>
      </c>
      <c r="E1233" s="13">
        <v>3348.5</v>
      </c>
      <c r="F1233" s="14" t="s">
        <v>2417</v>
      </c>
      <c r="G1233" s="15">
        <v>0.01</v>
      </c>
    </row>
    <row r="1234" spans="1:7" x14ac:dyDescent="0.35">
      <c r="A1234" s="12" t="s">
        <v>2418</v>
      </c>
      <c r="B1234" s="13">
        <v>3336.7</v>
      </c>
      <c r="C1234" s="13">
        <v>3352</v>
      </c>
      <c r="D1234" s="13">
        <v>3375.4</v>
      </c>
      <c r="E1234" s="13">
        <v>3327.3</v>
      </c>
      <c r="F1234" s="14" t="s">
        <v>2419</v>
      </c>
      <c r="G1234" s="15">
        <v>-6.7000000000000002E-3</v>
      </c>
    </row>
    <row r="1235" spans="1:7" x14ac:dyDescent="0.35">
      <c r="A1235" s="12" t="s">
        <v>2420</v>
      </c>
      <c r="B1235" s="13">
        <v>3359.1</v>
      </c>
      <c r="C1235" s="13">
        <v>3330.5</v>
      </c>
      <c r="D1235" s="13">
        <v>3385.8</v>
      </c>
      <c r="E1235" s="13">
        <v>3326.1</v>
      </c>
      <c r="F1235" s="14" t="s">
        <v>2421</v>
      </c>
      <c r="G1235" s="15">
        <v>6.7000000000000002E-3</v>
      </c>
    </row>
    <row r="1236" spans="1:7" x14ac:dyDescent="0.35">
      <c r="A1236" s="12" t="s">
        <v>2422</v>
      </c>
      <c r="B1236" s="13">
        <v>3345.3</v>
      </c>
      <c r="C1236" s="13">
        <v>3354.7</v>
      </c>
      <c r="D1236" s="13">
        <v>3358.2</v>
      </c>
      <c r="E1236" s="13">
        <v>3314.3</v>
      </c>
      <c r="F1236" s="14" t="s">
        <v>2423</v>
      </c>
      <c r="G1236" s="15">
        <v>-4.1000000000000003E-3</v>
      </c>
    </row>
    <row r="1237" spans="1:7" x14ac:dyDescent="0.35">
      <c r="A1237" s="12" t="s">
        <v>2424</v>
      </c>
      <c r="B1237" s="13">
        <v>3462.9</v>
      </c>
      <c r="C1237" s="13">
        <v>3415</v>
      </c>
      <c r="D1237" s="13">
        <v>3473.2</v>
      </c>
      <c r="E1237" s="13">
        <v>3407.4</v>
      </c>
      <c r="F1237" s="14" t="s">
        <v>2425</v>
      </c>
      <c r="G1237" s="15">
        <v>3.5200000000000002E-2</v>
      </c>
    </row>
    <row r="1238" spans="1:7" x14ac:dyDescent="0.35">
      <c r="A1238" s="12" t="s">
        <v>2426</v>
      </c>
      <c r="B1238" s="13">
        <v>3501.8</v>
      </c>
      <c r="C1238" s="13">
        <v>3468.7</v>
      </c>
      <c r="D1238" s="13">
        <v>3505.8</v>
      </c>
      <c r="E1238" s="13">
        <v>3451.7</v>
      </c>
      <c r="F1238" s="14" t="s">
        <v>2427</v>
      </c>
      <c r="G1238" s="15">
        <v>1.12E-2</v>
      </c>
    </row>
    <row r="1239" spans="1:7" x14ac:dyDescent="0.35">
      <c r="A1239" s="12" t="s">
        <v>2428</v>
      </c>
      <c r="B1239" s="13">
        <v>3455.1</v>
      </c>
      <c r="C1239" s="13">
        <v>3502.8</v>
      </c>
      <c r="D1239" s="13">
        <v>3509</v>
      </c>
      <c r="E1239" s="13">
        <v>3448.7</v>
      </c>
      <c r="F1239" s="14" t="s">
        <v>2429</v>
      </c>
      <c r="G1239" s="15">
        <v>-1.3299999999999999E-2</v>
      </c>
    </row>
    <row r="1240" spans="1:7" x14ac:dyDescent="0.35">
      <c r="A1240" s="12" t="s">
        <v>2430</v>
      </c>
      <c r="B1240" s="13">
        <v>3431.1</v>
      </c>
      <c r="C1240" s="13">
        <v>3455.9</v>
      </c>
      <c r="D1240" s="13">
        <v>3458.1</v>
      </c>
      <c r="E1240" s="13">
        <v>3411.3</v>
      </c>
      <c r="F1240" s="14" t="s">
        <v>2431</v>
      </c>
      <c r="G1240" s="15">
        <v>-6.8999999999999999E-3</v>
      </c>
    </row>
    <row r="1241" spans="1:7" x14ac:dyDescent="0.35">
      <c r="A1241" s="12" t="s">
        <v>2432</v>
      </c>
      <c r="B1241" s="13">
        <v>3354</v>
      </c>
      <c r="C1241" s="13">
        <v>3373.6</v>
      </c>
      <c r="D1241" s="13">
        <v>3381.8</v>
      </c>
      <c r="E1241" s="13">
        <v>3346.7</v>
      </c>
      <c r="F1241" s="14" t="s">
        <v>2433</v>
      </c>
      <c r="G1241" s="15">
        <v>-2.2499999999999999E-2</v>
      </c>
    </row>
    <row r="1242" spans="1:7" x14ac:dyDescent="0.35">
      <c r="A1242" s="12" t="s">
        <v>2434</v>
      </c>
      <c r="B1242" s="13">
        <v>3368.3</v>
      </c>
      <c r="C1242" s="13">
        <v>3366.1</v>
      </c>
      <c r="D1242" s="13">
        <v>3368.8</v>
      </c>
      <c r="E1242" s="13">
        <v>3362.4</v>
      </c>
      <c r="F1242" s="14" t="s">
        <v>2435</v>
      </c>
      <c r="G1242" s="15">
        <v>4.3E-3</v>
      </c>
    </row>
    <row r="1243" spans="1:7" x14ac:dyDescent="0.35">
      <c r="A1243" s="12" t="s">
        <v>2436</v>
      </c>
      <c r="B1243" s="13">
        <v>3352.8</v>
      </c>
      <c r="C1243" s="13">
        <v>3383.1</v>
      </c>
      <c r="D1243" s="13">
        <v>3389.3</v>
      </c>
      <c r="E1243" s="13">
        <v>3319.2</v>
      </c>
      <c r="F1243" s="14" t="s">
        <v>2437</v>
      </c>
      <c r="G1243" s="15">
        <v>-4.5999999999999999E-3</v>
      </c>
    </row>
    <row r="1244" spans="1:7" x14ac:dyDescent="0.35">
      <c r="A1244" s="12" t="s">
        <v>2438</v>
      </c>
      <c r="B1244" s="13">
        <v>3348.6</v>
      </c>
      <c r="C1244" s="13">
        <v>3327.5</v>
      </c>
      <c r="D1244" s="13">
        <v>3366.7</v>
      </c>
      <c r="E1244" s="13">
        <v>3324.4</v>
      </c>
      <c r="F1244" s="14" t="s">
        <v>2439</v>
      </c>
      <c r="G1244" s="15">
        <v>-1.2999999999999999E-3</v>
      </c>
    </row>
    <row r="1245" spans="1:7" x14ac:dyDescent="0.35">
      <c r="A1245" s="12" t="s">
        <v>2440</v>
      </c>
      <c r="B1245" s="13">
        <v>3426.4</v>
      </c>
      <c r="C1245" s="13">
        <v>3416.6</v>
      </c>
      <c r="D1245" s="13">
        <v>3439.5</v>
      </c>
      <c r="E1245" s="13">
        <v>3397.9</v>
      </c>
      <c r="F1245" s="14" t="s">
        <v>2441</v>
      </c>
      <c r="G1245" s="15">
        <v>2.3199999999999998E-2</v>
      </c>
    </row>
    <row r="1246" spans="1:7" x14ac:dyDescent="0.35">
      <c r="A1246" s="12" t="s">
        <v>2442</v>
      </c>
      <c r="B1246" s="13">
        <v>3434.7</v>
      </c>
      <c r="C1246" s="13">
        <v>3428.9</v>
      </c>
      <c r="D1246" s="13">
        <v>3444.9</v>
      </c>
      <c r="E1246" s="13">
        <v>3403.3</v>
      </c>
      <c r="F1246" s="14" t="s">
        <v>2443</v>
      </c>
      <c r="G1246" s="15">
        <v>2.3999999999999998E-3</v>
      </c>
    </row>
    <row r="1247" spans="1:7" x14ac:dyDescent="0.35">
      <c r="A1247" s="12" t="s">
        <v>2444</v>
      </c>
      <c r="B1247" s="13">
        <v>3433.4</v>
      </c>
      <c r="C1247" s="13">
        <v>3434.9</v>
      </c>
      <c r="D1247" s="13">
        <v>3440.5</v>
      </c>
      <c r="E1247" s="13">
        <v>3411.7</v>
      </c>
      <c r="F1247" s="14" t="s">
        <v>1961</v>
      </c>
      <c r="G1247" s="15">
        <v>-4.0000000000000002E-4</v>
      </c>
    </row>
    <row r="1248" spans="1:7" x14ac:dyDescent="0.35">
      <c r="A1248" s="12" t="s">
        <v>2445</v>
      </c>
      <c r="B1248" s="13">
        <v>3453.7</v>
      </c>
      <c r="C1248" s="13">
        <v>3431.8</v>
      </c>
      <c r="D1248" s="13">
        <v>3483.8</v>
      </c>
      <c r="E1248" s="13">
        <v>3430</v>
      </c>
      <c r="F1248" s="14" t="s">
        <v>2446</v>
      </c>
      <c r="G1248" s="15">
        <v>5.8999999999999999E-3</v>
      </c>
    </row>
    <row r="1249" spans="1:7" x14ac:dyDescent="0.35">
      <c r="A1249" s="12" t="s">
        <v>2447</v>
      </c>
      <c r="B1249" s="13">
        <v>3404.7</v>
      </c>
      <c r="C1249" s="13">
        <v>3458.1</v>
      </c>
      <c r="D1249" s="13">
        <v>3466.3</v>
      </c>
      <c r="E1249" s="13">
        <v>3393</v>
      </c>
      <c r="F1249" s="14" t="s">
        <v>2448</v>
      </c>
      <c r="G1249" s="15">
        <v>-1.4200000000000001E-2</v>
      </c>
    </row>
    <row r="1250" spans="1:7" x14ac:dyDescent="0.35">
      <c r="A1250" s="12" t="s">
        <v>2449</v>
      </c>
      <c r="B1250" s="13">
        <v>3399</v>
      </c>
      <c r="C1250" s="13">
        <v>3393.6</v>
      </c>
      <c r="D1250" s="13">
        <v>3410.8</v>
      </c>
      <c r="E1250" s="13">
        <v>3379.1</v>
      </c>
      <c r="F1250" s="14" t="s">
        <v>2450</v>
      </c>
      <c r="G1250" s="15">
        <v>-1.6999999999999999E-3</v>
      </c>
    </row>
    <row r="1251" spans="1:7" x14ac:dyDescent="0.35">
      <c r="A1251" s="12" t="s">
        <v>2451</v>
      </c>
      <c r="B1251" s="13">
        <v>3408.3</v>
      </c>
      <c r="C1251" s="13">
        <v>3399.6</v>
      </c>
      <c r="D1251" s="13">
        <v>3422.6</v>
      </c>
      <c r="E1251" s="13">
        <v>3392.7</v>
      </c>
      <c r="F1251" s="14" t="s">
        <v>2452</v>
      </c>
      <c r="G1251" s="15">
        <v>2.7000000000000001E-3</v>
      </c>
    </row>
    <row r="1252" spans="1:7" x14ac:dyDescent="0.35">
      <c r="A1252" s="12" t="s">
        <v>2453</v>
      </c>
      <c r="B1252" s="13">
        <v>3383.2</v>
      </c>
      <c r="C1252" s="13">
        <v>3407.2</v>
      </c>
      <c r="D1252" s="13">
        <v>3423.8</v>
      </c>
      <c r="E1252" s="13">
        <v>3375.5</v>
      </c>
      <c r="F1252" s="14" t="s">
        <v>2454</v>
      </c>
      <c r="G1252" s="15">
        <v>-7.4000000000000003E-3</v>
      </c>
    </row>
    <row r="1253" spans="1:7" x14ac:dyDescent="0.35">
      <c r="A1253" s="12" t="s">
        <v>2455</v>
      </c>
      <c r="B1253" s="13">
        <v>3378</v>
      </c>
      <c r="C1253" s="13">
        <v>3382.4</v>
      </c>
      <c r="D1253" s="13">
        <v>3403.6</v>
      </c>
      <c r="E1253" s="13">
        <v>3368</v>
      </c>
      <c r="F1253" s="14" t="s">
        <v>2456</v>
      </c>
      <c r="G1253" s="15">
        <v>-1.5E-3</v>
      </c>
    </row>
    <row r="1254" spans="1:7" x14ac:dyDescent="0.35">
      <c r="A1254" s="12" t="s">
        <v>2457</v>
      </c>
      <c r="B1254" s="13">
        <v>3358.7</v>
      </c>
      <c r="C1254" s="13">
        <v>3378.3</v>
      </c>
      <c r="D1254" s="13">
        <v>3389.7</v>
      </c>
      <c r="E1254" s="13">
        <v>3358.1</v>
      </c>
      <c r="F1254" s="14" t="s">
        <v>2458</v>
      </c>
      <c r="G1254" s="15">
        <v>-5.7000000000000002E-3</v>
      </c>
    </row>
    <row r="1255" spans="1:7" x14ac:dyDescent="0.35">
      <c r="A1255" s="12" t="s">
        <v>2459</v>
      </c>
      <c r="B1255" s="13">
        <v>3388.5</v>
      </c>
      <c r="C1255" s="13">
        <v>3359</v>
      </c>
      <c r="D1255" s="13">
        <v>3394.3</v>
      </c>
      <c r="E1255" s="13">
        <v>3353.4</v>
      </c>
      <c r="F1255" s="14" t="s">
        <v>2460</v>
      </c>
      <c r="G1255" s="15">
        <v>8.8999999999999999E-3</v>
      </c>
    </row>
    <row r="1256" spans="1:7" x14ac:dyDescent="0.35">
      <c r="A1256" s="12" t="s">
        <v>2461</v>
      </c>
      <c r="B1256" s="13">
        <v>3381.6</v>
      </c>
      <c r="C1256" s="13">
        <v>3392.2</v>
      </c>
      <c r="D1256" s="13">
        <v>3394.4</v>
      </c>
      <c r="E1256" s="13">
        <v>3367.4</v>
      </c>
      <c r="F1256" s="14" t="s">
        <v>2462</v>
      </c>
      <c r="G1256" s="15">
        <v>-2E-3</v>
      </c>
    </row>
    <row r="1257" spans="1:7" x14ac:dyDescent="0.35">
      <c r="A1257" s="12" t="s">
        <v>2463</v>
      </c>
      <c r="B1257" s="13">
        <v>3404.9</v>
      </c>
      <c r="C1257" s="13">
        <v>3399.7</v>
      </c>
      <c r="D1257" s="13">
        <v>3407.2</v>
      </c>
      <c r="E1257" s="13">
        <v>3395</v>
      </c>
      <c r="F1257" s="14" t="s">
        <v>2464</v>
      </c>
      <c r="G1257" s="15">
        <v>6.8999999999999999E-3</v>
      </c>
    </row>
    <row r="1258" spans="1:7" x14ac:dyDescent="0.35">
      <c r="A1258" s="12" t="s">
        <v>2465</v>
      </c>
      <c r="B1258" s="13">
        <v>3420.1</v>
      </c>
      <c r="C1258" s="13">
        <v>3398.1</v>
      </c>
      <c r="D1258" s="13">
        <v>3427</v>
      </c>
      <c r="E1258" s="13">
        <v>3398.1</v>
      </c>
      <c r="F1258" s="14" t="s">
        <v>2466</v>
      </c>
      <c r="G1258" s="15">
        <v>4.4999999999999997E-3</v>
      </c>
    </row>
    <row r="1259" spans="1:7" x14ac:dyDescent="0.35">
      <c r="A1259" s="12" t="s">
        <v>2467</v>
      </c>
      <c r="B1259" s="13">
        <v>3435.7</v>
      </c>
      <c r="C1259" s="13">
        <v>3428.1</v>
      </c>
      <c r="D1259" s="13">
        <v>3436</v>
      </c>
      <c r="E1259" s="13">
        <v>3410.7</v>
      </c>
      <c r="F1259" s="14" t="s">
        <v>2468</v>
      </c>
      <c r="G1259" s="15">
        <v>4.5999999999999999E-3</v>
      </c>
    </row>
    <row r="1260" spans="1:7" x14ac:dyDescent="0.35">
      <c r="A1260" s="12" t="s">
        <v>2469</v>
      </c>
      <c r="B1260" s="13">
        <v>3474.3</v>
      </c>
      <c r="C1260" s="13">
        <v>3452.6</v>
      </c>
      <c r="D1260" s="13">
        <v>3478.7</v>
      </c>
      <c r="E1260" s="13">
        <v>3442.5</v>
      </c>
      <c r="F1260" s="14" t="s">
        <v>2470</v>
      </c>
      <c r="G1260" s="15">
        <v>1.12E-2</v>
      </c>
    </row>
    <row r="1261" spans="1:7" x14ac:dyDescent="0.35">
      <c r="A1261" s="12" t="s">
        <v>2471</v>
      </c>
      <c r="B1261" s="13">
        <v>3512</v>
      </c>
      <c r="C1261" s="13">
        <v>3517.65</v>
      </c>
      <c r="D1261" s="13">
        <v>3517.65</v>
      </c>
      <c r="E1261" s="13">
        <v>3509.7</v>
      </c>
      <c r="F1261" s="14" t="s">
        <v>2472</v>
      </c>
      <c r="G1261" s="15">
        <v>1.09E-2</v>
      </c>
    </row>
    <row r="1262" spans="1:7" x14ac:dyDescent="0.35">
      <c r="A1262" s="12" t="s">
        <v>2473</v>
      </c>
      <c r="B1262" s="13">
        <v>3592.2</v>
      </c>
      <c r="C1262" s="13">
        <v>3517.9</v>
      </c>
      <c r="D1262" s="13">
        <v>3602.4</v>
      </c>
      <c r="E1262" s="13">
        <v>3506</v>
      </c>
      <c r="F1262" s="14" t="s">
        <v>2474</v>
      </c>
      <c r="G1262" s="15">
        <v>2.2800000000000001E-2</v>
      </c>
    </row>
    <row r="1263" spans="1:7" x14ac:dyDescent="0.35">
      <c r="A1263" s="12" t="s">
        <v>2475</v>
      </c>
      <c r="B1263" s="13">
        <v>3635.5</v>
      </c>
      <c r="C1263" s="13">
        <v>3600</v>
      </c>
      <c r="D1263" s="13">
        <v>3640.1</v>
      </c>
      <c r="E1263" s="13">
        <v>3592.4</v>
      </c>
      <c r="F1263" s="14" t="s">
        <v>2476</v>
      </c>
      <c r="G1263" s="15">
        <v>1.21E-2</v>
      </c>
    </row>
    <row r="1264" spans="1:7" x14ac:dyDescent="0.35">
      <c r="A1264" s="12" t="s">
        <v>2477</v>
      </c>
      <c r="B1264" s="13">
        <v>3606.7</v>
      </c>
      <c r="C1264" s="13">
        <v>3619.8</v>
      </c>
      <c r="D1264" s="13">
        <v>3621.6</v>
      </c>
      <c r="E1264" s="13">
        <v>3573.7</v>
      </c>
      <c r="F1264" s="14" t="s">
        <v>2478</v>
      </c>
      <c r="G1264" s="15">
        <v>-7.9000000000000008E-3</v>
      </c>
    </row>
    <row r="1265" spans="1:7" x14ac:dyDescent="0.35">
      <c r="A1265" s="12" t="s">
        <v>2479</v>
      </c>
      <c r="B1265" s="13">
        <v>3677.4</v>
      </c>
      <c r="C1265" s="13">
        <v>3635</v>
      </c>
      <c r="D1265" s="13">
        <v>3685.7</v>
      </c>
      <c r="E1265" s="13">
        <v>3621.7</v>
      </c>
      <c r="F1265" s="14" t="s">
        <v>2480</v>
      </c>
      <c r="G1265" s="15">
        <v>1.9599999999999999E-2</v>
      </c>
    </row>
    <row r="1266" spans="1:7" x14ac:dyDescent="0.35">
      <c r="A1266" s="12" t="s">
        <v>2481</v>
      </c>
      <c r="B1266" s="13">
        <v>3682.2</v>
      </c>
      <c r="C1266" s="13">
        <v>3676.6</v>
      </c>
      <c r="D1266" s="13">
        <v>3715.2</v>
      </c>
      <c r="E1266" s="13">
        <v>3663.7</v>
      </c>
      <c r="F1266" s="14" t="s">
        <v>2482</v>
      </c>
      <c r="G1266" s="15">
        <v>1.2999999999999999E-3</v>
      </c>
    </row>
    <row r="1267" spans="1:7" x14ac:dyDescent="0.35">
      <c r="A1267" s="12" t="s">
        <v>2483</v>
      </c>
      <c r="B1267" s="13">
        <v>3682</v>
      </c>
      <c r="C1267" s="13">
        <v>3662</v>
      </c>
      <c r="D1267" s="13">
        <v>3697.5</v>
      </c>
      <c r="E1267" s="13">
        <v>3651.4</v>
      </c>
      <c r="F1267" s="14" t="s">
        <v>1140</v>
      </c>
      <c r="G1267" s="15">
        <v>-1E-4</v>
      </c>
    </row>
    <row r="1268" spans="1:7" x14ac:dyDescent="0.35">
      <c r="A1268" s="12" t="s">
        <v>2484</v>
      </c>
      <c r="B1268" s="13">
        <v>3673.6</v>
      </c>
      <c r="C1268" s="13">
        <v>3680.6</v>
      </c>
      <c r="D1268" s="13">
        <v>3687.5</v>
      </c>
      <c r="E1268" s="13">
        <v>3651</v>
      </c>
      <c r="F1268" s="14" t="s">
        <v>2485</v>
      </c>
      <c r="G1268" s="15">
        <v>-2.3E-3</v>
      </c>
    </row>
    <row r="1269" spans="1:7" x14ac:dyDescent="0.35">
      <c r="A1269" s="12" t="s">
        <v>2486</v>
      </c>
      <c r="B1269" s="13">
        <v>3719</v>
      </c>
      <c r="C1269" s="13">
        <v>3680.2</v>
      </c>
      <c r="D1269" s="13">
        <v>3724.9</v>
      </c>
      <c r="E1269" s="13">
        <v>3662.8</v>
      </c>
      <c r="F1269" s="14" t="s">
        <v>2487</v>
      </c>
      <c r="G1269" s="15">
        <v>1.24E-2</v>
      </c>
    </row>
    <row r="1270" spans="1:7" x14ac:dyDescent="0.35">
      <c r="A1270" s="12" t="s">
        <v>2488</v>
      </c>
      <c r="B1270" s="13">
        <v>3725.1</v>
      </c>
      <c r="C1270" s="13">
        <v>3720.3</v>
      </c>
      <c r="D1270" s="13">
        <v>3739.9</v>
      </c>
      <c r="E1270" s="13">
        <v>3711.8</v>
      </c>
      <c r="F1270" s="14" t="s">
        <v>2489</v>
      </c>
      <c r="G1270" s="15">
        <v>1.6000000000000001E-3</v>
      </c>
    </row>
    <row r="1271" spans="1:7" x14ac:dyDescent="0.35">
      <c r="A1271" s="12" t="s">
        <v>2490</v>
      </c>
      <c r="B1271" s="13">
        <v>3717.8</v>
      </c>
      <c r="C1271" s="13">
        <v>3727.3</v>
      </c>
      <c r="D1271" s="13">
        <v>3744</v>
      </c>
      <c r="E1271" s="13">
        <v>3679.5</v>
      </c>
      <c r="F1271" s="14" t="s">
        <v>2491</v>
      </c>
      <c r="G1271" s="15">
        <v>-2E-3</v>
      </c>
    </row>
    <row r="1272" spans="1:7" x14ac:dyDescent="0.35">
      <c r="A1272" s="12" t="s">
        <v>2492</v>
      </c>
      <c r="B1272" s="13">
        <v>3678.3</v>
      </c>
      <c r="C1272" s="13">
        <v>3692.5</v>
      </c>
      <c r="D1272" s="13">
        <v>3707.3</v>
      </c>
      <c r="E1272" s="13">
        <v>3660.5</v>
      </c>
      <c r="F1272" s="14" t="s">
        <v>2493</v>
      </c>
      <c r="G1272" s="15">
        <v>-1.06E-2</v>
      </c>
    </row>
    <row r="1273" spans="1:7" x14ac:dyDescent="0.35">
      <c r="A1273" s="12" t="s">
        <v>2494</v>
      </c>
      <c r="B1273" s="13">
        <v>3761.6</v>
      </c>
      <c r="C1273" s="13">
        <v>3707.5</v>
      </c>
      <c r="D1273" s="13">
        <v>3769</v>
      </c>
      <c r="E1273" s="13">
        <v>3705</v>
      </c>
      <c r="F1273" s="14" t="s">
        <v>2495</v>
      </c>
      <c r="G1273" s="15">
        <v>2.2599999999999999E-2</v>
      </c>
    </row>
    <row r="1274" spans="1:7" x14ac:dyDescent="0.35">
      <c r="A1274" s="12" t="s">
        <v>2496</v>
      </c>
      <c r="B1274" s="13">
        <v>3801.8</v>
      </c>
      <c r="C1274" s="13">
        <v>3767.3</v>
      </c>
      <c r="D1274" s="13">
        <v>3808</v>
      </c>
      <c r="E1274" s="13">
        <v>3759.3</v>
      </c>
      <c r="F1274" s="14" t="s">
        <v>2497</v>
      </c>
      <c r="G1274" s="15">
        <v>1.0699999999999999E-2</v>
      </c>
    </row>
    <row r="1275" spans="1:7" x14ac:dyDescent="0.35">
      <c r="A1275" s="12" t="s">
        <v>2498</v>
      </c>
      <c r="B1275" s="13">
        <v>3753.4</v>
      </c>
      <c r="C1275" s="13">
        <v>3784.3</v>
      </c>
      <c r="D1275" s="13">
        <v>3798.5</v>
      </c>
      <c r="E1275" s="13">
        <v>3735.7</v>
      </c>
      <c r="F1275" s="14" t="s">
        <v>2499</v>
      </c>
      <c r="G1275" s="15">
        <v>-1.2699999999999999E-2</v>
      </c>
    </row>
    <row r="1276" spans="1:7" x14ac:dyDescent="0.35">
      <c r="A1276" s="12" t="s">
        <v>2500</v>
      </c>
      <c r="B1276" s="13">
        <v>3756.5</v>
      </c>
      <c r="C1276" s="13">
        <v>3758</v>
      </c>
      <c r="D1276" s="13">
        <v>3775.9</v>
      </c>
      <c r="E1276" s="13">
        <v>3739</v>
      </c>
      <c r="F1276" s="14" t="s">
        <v>1772</v>
      </c>
      <c r="G1276" s="15">
        <v>8.0000000000000004E-4</v>
      </c>
    </row>
    <row r="1277" spans="1:7" x14ac:dyDescent="0.35">
      <c r="A1277" s="12" t="s">
        <v>2501</v>
      </c>
      <c r="B1277" s="13">
        <v>3855.2</v>
      </c>
      <c r="C1277" s="13">
        <v>3788.8</v>
      </c>
      <c r="D1277" s="13">
        <v>3863.7</v>
      </c>
      <c r="E1277" s="13">
        <v>3785.5</v>
      </c>
      <c r="F1277" s="14" t="s">
        <v>2502</v>
      </c>
      <c r="G1277" s="15">
        <v>2.63E-2</v>
      </c>
    </row>
    <row r="1278" spans="1:7" x14ac:dyDescent="0.35">
      <c r="A1278" s="12" t="s">
        <v>2503</v>
      </c>
      <c r="B1278" s="13">
        <v>3873.2</v>
      </c>
      <c r="C1278" s="13">
        <v>3863.1</v>
      </c>
      <c r="D1278" s="13">
        <v>3899.2</v>
      </c>
      <c r="E1278" s="13">
        <v>3820.6</v>
      </c>
      <c r="F1278" s="14" t="s">
        <v>2504</v>
      </c>
      <c r="G1278" s="15">
        <v>4.7000000000000002E-3</v>
      </c>
    </row>
    <row r="1279" spans="1:7" x14ac:dyDescent="0.35">
      <c r="A1279" s="12" t="s">
        <v>2505</v>
      </c>
      <c r="B1279" s="13">
        <v>3897.5</v>
      </c>
      <c r="C1279" s="13">
        <v>3887.7</v>
      </c>
      <c r="D1279" s="13">
        <v>3922.7</v>
      </c>
      <c r="E1279" s="13">
        <v>3880.3</v>
      </c>
      <c r="F1279" s="14" t="s">
        <v>2506</v>
      </c>
      <c r="G1279" s="15">
        <v>6.3E-3</v>
      </c>
    </row>
    <row r="1280" spans="1:7" x14ac:dyDescent="0.35">
      <c r="A1280" s="12" t="s">
        <v>2507</v>
      </c>
      <c r="B1280" s="13">
        <v>3868.1</v>
      </c>
      <c r="C1280" s="13">
        <v>3892.7</v>
      </c>
      <c r="D1280" s="13">
        <v>3923.3</v>
      </c>
      <c r="E1280" s="13">
        <v>3842.8</v>
      </c>
      <c r="F1280" s="14" t="s">
        <v>2508</v>
      </c>
      <c r="G1280" s="15">
        <v>-7.4999999999999997E-3</v>
      </c>
    </row>
    <row r="1281" spans="1:7" x14ac:dyDescent="0.35">
      <c r="A1281" s="12" t="s">
        <v>2509</v>
      </c>
      <c r="B1281" s="13">
        <v>3976.3</v>
      </c>
      <c r="C1281" s="13">
        <v>3913.5</v>
      </c>
      <c r="D1281" s="13">
        <v>3994.5</v>
      </c>
      <c r="E1281" s="13">
        <v>3909.2</v>
      </c>
      <c r="F1281" s="14" t="s">
        <v>436</v>
      </c>
      <c r="G1281" s="15">
        <v>2.8000000000000001E-2</v>
      </c>
    </row>
    <row r="1282" spans="1:7" x14ac:dyDescent="0.35">
      <c r="A1282" s="12" t="s">
        <v>2510</v>
      </c>
      <c r="B1282" s="13">
        <v>4004.4</v>
      </c>
      <c r="C1282" s="13">
        <v>3983</v>
      </c>
      <c r="D1282" s="13">
        <v>4014.6</v>
      </c>
      <c r="E1282" s="13">
        <v>3963.4</v>
      </c>
      <c r="F1282" s="14" t="s">
        <v>2511</v>
      </c>
      <c r="G1282" s="15">
        <v>7.1000000000000004E-3</v>
      </c>
    </row>
    <row r="1283" spans="1:7" x14ac:dyDescent="0.35">
      <c r="A1283" s="12" t="s">
        <v>2512</v>
      </c>
      <c r="B1283" s="13">
        <v>4070.5</v>
      </c>
      <c r="C1283" s="13">
        <v>4007.1</v>
      </c>
      <c r="D1283" s="13">
        <v>4081</v>
      </c>
      <c r="E1283" s="13">
        <v>4005.6</v>
      </c>
      <c r="F1283" s="14" t="s">
        <v>2513</v>
      </c>
      <c r="G1283" s="15">
        <v>1.6500000000000001E-2</v>
      </c>
    </row>
    <row r="1284" spans="1:7" x14ac:dyDescent="0.35">
      <c r="A1284" s="12" t="s">
        <v>2514</v>
      </c>
      <c r="B1284" s="13">
        <v>3972.6</v>
      </c>
      <c r="C1284" s="13">
        <v>4061.8</v>
      </c>
      <c r="D1284" s="13">
        <v>4077.9</v>
      </c>
      <c r="E1284" s="13">
        <v>3957.9</v>
      </c>
      <c r="F1284" s="14" t="s">
        <v>2515</v>
      </c>
      <c r="G1284" s="15">
        <v>-2.41E-2</v>
      </c>
    </row>
    <row r="1285" spans="1:7" x14ac:dyDescent="0.35">
      <c r="A1285" s="12" t="s">
        <v>2516</v>
      </c>
      <c r="B1285" s="13">
        <v>4133</v>
      </c>
      <c r="C1285" s="13">
        <v>4018.3</v>
      </c>
      <c r="D1285" s="13">
        <v>4137.2</v>
      </c>
      <c r="E1285" s="13">
        <v>4011.3</v>
      </c>
      <c r="F1285" s="14" t="s">
        <v>2517</v>
      </c>
      <c r="G1285" s="15">
        <v>4.0399999999999998E-2</v>
      </c>
    </row>
    <row r="1286" spans="1:7" x14ac:dyDescent="0.35">
      <c r="A1286" s="12" t="s">
        <v>2518</v>
      </c>
      <c r="B1286" s="13">
        <v>4163.3999999999996</v>
      </c>
      <c r="C1286" s="13">
        <v>4130.8999999999996</v>
      </c>
      <c r="D1286" s="13">
        <v>4190.8999999999996</v>
      </c>
      <c r="E1286" s="13">
        <v>4105</v>
      </c>
      <c r="F1286" s="14" t="s">
        <v>2519</v>
      </c>
      <c r="G1286" s="15">
        <v>7.4000000000000003E-3</v>
      </c>
    </row>
    <row r="1287" spans="1:7" x14ac:dyDescent="0.35">
      <c r="A1287" s="12" t="s">
        <v>2520</v>
      </c>
      <c r="B1287" s="13">
        <v>4201.6000000000004</v>
      </c>
      <c r="C1287" s="13">
        <v>4160.1000000000004</v>
      </c>
      <c r="D1287" s="13">
        <v>4235.8</v>
      </c>
      <c r="E1287" s="13">
        <v>4157.3</v>
      </c>
      <c r="F1287" s="14" t="s">
        <v>2521</v>
      </c>
      <c r="G1287" s="15">
        <v>9.1999999999999998E-3</v>
      </c>
    </row>
    <row r="1288" spans="1:7" x14ac:dyDescent="0.35">
      <c r="A1288" s="12" t="s">
        <v>2522</v>
      </c>
      <c r="B1288" s="13">
        <v>4304.6000000000004</v>
      </c>
      <c r="C1288" s="13">
        <v>4225.1000000000004</v>
      </c>
      <c r="D1288" s="13">
        <v>4346.7</v>
      </c>
      <c r="E1288" s="13">
        <v>4214.5</v>
      </c>
      <c r="F1288" s="14" t="s">
        <v>2523</v>
      </c>
      <c r="G1288" s="15">
        <v>2.4500000000000001E-2</v>
      </c>
    </row>
    <row r="1289" spans="1:7" x14ac:dyDescent="0.35">
      <c r="A1289" s="12" t="s">
        <v>2524</v>
      </c>
      <c r="B1289" s="13">
        <v>4359.3999999999996</v>
      </c>
      <c r="C1289" s="13">
        <v>4269</v>
      </c>
      <c r="D1289" s="13">
        <v>4398</v>
      </c>
      <c r="E1289" s="13">
        <v>4229.7</v>
      </c>
      <c r="F1289" s="14" t="s">
        <v>2525</v>
      </c>
      <c r="G1289" s="15">
        <v>1.2699999999999999E-2</v>
      </c>
    </row>
    <row r="1290" spans="1:7" x14ac:dyDescent="0.35">
      <c r="A1290" s="12" t="s">
        <v>2526</v>
      </c>
      <c r="B1290" s="13">
        <v>4109.1000000000004</v>
      </c>
      <c r="C1290" s="13">
        <v>4371</v>
      </c>
      <c r="D1290" s="13">
        <v>4393.6000000000004</v>
      </c>
      <c r="E1290" s="13">
        <v>4093</v>
      </c>
      <c r="F1290" s="14" t="s">
        <v>2527</v>
      </c>
      <c r="G1290" s="15">
        <v>-5.74E-2</v>
      </c>
    </row>
    <row r="1291" spans="1:7" x14ac:dyDescent="0.35">
      <c r="A1291" s="12" t="s">
        <v>2528</v>
      </c>
      <c r="B1291" s="13">
        <v>4065.4</v>
      </c>
      <c r="C1291" s="13">
        <v>4137</v>
      </c>
      <c r="D1291" s="13">
        <v>4175</v>
      </c>
      <c r="E1291" s="13">
        <v>4021.2</v>
      </c>
      <c r="F1291" s="14" t="s">
        <v>2529</v>
      </c>
      <c r="G1291" s="15">
        <v>-1.06E-2</v>
      </c>
    </row>
    <row r="1292" spans="1:7" x14ac:dyDescent="0.35">
      <c r="A1292" s="12" t="s">
        <v>2530</v>
      </c>
      <c r="B1292" s="13">
        <v>4145.6000000000004</v>
      </c>
      <c r="C1292" s="13">
        <v>4114.8</v>
      </c>
      <c r="D1292" s="13">
        <v>4171.5</v>
      </c>
      <c r="E1292" s="13">
        <v>4079.6</v>
      </c>
      <c r="F1292" s="14" t="s">
        <v>2531</v>
      </c>
      <c r="G1292" s="15">
        <v>1.9699999999999999E-2</v>
      </c>
    </row>
    <row r="1293" spans="1:7" x14ac:dyDescent="0.35">
      <c r="A1293" s="12" t="s">
        <v>2532</v>
      </c>
      <c r="B1293" s="13">
        <v>4005.5</v>
      </c>
      <c r="C1293" s="13">
        <v>4066.3</v>
      </c>
      <c r="D1293" s="13">
        <v>4101.6000000000004</v>
      </c>
      <c r="E1293" s="13">
        <v>3973</v>
      </c>
      <c r="F1293" s="14" t="s">
        <v>2533</v>
      </c>
      <c r="G1293" s="15">
        <v>-3.3799999999999997E-2</v>
      </c>
    </row>
    <row r="1294" spans="1:7" x14ac:dyDescent="0.35">
      <c r="A1294" s="12" t="s">
        <v>2534</v>
      </c>
      <c r="B1294" s="13">
        <v>3968.7</v>
      </c>
      <c r="C1294" s="13">
        <v>3985.1</v>
      </c>
      <c r="D1294" s="13">
        <v>4015</v>
      </c>
      <c r="E1294" s="13">
        <v>3890.7</v>
      </c>
      <c r="F1294" s="14" t="s">
        <v>2535</v>
      </c>
      <c r="G1294" s="15">
        <v>-9.1999999999999998E-3</v>
      </c>
    </row>
    <row r="1295" spans="1:7" x14ac:dyDescent="0.35">
      <c r="A1295" s="12" t="s">
        <v>2536</v>
      </c>
      <c r="B1295" s="13">
        <v>3986.2</v>
      </c>
      <c r="C1295" s="13">
        <v>3930.9</v>
      </c>
      <c r="D1295" s="13">
        <v>4030</v>
      </c>
      <c r="E1295" s="13">
        <v>3926.5</v>
      </c>
      <c r="F1295" s="14" t="s">
        <v>2537</v>
      </c>
      <c r="G1295" s="15">
        <v>4.4000000000000003E-3</v>
      </c>
    </row>
    <row r="1296" spans="1:7" x14ac:dyDescent="0.35">
      <c r="A1296" s="12" t="s">
        <v>2538</v>
      </c>
      <c r="B1296" s="13">
        <v>4015.9</v>
      </c>
      <c r="C1296" s="13">
        <v>3942.8</v>
      </c>
      <c r="D1296" s="13">
        <v>4041.5</v>
      </c>
      <c r="E1296" s="13">
        <v>3925.1</v>
      </c>
      <c r="F1296" s="14" t="s">
        <v>2539</v>
      </c>
      <c r="G1296" s="15">
        <v>7.4999999999999997E-3</v>
      </c>
    </row>
    <row r="1297" spans="1:7" x14ac:dyDescent="0.35">
      <c r="A1297" s="12" t="s">
        <v>2540</v>
      </c>
      <c r="B1297" s="13">
        <v>4014</v>
      </c>
      <c r="C1297" s="13">
        <v>4001</v>
      </c>
      <c r="D1297" s="13">
        <v>4043.1</v>
      </c>
      <c r="E1297" s="13">
        <v>3971.3</v>
      </c>
      <c r="F1297" s="14" t="s">
        <v>2541</v>
      </c>
      <c r="G1297" s="15">
        <v>-5.0000000000000001E-4</v>
      </c>
    </row>
    <row r="1298" spans="1:7" x14ac:dyDescent="0.35">
      <c r="A1298" s="12" t="s">
        <v>2542</v>
      </c>
      <c r="B1298" s="13">
        <v>3960.5</v>
      </c>
      <c r="C1298" s="13">
        <v>4013.7</v>
      </c>
      <c r="D1298" s="13">
        <v>4018</v>
      </c>
      <c r="E1298" s="13">
        <v>3937.1</v>
      </c>
      <c r="F1298" s="14" t="s">
        <v>2543</v>
      </c>
      <c r="G1298" s="15">
        <v>-1.3299999999999999E-2</v>
      </c>
    </row>
    <row r="1299" spans="1:7" x14ac:dyDescent="0.35">
      <c r="A1299" s="12" t="s">
        <v>2544</v>
      </c>
      <c r="B1299" s="13">
        <v>3992.9</v>
      </c>
      <c r="C1299" s="13">
        <v>3939.5</v>
      </c>
      <c r="D1299" s="13">
        <v>4000.7</v>
      </c>
      <c r="E1299" s="13">
        <v>3935.7</v>
      </c>
      <c r="F1299" s="14" t="s">
        <v>2545</v>
      </c>
      <c r="G1299" s="15">
        <v>8.2000000000000007E-3</v>
      </c>
    </row>
    <row r="1300" spans="1:7" x14ac:dyDescent="0.35">
      <c r="A1300" s="12" t="s">
        <v>2546</v>
      </c>
      <c r="B1300" s="13">
        <v>3991</v>
      </c>
      <c r="C1300" s="13">
        <v>3992.4</v>
      </c>
      <c r="D1300" s="13">
        <v>4028.7</v>
      </c>
      <c r="E1300" s="13">
        <v>3973.2</v>
      </c>
      <c r="F1300" s="14" t="s">
        <v>2547</v>
      </c>
      <c r="G1300" s="15">
        <v>-5.0000000000000001E-4</v>
      </c>
    </row>
    <row r="1301" spans="1:7" x14ac:dyDescent="0.35">
      <c r="A1301" s="12" t="s">
        <v>2548</v>
      </c>
      <c r="B1301" s="13">
        <v>4122</v>
      </c>
      <c r="C1301" s="13">
        <v>4007.2</v>
      </c>
      <c r="D1301" s="13">
        <v>4124</v>
      </c>
      <c r="E1301" s="13">
        <v>4004.2</v>
      </c>
      <c r="F1301" s="14" t="s">
        <v>2549</v>
      </c>
      <c r="G1301" s="15">
        <v>3.2800000000000003E-2</v>
      </c>
    </row>
    <row r="1302" spans="1:7" x14ac:dyDescent="0.35">
      <c r="A1302" s="12" t="s">
        <v>2550</v>
      </c>
      <c r="B1302" s="13">
        <v>4116.3</v>
      </c>
      <c r="C1302" s="13">
        <v>4124</v>
      </c>
      <c r="D1302" s="13">
        <v>4155</v>
      </c>
      <c r="E1302" s="13">
        <v>4102.8</v>
      </c>
      <c r="F1302" s="14" t="s">
        <v>2551</v>
      </c>
      <c r="G1302" s="15">
        <v>-1.4E-3</v>
      </c>
    </row>
    <row r="1303" spans="1:7" x14ac:dyDescent="0.35">
      <c r="A1303" s="12" t="s">
        <v>2552</v>
      </c>
      <c r="B1303" s="13">
        <v>4213.6000000000004</v>
      </c>
      <c r="C1303" s="13">
        <v>4132.2</v>
      </c>
      <c r="D1303" s="13">
        <v>4218.5</v>
      </c>
      <c r="E1303" s="13">
        <v>4104.3999999999996</v>
      </c>
      <c r="F1303" s="14" t="s">
        <v>2553</v>
      </c>
      <c r="G1303" s="15">
        <v>2.3599999999999999E-2</v>
      </c>
    </row>
    <row r="1304" spans="1:7" x14ac:dyDescent="0.35">
      <c r="A1304" s="12" t="s">
        <v>2554</v>
      </c>
      <c r="B1304" s="13">
        <v>4194.5</v>
      </c>
      <c r="C1304" s="13">
        <v>4202.3999999999996</v>
      </c>
      <c r="D1304" s="13">
        <v>4250</v>
      </c>
      <c r="E1304" s="13">
        <v>4148.5</v>
      </c>
      <c r="F1304" s="14" t="s">
        <v>2555</v>
      </c>
      <c r="G1304" s="15">
        <v>-4.4999999999999997E-3</v>
      </c>
    </row>
    <row r="1305" spans="1:7" x14ac:dyDescent="0.35">
      <c r="A1305" s="12" t="s">
        <v>2556</v>
      </c>
      <c r="B1305" s="13">
        <v>4109.8</v>
      </c>
      <c r="C1305" s="13">
        <v>4122.7</v>
      </c>
      <c r="D1305" s="13">
        <v>4142.7</v>
      </c>
      <c r="E1305" s="13">
        <v>4042.3</v>
      </c>
      <c r="F1305" s="14" t="s">
        <v>1537</v>
      </c>
      <c r="G1305" s="15">
        <v>-2.0199999999999999E-2</v>
      </c>
    </row>
    <row r="1306" spans="1:7" x14ac:dyDescent="0.35">
      <c r="A1306" s="12" t="s">
        <v>2557</v>
      </c>
      <c r="B1306" s="13">
        <v>4101.7</v>
      </c>
      <c r="C1306" s="13">
        <v>4083.9</v>
      </c>
      <c r="D1306" s="13">
        <v>4118.7</v>
      </c>
      <c r="E1306" s="13">
        <v>4032.8</v>
      </c>
      <c r="F1306" s="14" t="s">
        <v>2558</v>
      </c>
      <c r="G1306" s="15">
        <v>-2E-3</v>
      </c>
    </row>
    <row r="1307" spans="1:7" x14ac:dyDescent="0.35">
      <c r="A1307" s="12" t="s">
        <v>2559</v>
      </c>
      <c r="B1307" s="13">
        <v>4118.2</v>
      </c>
      <c r="C1307" s="13">
        <v>4104.2</v>
      </c>
      <c r="D1307" s="13">
        <v>4169.6000000000004</v>
      </c>
      <c r="E1307" s="13">
        <v>4090.8</v>
      </c>
      <c r="F1307" s="14" t="s">
        <v>2560</v>
      </c>
      <c r="G1307" s="15">
        <v>4.0000000000000001E-3</v>
      </c>
    </row>
    <row r="1308" spans="1:7" x14ac:dyDescent="0.35">
      <c r="A1308" s="12" t="s">
        <v>2561</v>
      </c>
      <c r="B1308" s="13">
        <v>4095.7</v>
      </c>
      <c r="C1308" s="13">
        <v>4118.8999999999996</v>
      </c>
      <c r="D1308" s="13">
        <v>4145</v>
      </c>
      <c r="E1308" s="13">
        <v>4069.8</v>
      </c>
      <c r="F1308" s="14" t="s">
        <v>2562</v>
      </c>
      <c r="G1308" s="15">
        <v>-5.4999999999999997E-3</v>
      </c>
    </row>
    <row r="1309" spans="1:7" x14ac:dyDescent="0.35">
      <c r="A1309" s="12" t="s">
        <v>2563</v>
      </c>
      <c r="B1309" s="13">
        <v>4113.1000000000004</v>
      </c>
      <c r="C1309" s="13">
        <v>4087.3</v>
      </c>
      <c r="D1309" s="13">
        <v>4157</v>
      </c>
      <c r="E1309" s="13">
        <v>4056</v>
      </c>
      <c r="F1309" s="14" t="s">
        <v>2564</v>
      </c>
      <c r="G1309" s="15">
        <v>4.1999999999999997E-3</v>
      </c>
    </row>
    <row r="1310" spans="1:7" x14ac:dyDescent="0.35">
      <c r="A1310" s="12" t="s">
        <v>2565</v>
      </c>
      <c r="B1310" s="13">
        <v>4159.8</v>
      </c>
      <c r="C1310" s="13">
        <v>4153.6000000000004</v>
      </c>
      <c r="D1310" s="13">
        <v>4176.3999999999996</v>
      </c>
      <c r="E1310" s="13">
        <v>4125.6000000000004</v>
      </c>
      <c r="F1310" s="14" t="s">
        <v>2566</v>
      </c>
      <c r="G1310" s="15">
        <v>1.14E-2</v>
      </c>
    </row>
    <row r="1311" spans="1:7" x14ac:dyDescent="0.35">
      <c r="A1311" s="12" t="s">
        <v>2567</v>
      </c>
      <c r="B1311" s="13">
        <v>4202.3</v>
      </c>
      <c r="C1311" s="13">
        <v>4167</v>
      </c>
      <c r="D1311" s="13">
        <v>4209</v>
      </c>
      <c r="E1311" s="13">
        <v>4163.6000000000004</v>
      </c>
      <c r="F1311" s="14" t="s">
        <v>2568</v>
      </c>
      <c r="G1311" s="15">
        <v>1.0200000000000001E-2</v>
      </c>
    </row>
    <row r="1312" spans="1:7" x14ac:dyDescent="0.35">
      <c r="A1312" s="12" t="s">
        <v>2569</v>
      </c>
      <c r="B1312" s="13">
        <v>4274.8</v>
      </c>
      <c r="C1312" s="13">
        <v>4258.5</v>
      </c>
      <c r="D1312" s="13">
        <v>4299.6000000000004</v>
      </c>
      <c r="E1312" s="13">
        <v>4241.1000000000004</v>
      </c>
      <c r="F1312" s="14" t="s">
        <v>2570</v>
      </c>
      <c r="G1312" s="15">
        <v>1.7299999999999999E-2</v>
      </c>
    </row>
    <row r="1313" spans="1:7" x14ac:dyDescent="0.35">
      <c r="A1313" s="12" t="s">
        <v>2571</v>
      </c>
      <c r="B1313" s="13">
        <v>4220.8</v>
      </c>
      <c r="C1313" s="13">
        <v>4265.3</v>
      </c>
      <c r="D1313" s="13">
        <v>4269.2</v>
      </c>
      <c r="E1313" s="13">
        <v>4194</v>
      </c>
      <c r="F1313" s="14" t="s">
        <v>567</v>
      </c>
      <c r="G1313" s="15">
        <v>-1.26E-2</v>
      </c>
    </row>
    <row r="1314" spans="1:7" x14ac:dyDescent="0.35">
      <c r="A1314" s="12" t="s">
        <v>2572</v>
      </c>
      <c r="B1314" s="13">
        <v>4232.5</v>
      </c>
      <c r="C1314" s="13">
        <v>4241.6000000000004</v>
      </c>
      <c r="D1314" s="13">
        <v>4273.3</v>
      </c>
      <c r="E1314" s="13">
        <v>4225.1000000000004</v>
      </c>
      <c r="F1314" s="14" t="s">
        <v>2573</v>
      </c>
      <c r="G1314" s="15">
        <v>2.8E-3</v>
      </c>
    </row>
    <row r="1315" spans="1:7" x14ac:dyDescent="0.35">
      <c r="A1315" s="12" t="s">
        <v>2574</v>
      </c>
      <c r="B1315" s="13">
        <v>4243</v>
      </c>
      <c r="C1315" s="13">
        <v>4234.5</v>
      </c>
      <c r="D1315" s="13">
        <v>4251.1000000000004</v>
      </c>
      <c r="E1315" s="13">
        <v>4203.3</v>
      </c>
      <c r="F1315" s="14" t="s">
        <v>2575</v>
      </c>
      <c r="G1315" s="15">
        <v>2.5000000000000001E-3</v>
      </c>
    </row>
    <row r="1316" spans="1:7" x14ac:dyDescent="0.35">
      <c r="A1316" s="12" t="s">
        <v>2576</v>
      </c>
      <c r="B1316" s="13">
        <v>4217.7</v>
      </c>
      <c r="C1316" s="13">
        <v>4228.1000000000004</v>
      </c>
      <c r="D1316" s="13">
        <v>4247.8999999999996</v>
      </c>
      <c r="E1316" s="13">
        <v>4204</v>
      </c>
      <c r="F1316" s="14" t="s">
        <v>2074</v>
      </c>
      <c r="G1316" s="15">
        <v>-6.0000000000000001E-3</v>
      </c>
    </row>
    <row r="1317" spans="1:7" x14ac:dyDescent="0.35">
      <c r="A1317" s="12" t="s">
        <v>2577</v>
      </c>
      <c r="B1317" s="13">
        <v>4236.2</v>
      </c>
      <c r="C1317" s="13">
        <v>4219.6000000000004</v>
      </c>
      <c r="D1317" s="13">
        <v>4251.7</v>
      </c>
      <c r="E1317" s="13">
        <v>4197.8</v>
      </c>
      <c r="F1317" s="14" t="s">
        <v>2578</v>
      </c>
      <c r="G1317" s="15">
        <v>4.4000000000000003E-3</v>
      </c>
    </row>
    <row r="1318" spans="1:7" x14ac:dyDescent="0.35">
      <c r="A1318" s="12" t="s">
        <v>2579</v>
      </c>
      <c r="B1318" s="13">
        <v>4224.7</v>
      </c>
      <c r="C1318" s="13">
        <v>4237.5</v>
      </c>
      <c r="D1318" s="13">
        <v>4268.8</v>
      </c>
      <c r="E1318" s="13">
        <v>4207.8</v>
      </c>
      <c r="F1318" s="14" t="s">
        <v>2580</v>
      </c>
      <c r="G1318" s="15">
        <v>-2.7000000000000001E-3</v>
      </c>
    </row>
    <row r="1319" spans="1:7" x14ac:dyDescent="0.35">
      <c r="A1319" s="12" t="s">
        <v>2581</v>
      </c>
      <c r="B1319" s="13">
        <v>4313</v>
      </c>
      <c r="C1319" s="13">
        <v>4258.3</v>
      </c>
      <c r="D1319" s="13">
        <v>4317.3</v>
      </c>
      <c r="E1319" s="13">
        <v>4231.2</v>
      </c>
      <c r="F1319" s="14" t="s">
        <v>2582</v>
      </c>
      <c r="G1319" s="15">
        <v>2.0899999999999998E-2</v>
      </c>
    </row>
    <row r="1320" spans="1:7" x14ac:dyDescent="0.35">
      <c r="A1320" s="12" t="s">
        <v>2583</v>
      </c>
      <c r="B1320" s="13">
        <v>4335.2</v>
      </c>
      <c r="C1320" s="13">
        <v>4330</v>
      </c>
      <c r="D1320" s="13">
        <v>4384.3</v>
      </c>
      <c r="E1320" s="13">
        <v>4315.8999999999996</v>
      </c>
      <c r="F1320" s="14" t="s">
        <v>2584</v>
      </c>
      <c r="G1320" s="15">
        <v>5.1000000000000004E-3</v>
      </c>
    </row>
    <row r="1321" spans="1:7" x14ac:dyDescent="0.35">
      <c r="A1321" s="12" t="s">
        <v>2585</v>
      </c>
      <c r="B1321" s="13">
        <v>4332.3</v>
      </c>
      <c r="C1321" s="13">
        <v>4334.3</v>
      </c>
      <c r="D1321" s="13">
        <v>4367.8999999999996</v>
      </c>
      <c r="E1321" s="13">
        <v>4297.3999999999996</v>
      </c>
      <c r="F1321" s="14" t="s">
        <v>2586</v>
      </c>
      <c r="G1321" s="15">
        <v>-6.9999999999999999E-4</v>
      </c>
    </row>
    <row r="1322" spans="1:7" x14ac:dyDescent="0.35">
      <c r="A1322" s="12" t="s">
        <v>2587</v>
      </c>
      <c r="B1322" s="13">
        <v>4373.8999999999996</v>
      </c>
      <c r="C1322" s="13">
        <v>4333.5</v>
      </c>
      <c r="D1322" s="13">
        <v>4383.6000000000004</v>
      </c>
      <c r="E1322" s="13">
        <v>4330.7</v>
      </c>
      <c r="F1322" s="14" t="s">
        <v>1849</v>
      </c>
      <c r="G1322" s="15">
        <v>9.5999999999999992E-3</v>
      </c>
    </row>
    <row r="1323" spans="1:7" x14ac:dyDescent="0.35">
      <c r="A1323" s="12" t="s">
        <v>2588</v>
      </c>
      <c r="B1323" s="13">
        <v>4364.5</v>
      </c>
      <c r="C1323" s="13">
        <v>4371.5</v>
      </c>
      <c r="D1323" s="13">
        <v>4409.5</v>
      </c>
      <c r="E1323" s="13">
        <v>4338</v>
      </c>
      <c r="F1323" s="14" t="s">
        <v>2589</v>
      </c>
      <c r="G1323" s="15">
        <v>-2.0999999999999999E-3</v>
      </c>
    </row>
    <row r="1324" spans="1:7" x14ac:dyDescent="0.35">
      <c r="A1324" s="12" t="s">
        <v>2590</v>
      </c>
      <c r="B1324" s="13">
        <v>4469.3999999999996</v>
      </c>
      <c r="C1324" s="13">
        <v>4369.8999999999996</v>
      </c>
      <c r="D1324" s="13">
        <v>4484.5</v>
      </c>
      <c r="E1324" s="13">
        <v>4367.8999999999996</v>
      </c>
      <c r="F1324" s="14" t="s">
        <v>2591</v>
      </c>
      <c r="G1324" s="15">
        <v>2.4E-2</v>
      </c>
    </row>
    <row r="1325" spans="1:7" x14ac:dyDescent="0.35">
      <c r="A1325" s="12" t="s">
        <v>2592</v>
      </c>
      <c r="B1325" s="13">
        <v>4505.7</v>
      </c>
      <c r="C1325" s="13">
        <v>4481.8</v>
      </c>
      <c r="D1325" s="13">
        <v>4530.8</v>
      </c>
      <c r="E1325" s="13">
        <v>4457.7</v>
      </c>
      <c r="F1325" s="14" t="s">
        <v>2593</v>
      </c>
      <c r="G1325" s="15">
        <v>8.0999999999999996E-3</v>
      </c>
    </row>
    <row r="1326" spans="1:7" x14ac:dyDescent="0.35">
      <c r="A1326" s="12" t="s">
        <v>2594</v>
      </c>
      <c r="B1326" s="13">
        <v>4527.5</v>
      </c>
      <c r="C1326" s="13">
        <v>4505.3999999999996</v>
      </c>
      <c r="D1326" s="13">
        <v>4539.6499999999996</v>
      </c>
      <c r="E1326" s="13">
        <v>4505.3</v>
      </c>
      <c r="F1326" s="14" t="s">
        <v>2595</v>
      </c>
      <c r="G1326" s="15">
        <v>4.7999999999999996E-3</v>
      </c>
    </row>
    <row r="1327" spans="1:7" x14ac:dyDescent="0.35">
      <c r="A1327" s="12" t="s">
        <v>2596</v>
      </c>
      <c r="B1327" s="13">
        <v>4327</v>
      </c>
      <c r="C1327" s="13">
        <v>4549.8</v>
      </c>
      <c r="D1327" s="13">
        <v>4557.2</v>
      </c>
      <c r="E1327" s="13">
        <v>4308.1000000000004</v>
      </c>
      <c r="F1327" s="14" t="s">
        <v>2597</v>
      </c>
      <c r="G1327" s="15">
        <v>-4.4299999999999999E-2</v>
      </c>
    </row>
    <row r="1328" spans="1:7" x14ac:dyDescent="0.35">
      <c r="A1328" s="12" t="s">
        <v>2598</v>
      </c>
      <c r="B1328" s="13">
        <v>4386.3</v>
      </c>
      <c r="C1328" s="13">
        <v>4350.3</v>
      </c>
      <c r="D1328" s="13">
        <v>4420.5</v>
      </c>
      <c r="E1328" s="13">
        <v>4338.8</v>
      </c>
      <c r="F1328" s="14" t="s">
        <v>2599</v>
      </c>
      <c r="G1328" s="15">
        <v>1.37E-2</v>
      </c>
    </row>
    <row r="1329" spans="1:7" s="34" customFormat="1" x14ac:dyDescent="0.35">
      <c r="A1329" s="36"/>
      <c r="B1329" s="36"/>
      <c r="C1329" s="36"/>
      <c r="D1329" s="36"/>
      <c r="E1329" s="36"/>
      <c r="F1329" s="36"/>
      <c r="G1329" s="36"/>
    </row>
    <row r="1330" spans="1:7" s="34" customFormat="1" x14ac:dyDescent="0.35">
      <c r="A1330" s="36"/>
      <c r="B1330" s="36"/>
      <c r="C1330" s="36"/>
      <c r="D1330" s="36"/>
      <c r="E1330" s="36"/>
      <c r="F1330" s="36"/>
      <c r="G1330" s="36"/>
    </row>
    <row r="1331" spans="1:7" s="34" customFormat="1" x14ac:dyDescent="0.35">
      <c r="A1331" s="36"/>
      <c r="B1331" s="36"/>
      <c r="C1331" s="36"/>
      <c r="D1331" s="36"/>
      <c r="E1331" s="36"/>
      <c r="F1331" s="36"/>
      <c r="G1331" s="36"/>
    </row>
    <row r="1332" spans="1:7" s="34" customFormat="1" x14ac:dyDescent="0.35">
      <c r="A1332" s="36"/>
      <c r="B1332" s="36"/>
      <c r="C1332" s="36"/>
      <c r="D1332" s="36"/>
      <c r="E1332" s="36"/>
      <c r="F1332" s="36"/>
      <c r="G1332" s="36"/>
    </row>
    <row r="1333" spans="1:7" s="34" customFormat="1" x14ac:dyDescent="0.35">
      <c r="A1333" s="36"/>
      <c r="B1333" s="36"/>
      <c r="C1333" s="36"/>
      <c r="D1333" s="36"/>
      <c r="E1333" s="36"/>
      <c r="F1333" s="36"/>
      <c r="G1333" s="36"/>
    </row>
    <row r="1334" spans="1:7" s="34" customFormat="1" x14ac:dyDescent="0.35">
      <c r="A1334" s="36"/>
      <c r="B1334" s="36"/>
      <c r="C1334" s="36"/>
      <c r="D1334" s="36"/>
      <c r="E1334" s="36"/>
      <c r="F1334" s="36"/>
      <c r="G1334" s="36"/>
    </row>
    <row r="1335" spans="1:7" s="34" customFormat="1" x14ac:dyDescent="0.35">
      <c r="A1335" s="36"/>
      <c r="B1335" s="36"/>
      <c r="C1335" s="36"/>
      <c r="D1335" s="36"/>
      <c r="E1335" s="36"/>
      <c r="F1335" s="36"/>
      <c r="G1335" s="36"/>
    </row>
    <row r="1336" spans="1:7" s="34" customFormat="1" x14ac:dyDescent="0.35">
      <c r="A1336" s="36"/>
      <c r="B1336" s="36"/>
      <c r="C1336" s="36"/>
      <c r="D1336" s="36"/>
      <c r="E1336" s="36"/>
      <c r="F1336" s="36"/>
      <c r="G1336" s="36"/>
    </row>
    <row r="1337" spans="1:7" s="34" customFormat="1" x14ac:dyDescent="0.35">
      <c r="A1337" s="36"/>
      <c r="B1337" s="36"/>
      <c r="C1337" s="36"/>
      <c r="D1337" s="36"/>
      <c r="E1337" s="36"/>
      <c r="F1337" s="36"/>
      <c r="G1337" s="36"/>
    </row>
    <row r="1338" spans="1:7" s="34" customFormat="1" x14ac:dyDescent="0.35">
      <c r="A1338" s="36"/>
      <c r="B1338" s="36"/>
      <c r="C1338" s="36"/>
      <c r="D1338" s="36"/>
      <c r="E1338" s="36"/>
      <c r="F1338" s="36"/>
      <c r="G1338" s="36"/>
    </row>
    <row r="1339" spans="1:7" s="34" customFormat="1" x14ac:dyDescent="0.35">
      <c r="A1339" s="36"/>
      <c r="B1339" s="36"/>
      <c r="C1339" s="36"/>
      <c r="D1339" s="36"/>
      <c r="E1339" s="36"/>
      <c r="F1339" s="36"/>
      <c r="G1339" s="36"/>
    </row>
    <row r="1340" spans="1:7" s="34" customFormat="1" x14ac:dyDescent="0.35">
      <c r="A1340" s="36"/>
      <c r="B1340" s="36"/>
      <c r="C1340" s="36"/>
      <c r="D1340" s="36"/>
      <c r="E1340" s="36"/>
      <c r="F1340" s="36"/>
      <c r="G1340" s="36"/>
    </row>
    <row r="1341" spans="1:7" s="34" customFormat="1" x14ac:dyDescent="0.35">
      <c r="A1341" s="36"/>
      <c r="B1341" s="36"/>
      <c r="C1341" s="36"/>
      <c r="D1341" s="36"/>
      <c r="E1341" s="36"/>
      <c r="F1341" s="36"/>
      <c r="G1341" s="36"/>
    </row>
    <row r="1342" spans="1:7" s="34" customFormat="1" x14ac:dyDescent="0.35">
      <c r="A1342" s="36"/>
      <c r="B1342" s="36"/>
      <c r="C1342" s="36"/>
      <c r="D1342" s="36"/>
      <c r="E1342" s="36"/>
      <c r="F1342" s="36"/>
      <c r="G1342" s="36"/>
    </row>
    <row r="1343" spans="1:7" s="34" customFormat="1" x14ac:dyDescent="0.35">
      <c r="A1343" s="36"/>
      <c r="B1343" s="36"/>
      <c r="C1343" s="36"/>
      <c r="D1343" s="36"/>
      <c r="E1343" s="36"/>
      <c r="F1343" s="36"/>
      <c r="G1343" s="36"/>
    </row>
    <row r="1344" spans="1:7" s="34" customFormat="1" x14ac:dyDescent="0.35">
      <c r="A1344" s="36"/>
      <c r="B1344" s="36"/>
      <c r="C1344" s="36"/>
      <c r="D1344" s="36"/>
      <c r="E1344" s="36"/>
      <c r="F1344" s="36"/>
      <c r="G1344" s="36"/>
    </row>
    <row r="1345" spans="1:7" s="34" customFormat="1" x14ac:dyDescent="0.35">
      <c r="A1345" s="36"/>
      <c r="B1345" s="36"/>
      <c r="C1345" s="36"/>
      <c r="D1345" s="36"/>
      <c r="E1345" s="36"/>
      <c r="F1345" s="36"/>
      <c r="G1345" s="36"/>
    </row>
    <row r="1346" spans="1:7" s="34" customFormat="1" x14ac:dyDescent="0.35">
      <c r="A1346" s="36"/>
      <c r="B1346" s="36"/>
      <c r="C1346" s="36"/>
      <c r="D1346" s="36"/>
      <c r="E1346" s="36"/>
      <c r="F1346" s="36"/>
      <c r="G1346" s="36"/>
    </row>
    <row r="1347" spans="1:7" s="34" customFormat="1" x14ac:dyDescent="0.35">
      <c r="A1347" s="36"/>
      <c r="B1347" s="36"/>
      <c r="C1347" s="36"/>
      <c r="D1347" s="36"/>
      <c r="E1347" s="36"/>
      <c r="F1347" s="36"/>
      <c r="G1347" s="36"/>
    </row>
    <row r="1348" spans="1:7" s="34" customFormat="1" x14ac:dyDescent="0.35">
      <c r="A1348" s="36"/>
      <c r="B1348" s="36"/>
      <c r="C1348" s="36"/>
      <c r="D1348" s="36"/>
      <c r="E1348" s="36"/>
      <c r="F1348" s="36"/>
      <c r="G1348" s="36"/>
    </row>
    <row r="1349" spans="1:7" s="34" customFormat="1" x14ac:dyDescent="0.35">
      <c r="A1349" s="36"/>
      <c r="B1349" s="36"/>
      <c r="C1349" s="36"/>
      <c r="D1349" s="36"/>
      <c r="E1349" s="36"/>
      <c r="F1349" s="36"/>
      <c r="G1349" s="36"/>
    </row>
    <row r="1350" spans="1:7" s="34" customFormat="1" x14ac:dyDescent="0.35">
      <c r="A1350" s="36"/>
      <c r="B1350" s="36"/>
      <c r="C1350" s="36"/>
      <c r="D1350" s="36"/>
      <c r="E1350" s="36"/>
      <c r="F1350" s="36"/>
      <c r="G1350" s="36"/>
    </row>
    <row r="1351" spans="1:7" s="34" customFormat="1" x14ac:dyDescent="0.35">
      <c r="A1351" s="36"/>
      <c r="B1351" s="36"/>
      <c r="C1351" s="36"/>
      <c r="D1351" s="36"/>
      <c r="E1351" s="36"/>
      <c r="F1351" s="36"/>
      <c r="G1351" s="36"/>
    </row>
    <row r="1352" spans="1:7" s="34" customFormat="1" x14ac:dyDescent="0.35">
      <c r="A1352" s="36"/>
      <c r="B1352" s="36"/>
      <c r="C1352" s="36"/>
      <c r="D1352" s="36"/>
      <c r="E1352" s="36"/>
      <c r="F1352" s="36"/>
      <c r="G1352" s="36"/>
    </row>
    <row r="1353" spans="1:7" s="34" customFormat="1" x14ac:dyDescent="0.35">
      <c r="A1353" s="36"/>
      <c r="B1353" s="36"/>
      <c r="C1353" s="36"/>
      <c r="D1353" s="36"/>
      <c r="E1353" s="36"/>
      <c r="F1353" s="36"/>
      <c r="G1353" s="36"/>
    </row>
    <row r="1354" spans="1:7" s="34" customFormat="1" x14ac:dyDescent="0.35">
      <c r="A1354" s="36"/>
      <c r="B1354" s="36"/>
      <c r="C1354" s="36"/>
      <c r="D1354" s="36"/>
      <c r="E1354" s="36"/>
      <c r="F1354" s="36"/>
      <c r="G1354" s="36"/>
    </row>
    <row r="1355" spans="1:7" s="34" customFormat="1" x14ac:dyDescent="0.35">
      <c r="A1355" s="36"/>
      <c r="B1355" s="36"/>
      <c r="C1355" s="36"/>
      <c r="D1355" s="36"/>
      <c r="E1355" s="36"/>
      <c r="F1355" s="36"/>
      <c r="G1355" s="36"/>
    </row>
    <row r="1356" spans="1:7" s="34" customFormat="1" x14ac:dyDescent="0.35">
      <c r="A1356" s="36"/>
      <c r="B1356" s="36"/>
      <c r="C1356" s="36"/>
      <c r="D1356" s="36"/>
      <c r="E1356" s="36"/>
      <c r="F1356" s="36"/>
      <c r="G1356" s="36"/>
    </row>
    <row r="1357" spans="1:7" s="34" customFormat="1" x14ac:dyDescent="0.35">
      <c r="A1357" s="36"/>
      <c r="B1357" s="36"/>
      <c r="C1357" s="36"/>
      <c r="D1357" s="36"/>
      <c r="E1357" s="36"/>
      <c r="F1357" s="36"/>
      <c r="G1357" s="36"/>
    </row>
    <row r="1358" spans="1:7" s="34" customFormat="1" x14ac:dyDescent="0.35">
      <c r="A1358" s="36"/>
      <c r="B1358" s="36"/>
      <c r="C1358" s="36"/>
      <c r="D1358" s="36"/>
      <c r="E1358" s="36"/>
      <c r="F1358" s="36"/>
      <c r="G1358" s="36"/>
    </row>
    <row r="1359" spans="1:7" s="34" customFormat="1" x14ac:dyDescent="0.35">
      <c r="A1359" s="36"/>
      <c r="B1359" s="36"/>
      <c r="C1359" s="36"/>
      <c r="D1359" s="36"/>
      <c r="E1359" s="36"/>
      <c r="F1359" s="36"/>
      <c r="G1359" s="36"/>
    </row>
    <row r="1360" spans="1:7" s="34" customFormat="1" x14ac:dyDescent="0.35">
      <c r="A1360" s="36"/>
      <c r="B1360" s="36"/>
      <c r="C1360" s="36"/>
      <c r="D1360" s="36"/>
      <c r="E1360" s="36"/>
      <c r="F1360" s="36"/>
      <c r="G1360" s="36"/>
    </row>
    <row r="1361" spans="1:7" s="34" customFormat="1" x14ac:dyDescent="0.35">
      <c r="A1361" s="36"/>
      <c r="B1361" s="36"/>
      <c r="C1361" s="36"/>
      <c r="D1361" s="36"/>
      <c r="E1361" s="36"/>
      <c r="F1361" s="36"/>
      <c r="G1361" s="36"/>
    </row>
    <row r="1362" spans="1:7" s="34" customFormat="1" x14ac:dyDescent="0.35">
      <c r="A1362" s="36"/>
      <c r="B1362" s="36"/>
      <c r="C1362" s="36"/>
      <c r="D1362" s="36"/>
      <c r="E1362" s="36"/>
      <c r="F1362" s="36"/>
      <c r="G1362" s="36"/>
    </row>
    <row r="1363" spans="1:7" s="34" customFormat="1" x14ac:dyDescent="0.35">
      <c r="A1363" s="36"/>
      <c r="B1363" s="36"/>
      <c r="C1363" s="36"/>
      <c r="D1363" s="36"/>
      <c r="E1363" s="36"/>
      <c r="F1363" s="36"/>
      <c r="G1363" s="36"/>
    </row>
    <row r="1364" spans="1:7" s="34" customFormat="1" x14ac:dyDescent="0.35">
      <c r="A1364" s="36"/>
      <c r="B1364" s="36"/>
      <c r="C1364" s="36"/>
      <c r="D1364" s="36"/>
      <c r="E1364" s="36"/>
      <c r="F1364" s="36"/>
      <c r="G1364" s="36"/>
    </row>
    <row r="1365" spans="1:7" s="34" customFormat="1" x14ac:dyDescent="0.35">
      <c r="A1365" s="36"/>
      <c r="B1365" s="36"/>
      <c r="C1365" s="36"/>
      <c r="D1365" s="36"/>
      <c r="E1365" s="36"/>
      <c r="F1365" s="36"/>
      <c r="G1365" s="36"/>
    </row>
    <row r="1366" spans="1:7" s="34" customFormat="1" x14ac:dyDescent="0.35">
      <c r="A1366" s="36"/>
      <c r="B1366" s="36"/>
      <c r="C1366" s="36"/>
      <c r="D1366" s="36"/>
      <c r="E1366" s="36"/>
      <c r="F1366" s="36"/>
      <c r="G1366" s="36"/>
    </row>
    <row r="1367" spans="1:7" s="34" customFormat="1" x14ac:dyDescent="0.35">
      <c r="A1367" s="36"/>
      <c r="B1367" s="36"/>
      <c r="C1367" s="36"/>
      <c r="D1367" s="36"/>
      <c r="E1367" s="36"/>
      <c r="F1367" s="36"/>
      <c r="G1367" s="36"/>
    </row>
    <row r="1368" spans="1:7" s="34" customFormat="1" x14ac:dyDescent="0.35">
      <c r="A1368" s="36"/>
      <c r="B1368" s="36"/>
      <c r="C1368" s="36"/>
      <c r="D1368" s="36"/>
      <c r="E1368" s="36"/>
      <c r="F1368" s="36"/>
      <c r="G1368" s="36"/>
    </row>
    <row r="1369" spans="1:7" s="34" customFormat="1" x14ac:dyDescent="0.35">
      <c r="A1369" s="36"/>
      <c r="B1369" s="36"/>
      <c r="C1369" s="36"/>
      <c r="D1369" s="36"/>
      <c r="E1369" s="36"/>
      <c r="F1369" s="36"/>
      <c r="G1369" s="36"/>
    </row>
    <row r="1370" spans="1:7" s="34" customFormat="1" x14ac:dyDescent="0.35">
      <c r="A1370" s="36"/>
      <c r="B1370" s="36"/>
      <c r="C1370" s="36"/>
      <c r="D1370" s="36"/>
      <c r="E1370" s="36"/>
      <c r="F1370" s="36"/>
      <c r="G1370" s="36"/>
    </row>
    <row r="1371" spans="1:7" s="34" customFormat="1" x14ac:dyDescent="0.35">
      <c r="A1371" s="36"/>
      <c r="B1371" s="36"/>
      <c r="C1371" s="36"/>
      <c r="D1371" s="36"/>
      <c r="E1371" s="36"/>
      <c r="F1371" s="36"/>
      <c r="G1371" s="36"/>
    </row>
    <row r="1372" spans="1:7" s="34" customFormat="1" x14ac:dyDescent="0.35">
      <c r="A1372" s="36"/>
      <c r="B1372" s="36"/>
      <c r="C1372" s="36"/>
      <c r="D1372" s="36"/>
      <c r="E1372" s="36"/>
      <c r="F1372" s="36"/>
      <c r="G1372" s="36"/>
    </row>
    <row r="1373" spans="1:7" s="34" customFormat="1" x14ac:dyDescent="0.35">
      <c r="A1373" s="36"/>
      <c r="B1373" s="36"/>
      <c r="C1373" s="36"/>
      <c r="D1373" s="36"/>
      <c r="E1373" s="36"/>
      <c r="F1373" s="36"/>
      <c r="G1373" s="36"/>
    </row>
    <row r="1374" spans="1:7" s="34" customFormat="1" x14ac:dyDescent="0.35">
      <c r="A1374" s="36"/>
      <c r="B1374" s="36"/>
      <c r="C1374" s="36"/>
      <c r="D1374" s="36"/>
      <c r="E1374" s="36"/>
      <c r="F1374" s="36"/>
      <c r="G1374" s="36"/>
    </row>
    <row r="1375" spans="1:7" s="34" customFormat="1" x14ac:dyDescent="0.35">
      <c r="A1375" s="36"/>
      <c r="B1375" s="36"/>
      <c r="C1375" s="36"/>
      <c r="D1375" s="36"/>
      <c r="E1375" s="36"/>
      <c r="F1375" s="36"/>
      <c r="G1375" s="36"/>
    </row>
    <row r="1376" spans="1:7" s="34" customFormat="1" x14ac:dyDescent="0.35">
      <c r="A1376" s="36"/>
      <c r="B1376" s="36"/>
      <c r="C1376" s="36"/>
      <c r="D1376" s="36"/>
      <c r="E1376" s="36"/>
      <c r="F1376" s="36"/>
      <c r="G1376" s="36"/>
    </row>
    <row r="1377" spans="1:7" s="34" customFormat="1" x14ac:dyDescent="0.35">
      <c r="A1377" s="36"/>
      <c r="B1377" s="36"/>
      <c r="C1377" s="36"/>
      <c r="D1377" s="36"/>
      <c r="E1377" s="36"/>
      <c r="F1377" s="36"/>
      <c r="G1377" s="36"/>
    </row>
    <row r="1378" spans="1:7" s="34" customFormat="1" x14ac:dyDescent="0.35">
      <c r="A1378" s="36"/>
      <c r="B1378" s="36"/>
      <c r="C1378" s="36"/>
      <c r="D1378" s="36"/>
      <c r="E1378" s="36"/>
      <c r="F1378" s="36"/>
      <c r="G1378" s="36"/>
    </row>
    <row r="1379" spans="1:7" s="34" customFormat="1" x14ac:dyDescent="0.35">
      <c r="A1379" s="36"/>
      <c r="B1379" s="36"/>
      <c r="C1379" s="36"/>
      <c r="D1379" s="36"/>
      <c r="E1379" s="36"/>
      <c r="F1379" s="36"/>
      <c r="G1379" s="36"/>
    </row>
    <row r="1380" spans="1:7" s="34" customFormat="1" x14ac:dyDescent="0.35">
      <c r="A1380" s="36"/>
      <c r="B1380" s="36"/>
      <c r="C1380" s="36"/>
      <c r="D1380" s="36"/>
      <c r="E1380" s="36"/>
      <c r="F1380" s="36"/>
      <c r="G1380" s="36"/>
    </row>
    <row r="1381" spans="1:7" s="34" customFormat="1" x14ac:dyDescent="0.35">
      <c r="A1381" s="36"/>
      <c r="B1381" s="36"/>
      <c r="C1381" s="36"/>
      <c r="D1381" s="36"/>
      <c r="E1381" s="36"/>
      <c r="F1381" s="36"/>
      <c r="G1381" s="36"/>
    </row>
    <row r="1382" spans="1:7" s="34" customFormat="1" x14ac:dyDescent="0.35">
      <c r="A1382" s="36"/>
      <c r="B1382" s="36"/>
      <c r="C1382" s="36"/>
      <c r="D1382" s="36"/>
      <c r="E1382" s="36"/>
      <c r="F1382" s="36"/>
      <c r="G1382" s="36"/>
    </row>
    <row r="1383" spans="1:7" s="34" customFormat="1" x14ac:dyDescent="0.35">
      <c r="A1383" s="36"/>
      <c r="B1383" s="36"/>
      <c r="C1383" s="36"/>
      <c r="D1383" s="36"/>
      <c r="E1383" s="36"/>
      <c r="F1383" s="36"/>
      <c r="G1383" s="36"/>
    </row>
    <row r="1384" spans="1:7" s="34" customFormat="1" x14ac:dyDescent="0.35">
      <c r="A1384" s="36"/>
      <c r="B1384" s="36"/>
      <c r="C1384" s="36"/>
      <c r="D1384" s="36"/>
      <c r="E1384" s="36"/>
      <c r="F1384" s="36"/>
      <c r="G1384" s="36"/>
    </row>
    <row r="1385" spans="1:7" s="34" customFormat="1" x14ac:dyDescent="0.35">
      <c r="A1385" s="36"/>
      <c r="B1385" s="36"/>
      <c r="C1385" s="36"/>
      <c r="D1385" s="36"/>
      <c r="E1385" s="36"/>
      <c r="F1385" s="36"/>
      <c r="G1385" s="36"/>
    </row>
    <row r="1386" spans="1:7" s="34" customFormat="1" x14ac:dyDescent="0.35">
      <c r="A1386" s="36"/>
      <c r="B1386" s="36"/>
      <c r="C1386" s="36"/>
      <c r="D1386" s="36"/>
      <c r="E1386" s="36"/>
      <c r="F1386" s="36"/>
      <c r="G1386" s="36"/>
    </row>
    <row r="1387" spans="1:7" s="34" customFormat="1" x14ac:dyDescent="0.35">
      <c r="A1387" s="36"/>
      <c r="B1387" s="36"/>
      <c r="C1387" s="36"/>
      <c r="D1387" s="36"/>
      <c r="E1387" s="36"/>
      <c r="F1387" s="36"/>
      <c r="G1387" s="36"/>
    </row>
    <row r="1388" spans="1:7" s="34" customFormat="1" x14ac:dyDescent="0.35">
      <c r="A1388" s="36"/>
      <c r="B1388" s="36"/>
      <c r="C1388" s="36"/>
      <c r="D1388" s="36"/>
      <c r="E1388" s="36"/>
      <c r="F1388" s="36"/>
      <c r="G1388" s="36"/>
    </row>
    <row r="1389" spans="1:7" s="34" customFormat="1" x14ac:dyDescent="0.35">
      <c r="A1389" s="36"/>
      <c r="B1389" s="36"/>
      <c r="C1389" s="36"/>
      <c r="D1389" s="36"/>
      <c r="E1389" s="36"/>
      <c r="F1389" s="36"/>
      <c r="G1389" s="36"/>
    </row>
    <row r="1390" spans="1:7" s="34" customFormat="1" x14ac:dyDescent="0.35">
      <c r="A1390" s="36"/>
      <c r="B1390" s="36"/>
      <c r="C1390" s="36"/>
      <c r="D1390" s="36"/>
      <c r="E1390" s="36"/>
      <c r="F1390" s="36"/>
      <c r="G1390" s="36"/>
    </row>
    <row r="1391" spans="1:7" s="34" customFormat="1" x14ac:dyDescent="0.35">
      <c r="A1391" s="36"/>
      <c r="B1391" s="36"/>
      <c r="C1391" s="36"/>
      <c r="D1391" s="36"/>
      <c r="E1391" s="36"/>
      <c r="F1391" s="36"/>
      <c r="G1391" s="36"/>
    </row>
    <row r="1392" spans="1:7" s="34" customFormat="1" x14ac:dyDescent="0.35">
      <c r="A1392" s="36"/>
      <c r="B1392" s="36"/>
      <c r="C1392" s="36"/>
      <c r="D1392" s="36"/>
      <c r="E1392" s="36"/>
      <c r="F1392" s="36"/>
      <c r="G1392" s="36"/>
    </row>
    <row r="1393" spans="1:7" s="34" customFormat="1" x14ac:dyDescent="0.35">
      <c r="A1393" s="36"/>
      <c r="B1393" s="36"/>
      <c r="C1393" s="36"/>
      <c r="D1393" s="36"/>
      <c r="E1393" s="36"/>
      <c r="F1393" s="36"/>
      <c r="G1393" s="36"/>
    </row>
    <row r="1394" spans="1:7" s="34" customFormat="1" x14ac:dyDescent="0.35">
      <c r="A1394" s="36"/>
      <c r="B1394" s="36"/>
      <c r="C1394" s="36"/>
      <c r="D1394" s="36"/>
      <c r="E1394" s="36"/>
      <c r="F1394" s="36"/>
      <c r="G1394" s="36"/>
    </row>
    <row r="1395" spans="1:7" s="34" customFormat="1" x14ac:dyDescent="0.35">
      <c r="A1395" s="36"/>
      <c r="B1395" s="36"/>
      <c r="C1395" s="36"/>
      <c r="D1395" s="36"/>
      <c r="E1395" s="36"/>
      <c r="F1395" s="36"/>
      <c r="G1395" s="36"/>
    </row>
    <row r="1396" spans="1:7" s="34" customFormat="1" x14ac:dyDescent="0.35">
      <c r="A1396" s="36"/>
      <c r="B1396" s="36"/>
      <c r="C1396" s="36"/>
      <c r="D1396" s="36"/>
      <c r="E1396" s="36"/>
      <c r="F1396" s="36"/>
      <c r="G1396" s="36"/>
    </row>
    <row r="1397" spans="1:7" s="34" customFormat="1" x14ac:dyDescent="0.35">
      <c r="A1397" s="36"/>
      <c r="B1397" s="36"/>
      <c r="C1397" s="36"/>
      <c r="D1397" s="36"/>
      <c r="E1397" s="36"/>
      <c r="F1397" s="36"/>
      <c r="G1397" s="36"/>
    </row>
    <row r="1398" spans="1:7" s="34" customFormat="1" x14ac:dyDescent="0.35">
      <c r="A1398" s="36"/>
      <c r="B1398" s="36"/>
      <c r="C1398" s="36"/>
      <c r="D1398" s="36"/>
      <c r="E1398" s="36"/>
      <c r="F1398" s="36"/>
      <c r="G1398" s="36"/>
    </row>
    <row r="1399" spans="1:7" s="34" customFormat="1" x14ac:dyDescent="0.35">
      <c r="A1399" s="36"/>
      <c r="B1399" s="36"/>
      <c r="C1399" s="36"/>
      <c r="D1399" s="36"/>
      <c r="E1399" s="36"/>
      <c r="F1399" s="36"/>
      <c r="G1399" s="36"/>
    </row>
    <row r="1400" spans="1:7" s="34" customFormat="1" x14ac:dyDescent="0.35">
      <c r="A1400" s="36"/>
      <c r="B1400" s="36"/>
      <c r="C1400" s="36"/>
      <c r="D1400" s="36"/>
      <c r="E1400" s="36"/>
      <c r="F1400" s="36"/>
      <c r="G1400" s="36"/>
    </row>
    <row r="1401" spans="1:7" s="34" customFormat="1" x14ac:dyDescent="0.35">
      <c r="A1401" s="36"/>
      <c r="B1401" s="36"/>
      <c r="C1401" s="36"/>
      <c r="D1401" s="36"/>
      <c r="E1401" s="36"/>
      <c r="F1401" s="36"/>
      <c r="G1401" s="36"/>
    </row>
    <row r="1402" spans="1:7" s="34" customFormat="1" x14ac:dyDescent="0.35">
      <c r="A1402" s="36"/>
      <c r="B1402" s="36"/>
      <c r="C1402" s="36"/>
      <c r="D1402" s="36"/>
      <c r="E1402" s="36"/>
      <c r="F1402" s="36"/>
      <c r="G1402" s="36"/>
    </row>
    <row r="1403" spans="1:7" s="34" customFormat="1" x14ac:dyDescent="0.35">
      <c r="A1403" s="36"/>
      <c r="B1403" s="36"/>
      <c r="C1403" s="36"/>
      <c r="D1403" s="36"/>
      <c r="E1403" s="36"/>
      <c r="F1403" s="36"/>
      <c r="G1403" s="36"/>
    </row>
    <row r="1404" spans="1:7" s="34" customFormat="1" x14ac:dyDescent="0.35">
      <c r="A1404" s="36"/>
      <c r="B1404" s="36"/>
      <c r="C1404" s="36"/>
      <c r="D1404" s="36"/>
      <c r="E1404" s="36"/>
      <c r="F1404" s="36"/>
      <c r="G1404" s="36"/>
    </row>
    <row r="1405" spans="1:7" s="34" customFormat="1" x14ac:dyDescent="0.35">
      <c r="A1405" s="36"/>
      <c r="B1405" s="36"/>
      <c r="C1405" s="36"/>
      <c r="D1405" s="36"/>
      <c r="E1405" s="36"/>
      <c r="F1405" s="36"/>
      <c r="G1405" s="36"/>
    </row>
    <row r="1406" spans="1:7" s="34" customFormat="1" x14ac:dyDescent="0.35">
      <c r="A1406" s="36"/>
      <c r="B1406" s="36"/>
      <c r="C1406" s="36"/>
      <c r="D1406" s="36"/>
      <c r="E1406" s="36"/>
      <c r="F1406" s="36"/>
      <c r="G1406" s="36"/>
    </row>
    <row r="1407" spans="1:7" s="34" customFormat="1" x14ac:dyDescent="0.35">
      <c r="A1407" s="36"/>
      <c r="B1407" s="36"/>
      <c r="C1407" s="36"/>
      <c r="D1407" s="36"/>
      <c r="E1407" s="36"/>
      <c r="F1407" s="36"/>
      <c r="G1407" s="36"/>
    </row>
    <row r="1408" spans="1:7" s="34" customFormat="1" x14ac:dyDescent="0.35">
      <c r="A1408" s="36"/>
      <c r="B1408" s="36"/>
      <c r="C1408" s="36"/>
      <c r="D1408" s="36"/>
      <c r="E1408" s="36"/>
      <c r="F1408" s="36"/>
      <c r="G1408" s="36"/>
    </row>
    <row r="1409" spans="1:7" s="34" customFormat="1" x14ac:dyDescent="0.35">
      <c r="A1409" s="36"/>
      <c r="B1409" s="36"/>
      <c r="C1409" s="36"/>
      <c r="D1409" s="36"/>
      <c r="E1409" s="36"/>
      <c r="F1409" s="36"/>
      <c r="G1409" s="36"/>
    </row>
    <row r="1410" spans="1:7" s="34" customFormat="1" x14ac:dyDescent="0.35">
      <c r="A1410" s="36"/>
      <c r="B1410" s="36"/>
      <c r="C1410" s="36"/>
      <c r="D1410" s="36"/>
      <c r="E1410" s="36"/>
      <c r="F1410" s="36"/>
      <c r="G1410" s="36"/>
    </row>
    <row r="1411" spans="1:7" s="34" customFormat="1" x14ac:dyDescent="0.35">
      <c r="A1411" s="36"/>
      <c r="B1411" s="36"/>
      <c r="C1411" s="36"/>
      <c r="D1411" s="36"/>
      <c r="E1411" s="36"/>
      <c r="F1411" s="36"/>
      <c r="G1411" s="36"/>
    </row>
    <row r="1412" spans="1:7" s="34" customFormat="1" x14ac:dyDescent="0.35">
      <c r="A1412" s="36"/>
      <c r="B1412" s="36"/>
      <c r="C1412" s="36"/>
      <c r="D1412" s="36"/>
      <c r="E1412" s="36"/>
      <c r="F1412" s="36"/>
      <c r="G1412" s="36"/>
    </row>
    <row r="1413" spans="1:7" s="34" customFormat="1" x14ac:dyDescent="0.35">
      <c r="A1413" s="36"/>
      <c r="B1413" s="36"/>
      <c r="C1413" s="36"/>
      <c r="D1413" s="36"/>
      <c r="E1413" s="36"/>
      <c r="F1413" s="36"/>
      <c r="G1413" s="36"/>
    </row>
    <row r="1414" spans="1:7" s="34" customFormat="1" x14ac:dyDescent="0.35">
      <c r="A1414" s="36"/>
      <c r="B1414" s="36"/>
      <c r="C1414" s="36"/>
      <c r="D1414" s="36"/>
      <c r="E1414" s="36"/>
      <c r="F1414" s="36"/>
      <c r="G1414" s="36"/>
    </row>
    <row r="1415" spans="1:7" s="34" customFormat="1" x14ac:dyDescent="0.35">
      <c r="A1415" s="36"/>
      <c r="B1415" s="36"/>
      <c r="C1415" s="36"/>
      <c r="D1415" s="36"/>
      <c r="E1415" s="36"/>
      <c r="F1415" s="36"/>
      <c r="G1415" s="36"/>
    </row>
    <row r="1416" spans="1:7" s="34" customFormat="1" x14ac:dyDescent="0.35">
      <c r="A1416" s="36"/>
      <c r="B1416" s="36"/>
      <c r="C1416" s="36"/>
      <c r="D1416" s="36"/>
      <c r="E1416" s="36"/>
      <c r="F1416" s="36"/>
      <c r="G1416" s="36"/>
    </row>
    <row r="1417" spans="1:7" s="34" customFormat="1" x14ac:dyDescent="0.35">
      <c r="A1417" s="36"/>
      <c r="B1417" s="36"/>
      <c r="C1417" s="36"/>
      <c r="D1417" s="36"/>
      <c r="E1417" s="36"/>
      <c r="F1417" s="36"/>
      <c r="G1417" s="36"/>
    </row>
    <row r="1418" spans="1:7" s="34" customFormat="1" x14ac:dyDescent="0.35">
      <c r="A1418" s="36"/>
      <c r="B1418" s="36"/>
      <c r="C1418" s="36"/>
      <c r="D1418" s="36"/>
      <c r="E1418" s="36"/>
      <c r="F1418" s="36"/>
      <c r="G1418" s="36"/>
    </row>
    <row r="1419" spans="1:7" s="34" customFormat="1" x14ac:dyDescent="0.35">
      <c r="A1419" s="36"/>
      <c r="B1419" s="36"/>
      <c r="C1419" s="36"/>
      <c r="D1419" s="36"/>
      <c r="E1419" s="36"/>
      <c r="F1419" s="36"/>
      <c r="G1419" s="36"/>
    </row>
    <row r="1420" spans="1:7" s="34" customFormat="1" x14ac:dyDescent="0.35">
      <c r="A1420" s="36"/>
      <c r="B1420" s="36"/>
      <c r="C1420" s="36"/>
      <c r="D1420" s="36"/>
      <c r="E1420" s="36"/>
      <c r="F1420" s="36"/>
      <c r="G1420" s="36"/>
    </row>
    <row r="1421" spans="1:7" s="34" customFormat="1" x14ac:dyDescent="0.35">
      <c r="A1421" s="36"/>
      <c r="B1421" s="36"/>
      <c r="C1421" s="36"/>
      <c r="D1421" s="36"/>
      <c r="E1421" s="36"/>
      <c r="F1421" s="36"/>
      <c r="G1421" s="36"/>
    </row>
    <row r="1422" spans="1:7" s="34" customFormat="1" x14ac:dyDescent="0.35">
      <c r="A1422" s="36"/>
      <c r="B1422" s="36"/>
      <c r="C1422" s="36"/>
      <c r="D1422" s="36"/>
      <c r="E1422" s="36"/>
      <c r="F1422" s="36"/>
      <c r="G1422" s="36"/>
    </row>
    <row r="1423" spans="1:7" s="34" customFormat="1" x14ac:dyDescent="0.35">
      <c r="A1423" s="36"/>
      <c r="B1423" s="36"/>
      <c r="C1423" s="36"/>
      <c r="D1423" s="36"/>
      <c r="E1423" s="36"/>
      <c r="F1423" s="36"/>
      <c r="G1423" s="36"/>
    </row>
    <row r="1424" spans="1:7" s="34" customFormat="1" x14ac:dyDescent="0.35">
      <c r="A1424" s="36"/>
      <c r="B1424" s="36"/>
      <c r="C1424" s="36"/>
      <c r="D1424" s="36"/>
      <c r="E1424" s="36"/>
      <c r="F1424" s="36"/>
      <c r="G1424" s="36"/>
    </row>
    <row r="1425" spans="1:7" s="34" customFormat="1" x14ac:dyDescent="0.35">
      <c r="A1425" s="36"/>
      <c r="B1425" s="36"/>
      <c r="C1425" s="36"/>
      <c r="D1425" s="36"/>
      <c r="E1425" s="36"/>
      <c r="F1425" s="36"/>
      <c r="G1425" s="36"/>
    </row>
    <row r="1426" spans="1:7" s="34" customFormat="1" x14ac:dyDescent="0.35">
      <c r="A1426" s="36"/>
      <c r="B1426" s="36"/>
      <c r="C1426" s="36"/>
      <c r="D1426" s="36"/>
      <c r="E1426" s="36"/>
      <c r="F1426" s="36"/>
      <c r="G1426" s="36"/>
    </row>
    <row r="1427" spans="1:7" s="34" customFormat="1" x14ac:dyDescent="0.35">
      <c r="A1427" s="36"/>
      <c r="B1427" s="36"/>
      <c r="C1427" s="36"/>
      <c r="D1427" s="36"/>
      <c r="E1427" s="36"/>
      <c r="F1427" s="36"/>
      <c r="G1427" s="36"/>
    </row>
    <row r="1428" spans="1:7" s="34" customFormat="1" x14ac:dyDescent="0.35">
      <c r="A1428" s="36"/>
      <c r="B1428" s="36"/>
      <c r="C1428" s="36"/>
      <c r="D1428" s="36"/>
      <c r="E1428" s="36"/>
      <c r="F1428" s="36"/>
      <c r="G1428" s="36"/>
    </row>
    <row r="1429" spans="1:7" s="34" customFormat="1" x14ac:dyDescent="0.35">
      <c r="A1429" s="36"/>
      <c r="B1429" s="36"/>
      <c r="C1429" s="36"/>
      <c r="D1429" s="36"/>
      <c r="E1429" s="36"/>
      <c r="F1429" s="36"/>
      <c r="G1429" s="36"/>
    </row>
    <row r="1430" spans="1:7" s="34" customFormat="1" x14ac:dyDescent="0.35">
      <c r="A1430" s="36"/>
      <c r="B1430" s="36"/>
      <c r="C1430" s="36"/>
      <c r="D1430" s="36"/>
      <c r="E1430" s="36"/>
      <c r="F1430" s="36"/>
      <c r="G1430" s="36"/>
    </row>
    <row r="1431" spans="1:7" s="34" customFormat="1" x14ac:dyDescent="0.35">
      <c r="A1431" s="36"/>
      <c r="B1431" s="36"/>
      <c r="C1431" s="36"/>
      <c r="D1431" s="36"/>
      <c r="E1431" s="36"/>
      <c r="F1431" s="36"/>
      <c r="G1431" s="36"/>
    </row>
    <row r="1432" spans="1:7" s="34" customFormat="1" x14ac:dyDescent="0.35">
      <c r="A1432" s="36"/>
      <c r="B1432" s="36"/>
      <c r="C1432" s="36"/>
      <c r="D1432" s="36"/>
      <c r="E1432" s="36"/>
      <c r="F1432" s="36"/>
      <c r="G1432" s="36"/>
    </row>
    <row r="1433" spans="1:7" s="34" customFormat="1" x14ac:dyDescent="0.35">
      <c r="A1433" s="36"/>
      <c r="B1433" s="36"/>
      <c r="C1433" s="36"/>
      <c r="D1433" s="36"/>
      <c r="E1433" s="36"/>
      <c r="F1433" s="36"/>
      <c r="G1433" s="36"/>
    </row>
    <row r="1434" spans="1:7" s="34" customFormat="1" x14ac:dyDescent="0.35">
      <c r="A1434" s="36"/>
      <c r="B1434" s="36"/>
      <c r="C1434" s="36"/>
      <c r="D1434" s="36"/>
      <c r="E1434" s="36"/>
      <c r="F1434" s="36"/>
      <c r="G1434" s="36"/>
    </row>
    <row r="1435" spans="1:7" s="34" customFormat="1" x14ac:dyDescent="0.35">
      <c r="A1435" s="36"/>
      <c r="B1435" s="36"/>
      <c r="C1435" s="36"/>
      <c r="D1435" s="36"/>
      <c r="E1435" s="36"/>
      <c r="F1435" s="36"/>
      <c r="G1435" s="36"/>
    </row>
    <row r="1436" spans="1:7" s="34" customFormat="1" x14ac:dyDescent="0.35">
      <c r="A1436" s="36"/>
      <c r="B1436" s="36"/>
      <c r="C1436" s="36"/>
      <c r="D1436" s="36"/>
      <c r="E1436" s="36"/>
      <c r="F1436" s="36"/>
      <c r="G1436" s="36"/>
    </row>
    <row r="1437" spans="1:7" s="34" customFormat="1" x14ac:dyDescent="0.35">
      <c r="A1437" s="36"/>
      <c r="B1437" s="36"/>
      <c r="C1437" s="36"/>
      <c r="D1437" s="36"/>
      <c r="E1437" s="36"/>
      <c r="F1437" s="36"/>
      <c r="G1437" s="36"/>
    </row>
    <row r="1438" spans="1:7" s="34" customFormat="1" x14ac:dyDescent="0.35">
      <c r="A1438" s="36"/>
      <c r="B1438" s="36"/>
      <c r="C1438" s="36"/>
      <c r="D1438" s="36"/>
      <c r="E1438" s="36"/>
      <c r="F1438" s="36"/>
      <c r="G1438" s="36"/>
    </row>
    <row r="1439" spans="1:7" s="34" customFormat="1" x14ac:dyDescent="0.35">
      <c r="A1439" s="36"/>
      <c r="B1439" s="36"/>
      <c r="C1439" s="36"/>
      <c r="D1439" s="36"/>
      <c r="E1439" s="36"/>
      <c r="F1439" s="36"/>
      <c r="G1439" s="36"/>
    </row>
    <row r="1440" spans="1:7" s="34" customFormat="1" x14ac:dyDescent="0.35">
      <c r="A1440" s="36"/>
      <c r="B1440" s="36"/>
      <c r="C1440" s="36"/>
      <c r="D1440" s="36"/>
      <c r="E1440" s="36"/>
      <c r="F1440" s="36"/>
      <c r="G1440" s="36"/>
    </row>
    <row r="1441" spans="1:7" s="34" customFormat="1" x14ac:dyDescent="0.35">
      <c r="A1441" s="36"/>
      <c r="B1441" s="36"/>
      <c r="C1441" s="36"/>
      <c r="D1441" s="36"/>
      <c r="E1441" s="36"/>
      <c r="F1441" s="36"/>
      <c r="G1441" s="36"/>
    </row>
    <row r="1442" spans="1:7" s="34" customFormat="1" x14ac:dyDescent="0.35">
      <c r="A1442" s="36"/>
      <c r="B1442" s="36"/>
      <c r="C1442" s="36"/>
      <c r="D1442" s="36"/>
      <c r="E1442" s="36"/>
      <c r="F1442" s="36"/>
      <c r="G1442" s="36"/>
    </row>
    <row r="1443" spans="1:7" s="34" customFormat="1" x14ac:dyDescent="0.35">
      <c r="A1443" s="36"/>
      <c r="B1443" s="36"/>
      <c r="C1443" s="36"/>
      <c r="D1443" s="36"/>
      <c r="E1443" s="36"/>
      <c r="F1443" s="36"/>
      <c r="G1443" s="36"/>
    </row>
    <row r="1444" spans="1:7" s="34" customFormat="1" x14ac:dyDescent="0.35">
      <c r="A1444" s="36"/>
      <c r="B1444" s="36"/>
      <c r="C1444" s="36"/>
      <c r="D1444" s="36"/>
      <c r="E1444" s="36"/>
      <c r="F1444" s="36"/>
      <c r="G1444" s="36"/>
    </row>
    <row r="1445" spans="1:7" s="34" customFormat="1" x14ac:dyDescent="0.35">
      <c r="A1445" s="36"/>
      <c r="B1445" s="36"/>
      <c r="C1445" s="36"/>
      <c r="D1445" s="36"/>
      <c r="E1445" s="36"/>
      <c r="F1445" s="36"/>
      <c r="G1445" s="36"/>
    </row>
    <row r="1446" spans="1:7" s="34" customFormat="1" x14ac:dyDescent="0.35">
      <c r="A1446" s="36"/>
      <c r="B1446" s="36"/>
      <c r="C1446" s="36"/>
      <c r="D1446" s="36"/>
      <c r="E1446" s="36"/>
      <c r="F1446" s="36"/>
      <c r="G1446" s="36"/>
    </row>
    <row r="1447" spans="1:7" s="34" customFormat="1" x14ac:dyDescent="0.35">
      <c r="A1447" s="36"/>
      <c r="B1447" s="36"/>
      <c r="C1447" s="36"/>
      <c r="D1447" s="36"/>
      <c r="E1447" s="36"/>
      <c r="F1447" s="36"/>
      <c r="G1447" s="36"/>
    </row>
    <row r="1448" spans="1:7" s="34" customFormat="1" x14ac:dyDescent="0.35">
      <c r="A1448" s="36"/>
      <c r="B1448" s="36"/>
      <c r="C1448" s="36"/>
      <c r="D1448" s="36"/>
      <c r="E1448" s="36"/>
      <c r="F1448" s="36"/>
      <c r="G1448" s="36"/>
    </row>
    <row r="1449" spans="1:7" s="34" customFormat="1" x14ac:dyDescent="0.35">
      <c r="A1449" s="36"/>
      <c r="B1449" s="36"/>
      <c r="C1449" s="36"/>
      <c r="D1449" s="36"/>
      <c r="E1449" s="36"/>
      <c r="F1449" s="36"/>
      <c r="G1449" s="36"/>
    </row>
    <row r="1450" spans="1:7" s="34" customFormat="1" x14ac:dyDescent="0.35">
      <c r="A1450" s="36"/>
      <c r="B1450" s="36"/>
      <c r="C1450" s="36"/>
      <c r="D1450" s="36"/>
      <c r="E1450" s="36"/>
      <c r="F1450" s="36"/>
      <c r="G1450" s="36"/>
    </row>
    <row r="1451" spans="1:7" s="34" customFormat="1" x14ac:dyDescent="0.35">
      <c r="A1451" s="36"/>
      <c r="B1451" s="36"/>
      <c r="C1451" s="36"/>
      <c r="D1451" s="36"/>
      <c r="E1451" s="36"/>
      <c r="F1451" s="36"/>
      <c r="G1451" s="36"/>
    </row>
    <row r="1452" spans="1:7" s="34" customFormat="1" x14ac:dyDescent="0.35">
      <c r="A1452" s="36"/>
      <c r="B1452" s="36"/>
      <c r="C1452" s="36"/>
      <c r="D1452" s="36"/>
      <c r="E1452" s="36"/>
      <c r="F1452" s="36"/>
      <c r="G1452" s="36"/>
    </row>
    <row r="1453" spans="1:7" s="34" customFormat="1" x14ac:dyDescent="0.35">
      <c r="A1453" s="36"/>
      <c r="B1453" s="36"/>
      <c r="C1453" s="36"/>
      <c r="D1453" s="36"/>
      <c r="E1453" s="36"/>
      <c r="F1453" s="36"/>
      <c r="G1453" s="36"/>
    </row>
    <row r="1454" spans="1:7" s="34" customFormat="1" x14ac:dyDescent="0.35">
      <c r="A1454" s="36"/>
      <c r="B1454" s="36"/>
      <c r="C1454" s="36"/>
      <c r="D1454" s="36"/>
      <c r="E1454" s="36"/>
      <c r="F1454" s="36"/>
      <c r="G1454" s="36"/>
    </row>
    <row r="1455" spans="1:7" s="34" customFormat="1" x14ac:dyDescent="0.35">
      <c r="A1455" s="36"/>
      <c r="B1455" s="36"/>
      <c r="C1455" s="36"/>
      <c r="D1455" s="36"/>
      <c r="E1455" s="36"/>
      <c r="F1455" s="36"/>
      <c r="G1455" s="36"/>
    </row>
    <row r="1456" spans="1:7" s="34" customFormat="1" x14ac:dyDescent="0.35">
      <c r="A1456" s="36"/>
      <c r="B1456" s="36"/>
      <c r="C1456" s="36"/>
      <c r="D1456" s="36"/>
      <c r="E1456" s="36"/>
      <c r="F1456" s="36"/>
      <c r="G1456" s="36"/>
    </row>
    <row r="1457" spans="1:7" s="34" customFormat="1" x14ac:dyDescent="0.35">
      <c r="A1457" s="36"/>
      <c r="B1457" s="36"/>
      <c r="C1457" s="36"/>
      <c r="D1457" s="36"/>
      <c r="E1457" s="36"/>
      <c r="F1457" s="36"/>
      <c r="G1457" s="36"/>
    </row>
    <row r="1458" spans="1:7" s="34" customFormat="1" x14ac:dyDescent="0.35">
      <c r="A1458" s="36"/>
      <c r="B1458" s="36"/>
      <c r="C1458" s="36"/>
      <c r="D1458" s="36"/>
      <c r="E1458" s="36"/>
      <c r="F1458" s="36"/>
      <c r="G1458" s="36"/>
    </row>
    <row r="1459" spans="1:7" s="34" customFormat="1" x14ac:dyDescent="0.35">
      <c r="A1459" s="36"/>
      <c r="B1459" s="36"/>
      <c r="C1459" s="36"/>
      <c r="D1459" s="36"/>
      <c r="E1459" s="36"/>
      <c r="F1459" s="36"/>
      <c r="G1459" s="36"/>
    </row>
    <row r="1460" spans="1:7" s="34" customFormat="1" x14ac:dyDescent="0.35">
      <c r="A1460" s="36"/>
      <c r="B1460" s="36"/>
      <c r="C1460" s="36"/>
      <c r="D1460" s="36"/>
      <c r="E1460" s="36"/>
      <c r="F1460" s="36"/>
      <c r="G1460" s="36"/>
    </row>
    <row r="1461" spans="1:7" s="34" customFormat="1" x14ac:dyDescent="0.35">
      <c r="A1461" s="36"/>
      <c r="B1461" s="36"/>
      <c r="C1461" s="36"/>
      <c r="D1461" s="36"/>
      <c r="E1461" s="36"/>
      <c r="F1461" s="36"/>
      <c r="G1461" s="36"/>
    </row>
    <row r="1462" spans="1:7" s="34" customFormat="1" x14ac:dyDescent="0.35">
      <c r="A1462" s="36"/>
      <c r="B1462" s="36"/>
      <c r="C1462" s="36"/>
      <c r="D1462" s="36"/>
      <c r="E1462" s="36"/>
      <c r="F1462" s="36"/>
      <c r="G1462" s="36"/>
    </row>
    <row r="1463" spans="1:7" s="34" customFormat="1" x14ac:dyDescent="0.35">
      <c r="A1463" s="36"/>
      <c r="B1463" s="36"/>
      <c r="C1463" s="36"/>
      <c r="D1463" s="36"/>
      <c r="E1463" s="36"/>
      <c r="F1463" s="36"/>
      <c r="G1463" s="36"/>
    </row>
    <row r="1464" spans="1:7" s="34" customFormat="1" x14ac:dyDescent="0.35">
      <c r="A1464" s="36"/>
      <c r="B1464" s="36"/>
      <c r="C1464" s="36"/>
      <c r="D1464" s="36"/>
      <c r="E1464" s="36"/>
      <c r="F1464" s="36"/>
      <c r="G1464" s="36"/>
    </row>
    <row r="1465" spans="1:7" s="34" customFormat="1" x14ac:dyDescent="0.35">
      <c r="A1465" s="36"/>
      <c r="B1465" s="36"/>
      <c r="C1465" s="36"/>
      <c r="D1465" s="36"/>
      <c r="E1465" s="36"/>
      <c r="F1465" s="36"/>
      <c r="G1465" s="36"/>
    </row>
    <row r="1466" spans="1:7" s="34" customFormat="1" x14ac:dyDescent="0.35">
      <c r="A1466" s="36"/>
      <c r="B1466" s="36"/>
      <c r="C1466" s="36"/>
      <c r="D1466" s="36"/>
      <c r="E1466" s="36"/>
      <c r="F1466" s="36"/>
      <c r="G1466" s="36"/>
    </row>
    <row r="1467" spans="1:7" s="34" customFormat="1" x14ac:dyDescent="0.35">
      <c r="A1467" s="36"/>
      <c r="B1467" s="36"/>
      <c r="C1467" s="36"/>
      <c r="D1467" s="36"/>
      <c r="E1467" s="36"/>
      <c r="F1467" s="36"/>
      <c r="G1467" s="36"/>
    </row>
    <row r="1468" spans="1:7" s="34" customFormat="1" x14ac:dyDescent="0.35">
      <c r="A1468" s="36"/>
      <c r="B1468" s="36"/>
      <c r="C1468" s="36"/>
      <c r="D1468" s="36"/>
      <c r="E1468" s="36"/>
      <c r="F1468" s="36"/>
      <c r="G1468" s="36"/>
    </row>
    <row r="1469" spans="1:7" s="34" customFormat="1" x14ac:dyDescent="0.35">
      <c r="A1469" s="36"/>
      <c r="B1469" s="36"/>
      <c r="C1469" s="36"/>
      <c r="D1469" s="36"/>
      <c r="E1469" s="36"/>
      <c r="F1469" s="36"/>
      <c r="G1469" s="36"/>
    </row>
    <row r="1470" spans="1:7" s="34" customFormat="1" x14ac:dyDescent="0.35">
      <c r="A1470" s="36"/>
      <c r="B1470" s="36"/>
      <c r="C1470" s="36"/>
      <c r="D1470" s="36"/>
      <c r="E1470" s="36"/>
      <c r="F1470" s="36"/>
      <c r="G1470" s="36"/>
    </row>
    <row r="1471" spans="1:7" s="34" customFormat="1" x14ac:dyDescent="0.35">
      <c r="A1471" s="36"/>
      <c r="B1471" s="36"/>
      <c r="C1471" s="36"/>
      <c r="D1471" s="36"/>
      <c r="E1471" s="36"/>
      <c r="F1471" s="36"/>
      <c r="G1471" s="36"/>
    </row>
    <row r="1472" spans="1:7" s="34" customFormat="1" x14ac:dyDescent="0.35">
      <c r="A1472" s="36"/>
      <c r="B1472" s="36"/>
      <c r="C1472" s="36"/>
      <c r="D1472" s="36"/>
      <c r="E1472" s="36"/>
      <c r="F1472" s="36"/>
      <c r="G1472" s="36"/>
    </row>
    <row r="1473" spans="1:7" s="34" customFormat="1" x14ac:dyDescent="0.35">
      <c r="A1473" s="36"/>
      <c r="B1473" s="36"/>
      <c r="C1473" s="36"/>
      <c r="D1473" s="36"/>
      <c r="E1473" s="36"/>
      <c r="F1473" s="36"/>
      <c r="G1473" s="36"/>
    </row>
    <row r="1474" spans="1:7" s="34" customFormat="1" x14ac:dyDescent="0.35">
      <c r="A1474" s="36"/>
      <c r="B1474" s="36"/>
      <c r="C1474" s="36"/>
      <c r="D1474" s="36"/>
      <c r="E1474" s="36"/>
      <c r="F1474" s="36"/>
      <c r="G1474" s="36"/>
    </row>
    <row r="1475" spans="1:7" s="34" customFormat="1" x14ac:dyDescent="0.35">
      <c r="A1475" s="36"/>
      <c r="B1475" s="36"/>
      <c r="C1475" s="36"/>
      <c r="D1475" s="36"/>
      <c r="E1475" s="36"/>
      <c r="F1475" s="36"/>
      <c r="G1475" s="36"/>
    </row>
    <row r="1476" spans="1:7" s="34" customFormat="1" x14ac:dyDescent="0.35">
      <c r="A1476" s="36"/>
      <c r="B1476" s="36"/>
      <c r="C1476" s="36"/>
      <c r="D1476" s="36"/>
      <c r="E1476" s="36"/>
      <c r="F1476" s="36"/>
      <c r="G1476" s="36"/>
    </row>
    <row r="1477" spans="1:7" s="34" customFormat="1" x14ac:dyDescent="0.35">
      <c r="A1477" s="36"/>
      <c r="B1477" s="36"/>
      <c r="C1477" s="36"/>
      <c r="D1477" s="36"/>
      <c r="E1477" s="36"/>
      <c r="F1477" s="36"/>
      <c r="G1477" s="36"/>
    </row>
    <row r="1478" spans="1:7" s="34" customFormat="1" x14ac:dyDescent="0.35">
      <c r="A1478" s="36"/>
      <c r="B1478" s="36"/>
      <c r="C1478" s="36"/>
      <c r="D1478" s="36"/>
      <c r="E1478" s="36"/>
      <c r="F1478" s="36"/>
      <c r="G1478" s="36"/>
    </row>
    <row r="1479" spans="1:7" s="34" customFormat="1" x14ac:dyDescent="0.35">
      <c r="A1479" s="36"/>
      <c r="B1479" s="36"/>
      <c r="C1479" s="36"/>
      <c r="D1479" s="36"/>
      <c r="E1479" s="36"/>
      <c r="F1479" s="36"/>
      <c r="G1479" s="36"/>
    </row>
    <row r="1480" spans="1:7" s="34" customFormat="1" x14ac:dyDescent="0.35">
      <c r="A1480" s="36"/>
      <c r="B1480" s="36"/>
      <c r="C1480" s="36"/>
      <c r="D1480" s="36"/>
      <c r="E1480" s="36"/>
      <c r="F1480" s="36"/>
      <c r="G1480" s="36"/>
    </row>
    <row r="1481" spans="1:7" s="34" customFormat="1" x14ac:dyDescent="0.35">
      <c r="A1481" s="36"/>
      <c r="B1481" s="36"/>
      <c r="C1481" s="36"/>
      <c r="D1481" s="36"/>
      <c r="E1481" s="36"/>
      <c r="F1481" s="36"/>
      <c r="G1481" s="36"/>
    </row>
    <row r="1482" spans="1:7" s="34" customFormat="1" x14ac:dyDescent="0.35">
      <c r="A1482" s="36"/>
      <c r="B1482" s="36"/>
      <c r="C1482" s="36"/>
      <c r="D1482" s="36"/>
      <c r="E1482" s="36"/>
      <c r="F1482" s="36"/>
      <c r="G1482" s="36"/>
    </row>
    <row r="1483" spans="1:7" s="34" customFormat="1" x14ac:dyDescent="0.35">
      <c r="A1483" s="36"/>
      <c r="B1483" s="36"/>
      <c r="C1483" s="36"/>
      <c r="D1483" s="36"/>
      <c r="E1483" s="36"/>
      <c r="F1483" s="36"/>
      <c r="G1483" s="36"/>
    </row>
    <row r="1484" spans="1:7" s="34" customFormat="1" x14ac:dyDescent="0.35">
      <c r="A1484" s="36"/>
      <c r="B1484" s="36"/>
      <c r="C1484" s="36"/>
      <c r="D1484" s="36"/>
      <c r="E1484" s="36"/>
      <c r="F1484" s="36"/>
      <c r="G1484" s="36"/>
    </row>
    <row r="1485" spans="1:7" s="34" customFormat="1" x14ac:dyDescent="0.35">
      <c r="A1485" s="36"/>
      <c r="B1485" s="36"/>
      <c r="C1485" s="36"/>
      <c r="D1485" s="36"/>
      <c r="E1485" s="36"/>
      <c r="F1485" s="36"/>
      <c r="G1485" s="36"/>
    </row>
    <row r="1486" spans="1:7" s="34" customFormat="1" x14ac:dyDescent="0.35">
      <c r="A1486" s="36"/>
      <c r="B1486" s="36"/>
      <c r="C1486" s="36"/>
      <c r="D1486" s="36"/>
      <c r="E1486" s="36"/>
      <c r="F1486" s="36"/>
      <c r="G1486" s="36"/>
    </row>
    <row r="1487" spans="1:7" s="34" customFormat="1" x14ac:dyDescent="0.35">
      <c r="A1487" s="36"/>
      <c r="B1487" s="36"/>
      <c r="C1487" s="36"/>
      <c r="D1487" s="36"/>
      <c r="E1487" s="36"/>
      <c r="F1487" s="36"/>
      <c r="G1487" s="36"/>
    </row>
    <row r="1488" spans="1:7" s="34" customFormat="1" x14ac:dyDescent="0.35">
      <c r="A1488" s="36"/>
      <c r="B1488" s="36"/>
      <c r="C1488" s="36"/>
      <c r="D1488" s="36"/>
      <c r="E1488" s="36"/>
      <c r="F1488" s="36"/>
      <c r="G1488" s="36"/>
    </row>
    <row r="1489" spans="1:7" s="34" customFormat="1" x14ac:dyDescent="0.35">
      <c r="A1489" s="36"/>
      <c r="B1489" s="36"/>
      <c r="C1489" s="36"/>
      <c r="D1489" s="36"/>
      <c r="E1489" s="36"/>
      <c r="F1489" s="36"/>
      <c r="G1489" s="36"/>
    </row>
    <row r="1490" spans="1:7" s="34" customFormat="1" x14ac:dyDescent="0.35">
      <c r="A1490" s="36"/>
      <c r="B1490" s="36"/>
      <c r="C1490" s="36"/>
      <c r="D1490" s="36"/>
      <c r="E1490" s="36"/>
      <c r="F1490" s="36"/>
      <c r="G1490" s="36"/>
    </row>
    <row r="1491" spans="1:7" s="34" customFormat="1" x14ac:dyDescent="0.35">
      <c r="A1491" s="36"/>
      <c r="B1491" s="36"/>
      <c r="C1491" s="36"/>
      <c r="D1491" s="36"/>
      <c r="E1491" s="36"/>
      <c r="F1491" s="36"/>
      <c r="G1491" s="36"/>
    </row>
    <row r="1492" spans="1:7" s="34" customFormat="1" x14ac:dyDescent="0.35">
      <c r="A1492" s="36"/>
      <c r="B1492" s="36"/>
      <c r="C1492" s="36"/>
      <c r="D1492" s="36"/>
      <c r="E1492" s="36"/>
      <c r="F1492" s="36"/>
      <c r="G1492" s="36"/>
    </row>
    <row r="1493" spans="1:7" s="34" customFormat="1" x14ac:dyDescent="0.35">
      <c r="A1493" s="36"/>
      <c r="B1493" s="36"/>
      <c r="C1493" s="36"/>
      <c r="D1493" s="36"/>
      <c r="E1493" s="36"/>
      <c r="F1493" s="36"/>
      <c r="G1493" s="36"/>
    </row>
    <row r="1494" spans="1:7" s="34" customFormat="1" x14ac:dyDescent="0.35">
      <c r="A1494" s="36"/>
      <c r="B1494" s="36"/>
      <c r="C1494" s="36"/>
      <c r="D1494" s="36"/>
      <c r="E1494" s="36"/>
      <c r="F1494" s="36"/>
      <c r="G1494" s="36"/>
    </row>
    <row r="1495" spans="1:7" s="34" customFormat="1" x14ac:dyDescent="0.35">
      <c r="A1495" s="36"/>
      <c r="B1495" s="36"/>
      <c r="C1495" s="36"/>
      <c r="D1495" s="36"/>
      <c r="E1495" s="36"/>
      <c r="F1495" s="36"/>
      <c r="G1495" s="36"/>
    </row>
    <row r="1496" spans="1:7" s="34" customFormat="1" x14ac:dyDescent="0.35">
      <c r="A1496" s="36"/>
      <c r="B1496" s="36"/>
      <c r="C1496" s="36"/>
      <c r="D1496" s="36"/>
      <c r="E1496" s="36"/>
      <c r="F1496" s="36"/>
      <c r="G1496" s="36"/>
    </row>
    <row r="1497" spans="1:7" s="34" customFormat="1" x14ac:dyDescent="0.35">
      <c r="A1497" s="36"/>
      <c r="B1497" s="36"/>
      <c r="C1497" s="36"/>
      <c r="D1497" s="36"/>
      <c r="E1497" s="36"/>
      <c r="F1497" s="36"/>
      <c r="G1497" s="36"/>
    </row>
    <row r="1498" spans="1:7" s="34" customFormat="1" x14ac:dyDescent="0.35">
      <c r="A1498" s="36"/>
      <c r="B1498" s="36"/>
      <c r="C1498" s="36"/>
      <c r="D1498" s="36"/>
      <c r="E1498" s="36"/>
      <c r="F1498" s="36"/>
      <c r="G1498" s="36"/>
    </row>
    <row r="1499" spans="1:7" s="34" customFormat="1" x14ac:dyDescent="0.35">
      <c r="A1499" s="36"/>
      <c r="B1499" s="36"/>
      <c r="C1499" s="36"/>
      <c r="D1499" s="36"/>
      <c r="E1499" s="36"/>
      <c r="F1499" s="36"/>
      <c r="G1499" s="36"/>
    </row>
    <row r="1500" spans="1:7" s="34" customFormat="1" x14ac:dyDescent="0.35">
      <c r="A1500" s="36"/>
      <c r="B1500" s="36"/>
      <c r="C1500" s="36"/>
      <c r="D1500" s="36"/>
      <c r="E1500" s="36"/>
      <c r="F1500" s="36"/>
      <c r="G1500" s="36"/>
    </row>
    <row r="1501" spans="1:7" s="34" customFormat="1" x14ac:dyDescent="0.35">
      <c r="A1501" s="36"/>
      <c r="B1501" s="36"/>
      <c r="C1501" s="36"/>
      <c r="D1501" s="36"/>
      <c r="E1501" s="36"/>
      <c r="F1501" s="36"/>
      <c r="G1501" s="36"/>
    </row>
    <row r="1502" spans="1:7" s="34" customFormat="1" x14ac:dyDescent="0.35">
      <c r="A1502" s="36"/>
      <c r="B1502" s="36"/>
      <c r="C1502" s="36"/>
      <c r="D1502" s="36"/>
      <c r="E1502" s="36"/>
      <c r="F1502" s="36"/>
      <c r="G1502" s="36"/>
    </row>
    <row r="1503" spans="1:7" s="34" customFormat="1" x14ac:dyDescent="0.35">
      <c r="A1503" s="36"/>
      <c r="B1503" s="36"/>
      <c r="C1503" s="36"/>
      <c r="D1503" s="36"/>
      <c r="E1503" s="36"/>
      <c r="F1503" s="36"/>
      <c r="G1503" s="36"/>
    </row>
    <row r="1504" spans="1:7" s="34" customFormat="1" x14ac:dyDescent="0.35">
      <c r="A1504" s="36"/>
      <c r="B1504" s="36"/>
      <c r="C1504" s="36"/>
      <c r="D1504" s="36"/>
      <c r="E1504" s="36"/>
      <c r="F1504" s="36"/>
      <c r="G1504" s="36"/>
    </row>
    <row r="1505" spans="1:7" s="34" customFormat="1" x14ac:dyDescent="0.35">
      <c r="A1505" s="36"/>
      <c r="B1505" s="36"/>
      <c r="C1505" s="36"/>
      <c r="D1505" s="36"/>
      <c r="E1505" s="36"/>
      <c r="F1505" s="36"/>
      <c r="G1505" s="36"/>
    </row>
    <row r="1506" spans="1:7" s="34" customFormat="1" x14ac:dyDescent="0.35">
      <c r="A1506" s="36"/>
      <c r="B1506" s="36"/>
      <c r="C1506" s="36"/>
      <c r="D1506" s="36"/>
      <c r="E1506" s="36"/>
      <c r="F1506" s="36"/>
      <c r="G1506" s="36"/>
    </row>
    <row r="1507" spans="1:7" s="34" customFormat="1" x14ac:dyDescent="0.35">
      <c r="A1507" s="36"/>
      <c r="B1507" s="36"/>
      <c r="C1507" s="36"/>
      <c r="D1507" s="36"/>
      <c r="E1507" s="36"/>
      <c r="F1507" s="36"/>
      <c r="G1507" s="36"/>
    </row>
    <row r="1508" spans="1:7" s="34" customFormat="1" x14ac:dyDescent="0.35">
      <c r="A1508" s="36"/>
      <c r="B1508" s="36"/>
      <c r="C1508" s="36"/>
      <c r="D1508" s="36"/>
      <c r="E1508" s="36"/>
      <c r="F1508" s="36"/>
      <c r="G1508" s="36"/>
    </row>
    <row r="1509" spans="1:7" s="34" customFormat="1" x14ac:dyDescent="0.35">
      <c r="A1509" s="36"/>
      <c r="B1509" s="36"/>
      <c r="C1509" s="36"/>
      <c r="D1509" s="36"/>
      <c r="E1509" s="36"/>
      <c r="F1509" s="36"/>
      <c r="G1509" s="36"/>
    </row>
    <row r="1510" spans="1:7" s="34" customFormat="1" x14ac:dyDescent="0.35">
      <c r="A1510" s="36"/>
      <c r="B1510" s="36"/>
      <c r="C1510" s="36"/>
      <c r="D1510" s="36"/>
      <c r="E1510" s="36"/>
      <c r="F1510" s="36"/>
      <c r="G1510" s="36"/>
    </row>
    <row r="1511" spans="1:7" s="34" customFormat="1" x14ac:dyDescent="0.35">
      <c r="A1511" s="36"/>
      <c r="B1511" s="36"/>
      <c r="C1511" s="36"/>
      <c r="D1511" s="36"/>
      <c r="E1511" s="36"/>
      <c r="F1511" s="36"/>
      <c r="G1511" s="36"/>
    </row>
    <row r="1512" spans="1:7" s="34" customFormat="1" x14ac:dyDescent="0.35">
      <c r="A1512" s="36"/>
      <c r="B1512" s="36"/>
      <c r="C1512" s="36"/>
      <c r="D1512" s="36"/>
      <c r="E1512" s="36"/>
      <c r="F1512" s="36"/>
      <c r="G1512" s="36"/>
    </row>
    <row r="1513" spans="1:7" s="34" customFormat="1" x14ac:dyDescent="0.35">
      <c r="A1513" s="36"/>
      <c r="B1513" s="36"/>
      <c r="C1513" s="36"/>
      <c r="D1513" s="36"/>
      <c r="E1513" s="36"/>
      <c r="F1513" s="36"/>
      <c r="G1513" s="36"/>
    </row>
    <row r="1514" spans="1:7" s="34" customFormat="1" x14ac:dyDescent="0.35">
      <c r="A1514" s="36"/>
      <c r="B1514" s="36"/>
      <c r="C1514" s="36"/>
      <c r="D1514" s="36"/>
      <c r="E1514" s="36"/>
      <c r="F1514" s="36"/>
      <c r="G1514" s="36"/>
    </row>
    <row r="1515" spans="1:7" s="34" customFormat="1" x14ac:dyDescent="0.35">
      <c r="A1515" s="36"/>
      <c r="B1515" s="36"/>
      <c r="C1515" s="36"/>
      <c r="D1515" s="36"/>
      <c r="E1515" s="36"/>
      <c r="F1515" s="36"/>
      <c r="G1515" s="36"/>
    </row>
    <row r="1516" spans="1:7" s="34" customFormat="1" x14ac:dyDescent="0.35">
      <c r="A1516" s="36"/>
      <c r="B1516" s="36"/>
      <c r="C1516" s="36"/>
      <c r="D1516" s="36"/>
      <c r="E1516" s="36"/>
      <c r="F1516" s="36"/>
      <c r="G1516" s="36"/>
    </row>
    <row r="1517" spans="1:7" s="34" customFormat="1" x14ac:dyDescent="0.35">
      <c r="A1517" s="36"/>
      <c r="B1517" s="36"/>
      <c r="C1517" s="36"/>
      <c r="D1517" s="36"/>
      <c r="E1517" s="36"/>
      <c r="F1517" s="36"/>
      <c r="G1517" s="36"/>
    </row>
    <row r="1518" spans="1:7" s="34" customFormat="1" x14ac:dyDescent="0.35">
      <c r="A1518" s="36"/>
      <c r="B1518" s="36"/>
      <c r="C1518" s="36"/>
      <c r="D1518" s="36"/>
      <c r="E1518" s="36"/>
      <c r="F1518" s="36"/>
      <c r="G1518" s="36"/>
    </row>
    <row r="1519" spans="1:7" s="34" customFormat="1" x14ac:dyDescent="0.35">
      <c r="A1519" s="36"/>
      <c r="B1519" s="36"/>
      <c r="C1519" s="36"/>
      <c r="D1519" s="36"/>
      <c r="E1519" s="36"/>
      <c r="F1519" s="36"/>
      <c r="G1519" s="36"/>
    </row>
    <row r="1520" spans="1:7" s="34" customFormat="1" x14ac:dyDescent="0.35">
      <c r="A1520" s="36"/>
      <c r="B1520" s="36"/>
      <c r="C1520" s="36"/>
      <c r="D1520" s="36"/>
      <c r="E1520" s="36"/>
      <c r="F1520" s="36"/>
      <c r="G1520" s="36"/>
    </row>
    <row r="1521" spans="1:7" s="34" customFormat="1" x14ac:dyDescent="0.35">
      <c r="A1521" s="36"/>
      <c r="B1521" s="36"/>
      <c r="C1521" s="36"/>
      <c r="D1521" s="36"/>
      <c r="E1521" s="36"/>
      <c r="F1521" s="36"/>
      <c r="G1521" s="36"/>
    </row>
    <row r="1522" spans="1:7" s="34" customFormat="1" x14ac:dyDescent="0.35">
      <c r="A1522" s="36"/>
      <c r="B1522" s="36"/>
      <c r="C1522" s="36"/>
      <c r="D1522" s="36"/>
      <c r="E1522" s="36"/>
      <c r="F1522" s="36"/>
      <c r="G1522" s="36"/>
    </row>
    <row r="1523" spans="1:7" s="34" customFormat="1" x14ac:dyDescent="0.35">
      <c r="A1523" s="36"/>
      <c r="B1523" s="36"/>
      <c r="C1523" s="36"/>
      <c r="D1523" s="36"/>
      <c r="E1523" s="36"/>
      <c r="F1523" s="36"/>
      <c r="G1523" s="36"/>
    </row>
    <row r="1524" spans="1:7" s="34" customFormat="1" x14ac:dyDescent="0.35">
      <c r="A1524" s="36"/>
      <c r="B1524" s="36"/>
      <c r="C1524" s="36"/>
      <c r="D1524" s="36"/>
      <c r="E1524" s="36"/>
      <c r="F1524" s="36"/>
      <c r="G1524" s="36"/>
    </row>
    <row r="1525" spans="1:7" s="34" customFormat="1" x14ac:dyDescent="0.35">
      <c r="A1525" s="36"/>
      <c r="B1525" s="36"/>
      <c r="C1525" s="36"/>
      <c r="D1525" s="36"/>
      <c r="E1525" s="36"/>
      <c r="F1525" s="36"/>
      <c r="G1525" s="36"/>
    </row>
    <row r="1526" spans="1:7" s="34" customFormat="1" x14ac:dyDescent="0.35">
      <c r="A1526" s="36"/>
      <c r="B1526" s="36"/>
      <c r="C1526" s="36"/>
      <c r="D1526" s="36"/>
      <c r="E1526" s="36"/>
      <c r="F1526" s="36"/>
      <c r="G1526" s="36"/>
    </row>
    <row r="1527" spans="1:7" s="34" customFormat="1" x14ac:dyDescent="0.35">
      <c r="A1527" s="36"/>
      <c r="B1527" s="36"/>
      <c r="C1527" s="36"/>
      <c r="D1527" s="36"/>
      <c r="E1527" s="36"/>
      <c r="F1527" s="36"/>
      <c r="G1527" s="36"/>
    </row>
    <row r="1528" spans="1:7" s="34" customFormat="1" x14ac:dyDescent="0.35">
      <c r="A1528" s="36"/>
      <c r="B1528" s="36"/>
      <c r="C1528" s="36"/>
      <c r="D1528" s="36"/>
      <c r="E1528" s="36"/>
      <c r="F1528" s="36"/>
      <c r="G1528" s="36"/>
    </row>
    <row r="1529" spans="1:7" s="34" customFormat="1" x14ac:dyDescent="0.35">
      <c r="A1529" s="36"/>
      <c r="B1529" s="36"/>
      <c r="C1529" s="36"/>
      <c r="D1529" s="36"/>
      <c r="E1529" s="36"/>
      <c r="F1529" s="36"/>
      <c r="G1529" s="36"/>
    </row>
    <row r="1530" spans="1:7" s="34" customFormat="1" x14ac:dyDescent="0.35">
      <c r="A1530" s="36"/>
      <c r="B1530" s="36"/>
      <c r="C1530" s="36"/>
      <c r="D1530" s="36"/>
      <c r="E1530" s="36"/>
      <c r="F1530" s="36"/>
      <c r="G1530" s="36"/>
    </row>
    <row r="1531" spans="1:7" s="34" customFormat="1" x14ac:dyDescent="0.35">
      <c r="A1531" s="36"/>
      <c r="B1531" s="36"/>
      <c r="C1531" s="36"/>
      <c r="D1531" s="36"/>
      <c r="E1531" s="36"/>
      <c r="F1531" s="36"/>
      <c r="G1531" s="36"/>
    </row>
    <row r="1532" spans="1:7" s="34" customFormat="1" x14ac:dyDescent="0.35">
      <c r="A1532" s="36"/>
      <c r="B1532" s="36"/>
      <c r="C1532" s="36"/>
      <c r="D1532" s="36"/>
      <c r="E1532" s="36"/>
      <c r="F1532" s="36"/>
      <c r="G1532" s="36"/>
    </row>
    <row r="1533" spans="1:7" s="34" customFormat="1" x14ac:dyDescent="0.35">
      <c r="A1533" s="36"/>
      <c r="B1533" s="36"/>
      <c r="C1533" s="36"/>
      <c r="D1533" s="36"/>
      <c r="E1533" s="36"/>
      <c r="F1533" s="36"/>
      <c r="G1533" s="36"/>
    </row>
    <row r="1534" spans="1:7" s="34" customFormat="1" x14ac:dyDescent="0.35">
      <c r="A1534" s="36"/>
      <c r="B1534" s="36"/>
      <c r="C1534" s="36"/>
      <c r="D1534" s="36"/>
      <c r="E1534" s="36"/>
      <c r="F1534" s="36"/>
      <c r="G1534" s="36"/>
    </row>
    <row r="1535" spans="1:7" s="34" customFormat="1" x14ac:dyDescent="0.35">
      <c r="A1535" s="36"/>
      <c r="B1535" s="36"/>
      <c r="C1535" s="36"/>
      <c r="D1535" s="36"/>
      <c r="E1535" s="36"/>
      <c r="F1535" s="36"/>
      <c r="G1535" s="36"/>
    </row>
    <row r="1536" spans="1:7" s="34" customFormat="1" x14ac:dyDescent="0.35">
      <c r="A1536" s="36"/>
      <c r="B1536" s="36"/>
      <c r="C1536" s="36"/>
      <c r="D1536" s="36"/>
      <c r="E1536" s="36"/>
      <c r="F1536" s="36"/>
      <c r="G1536" s="36"/>
    </row>
    <row r="1537" spans="1:7" s="34" customFormat="1" x14ac:dyDescent="0.35">
      <c r="A1537" s="36"/>
      <c r="B1537" s="36"/>
      <c r="C1537" s="36"/>
      <c r="D1537" s="36"/>
      <c r="E1537" s="36"/>
      <c r="F1537" s="36"/>
      <c r="G1537" s="36"/>
    </row>
    <row r="1538" spans="1:7" s="34" customFormat="1" x14ac:dyDescent="0.35">
      <c r="A1538" s="36"/>
      <c r="B1538" s="36"/>
      <c r="C1538" s="36"/>
      <c r="D1538" s="36"/>
      <c r="E1538" s="36"/>
      <c r="F1538" s="36"/>
      <c r="G1538" s="36"/>
    </row>
    <row r="1539" spans="1:7" s="34" customFormat="1" x14ac:dyDescent="0.35">
      <c r="A1539" s="36"/>
      <c r="B1539" s="36"/>
      <c r="C1539" s="36"/>
      <c r="D1539" s="36"/>
      <c r="E1539" s="36"/>
      <c r="F1539" s="36"/>
      <c r="G1539" s="36"/>
    </row>
    <row r="1540" spans="1:7" s="34" customFormat="1" x14ac:dyDescent="0.35">
      <c r="A1540" s="36"/>
      <c r="B1540" s="36"/>
      <c r="C1540" s="36"/>
      <c r="D1540" s="36"/>
      <c r="E1540" s="36"/>
      <c r="F1540" s="36"/>
      <c r="G1540" s="36"/>
    </row>
    <row r="1541" spans="1:7" s="34" customFormat="1" x14ac:dyDescent="0.35">
      <c r="A1541" s="36"/>
      <c r="B1541" s="36"/>
      <c r="C1541" s="36"/>
      <c r="D1541" s="36"/>
      <c r="E1541" s="36"/>
      <c r="F1541" s="36"/>
      <c r="G1541" s="36"/>
    </row>
    <row r="1542" spans="1:7" s="34" customFormat="1" x14ac:dyDescent="0.35">
      <c r="A1542" s="36"/>
      <c r="B1542" s="36"/>
      <c r="C1542" s="36"/>
      <c r="D1542" s="36"/>
      <c r="E1542" s="36"/>
      <c r="F1542" s="36"/>
      <c r="G1542" s="36"/>
    </row>
    <row r="1543" spans="1:7" s="34" customFormat="1" x14ac:dyDescent="0.35">
      <c r="A1543" s="36"/>
      <c r="B1543" s="36"/>
      <c r="C1543" s="36"/>
      <c r="D1543" s="36"/>
      <c r="E1543" s="36"/>
      <c r="F1543" s="36"/>
      <c r="G1543" s="36"/>
    </row>
    <row r="1544" spans="1:7" s="34" customFormat="1" x14ac:dyDescent="0.35">
      <c r="A1544" s="36"/>
      <c r="B1544" s="36"/>
      <c r="C1544" s="36"/>
      <c r="D1544" s="36"/>
      <c r="E1544" s="36"/>
      <c r="F1544" s="36"/>
      <c r="G1544" s="36"/>
    </row>
    <row r="1545" spans="1:7" s="34" customFormat="1" x14ac:dyDescent="0.35">
      <c r="A1545" s="36"/>
      <c r="B1545" s="36"/>
      <c r="C1545" s="36"/>
      <c r="D1545" s="36"/>
      <c r="E1545" s="36"/>
      <c r="F1545" s="36"/>
      <c r="G1545" s="36"/>
    </row>
    <row r="1546" spans="1:7" s="34" customFormat="1" x14ac:dyDescent="0.35">
      <c r="A1546" s="36"/>
      <c r="B1546" s="36"/>
      <c r="C1546" s="36"/>
      <c r="D1546" s="36"/>
      <c r="E1546" s="36"/>
      <c r="F1546" s="36"/>
      <c r="G1546" s="36"/>
    </row>
    <row r="1547" spans="1:7" s="34" customFormat="1" x14ac:dyDescent="0.35">
      <c r="A1547" s="36"/>
      <c r="B1547" s="36"/>
      <c r="C1547" s="36"/>
      <c r="D1547" s="36"/>
      <c r="E1547" s="36"/>
      <c r="F1547" s="36"/>
      <c r="G1547" s="36"/>
    </row>
    <row r="1548" spans="1:7" s="34" customFormat="1" x14ac:dyDescent="0.35">
      <c r="A1548" s="36"/>
      <c r="B1548" s="36"/>
      <c r="C1548" s="36"/>
      <c r="D1548" s="36"/>
      <c r="E1548" s="36"/>
      <c r="F1548" s="36"/>
      <c r="G1548" s="36"/>
    </row>
    <row r="1549" spans="1:7" s="34" customFormat="1" x14ac:dyDescent="0.35">
      <c r="A1549" s="36"/>
      <c r="B1549" s="36"/>
      <c r="C1549" s="36"/>
      <c r="D1549" s="36"/>
      <c r="E1549" s="36"/>
      <c r="F1549" s="36"/>
      <c r="G1549" s="36"/>
    </row>
    <row r="1550" spans="1:7" s="34" customFormat="1" x14ac:dyDescent="0.35">
      <c r="A1550" s="36"/>
      <c r="B1550" s="36"/>
      <c r="C1550" s="36"/>
      <c r="D1550" s="36"/>
      <c r="E1550" s="36"/>
      <c r="F1550" s="36"/>
      <c r="G1550" s="36"/>
    </row>
    <row r="1551" spans="1:7" s="34" customFormat="1" x14ac:dyDescent="0.35">
      <c r="A1551" s="36"/>
      <c r="B1551" s="36"/>
      <c r="C1551" s="36"/>
      <c r="D1551" s="36"/>
      <c r="E1551" s="36"/>
      <c r="F1551" s="36"/>
      <c r="G1551" s="36"/>
    </row>
    <row r="1552" spans="1:7" s="34" customFormat="1" x14ac:dyDescent="0.35">
      <c r="A1552" s="36"/>
      <c r="B1552" s="36"/>
      <c r="C1552" s="36"/>
      <c r="D1552" s="36"/>
      <c r="E1552" s="36"/>
      <c r="F1552" s="36"/>
      <c r="G1552" s="36"/>
    </row>
    <row r="1553" spans="1:7" s="34" customFormat="1" x14ac:dyDescent="0.35">
      <c r="A1553" s="36"/>
      <c r="B1553" s="36"/>
      <c r="C1553" s="36"/>
      <c r="D1553" s="36"/>
      <c r="E1553" s="36"/>
      <c r="F1553" s="36"/>
      <c r="G1553" s="36"/>
    </row>
    <row r="1554" spans="1:7" s="34" customFormat="1" x14ac:dyDescent="0.35">
      <c r="A1554" s="36"/>
      <c r="B1554" s="36"/>
      <c r="C1554" s="36"/>
      <c r="D1554" s="36"/>
      <c r="E1554" s="36"/>
      <c r="F1554" s="36"/>
      <c r="G1554" s="36"/>
    </row>
    <row r="1555" spans="1:7" s="34" customFormat="1" x14ac:dyDescent="0.35">
      <c r="A1555" s="36"/>
      <c r="B1555" s="36"/>
      <c r="C1555" s="36"/>
      <c r="D1555" s="36"/>
      <c r="E1555" s="36"/>
      <c r="F1555" s="36"/>
      <c r="G1555" s="36"/>
    </row>
    <row r="1556" spans="1:7" s="34" customFormat="1" x14ac:dyDescent="0.35">
      <c r="A1556" s="36"/>
      <c r="B1556" s="36"/>
      <c r="C1556" s="36"/>
      <c r="D1556" s="36"/>
      <c r="E1556" s="36"/>
      <c r="F1556" s="36"/>
      <c r="G1556" s="36"/>
    </row>
    <row r="1557" spans="1:7" s="34" customFormat="1" x14ac:dyDescent="0.35">
      <c r="A1557" s="36"/>
      <c r="B1557" s="36"/>
      <c r="C1557" s="36"/>
      <c r="D1557" s="36"/>
      <c r="E1557" s="36"/>
      <c r="F1557" s="36"/>
      <c r="G1557" s="36"/>
    </row>
    <row r="1558" spans="1:7" s="34" customFormat="1" x14ac:dyDescent="0.35">
      <c r="A1558" s="36"/>
      <c r="B1558" s="36"/>
      <c r="C1558" s="36"/>
      <c r="D1558" s="36"/>
      <c r="E1558" s="36"/>
      <c r="F1558" s="36"/>
      <c r="G1558" s="36"/>
    </row>
    <row r="1559" spans="1:7" s="34" customFormat="1" x14ac:dyDescent="0.35">
      <c r="A1559" s="36"/>
      <c r="B1559" s="36"/>
      <c r="C1559" s="36"/>
      <c r="D1559" s="36"/>
      <c r="E1559" s="36"/>
      <c r="F1559" s="36"/>
      <c r="G1559" s="36"/>
    </row>
    <row r="1560" spans="1:7" s="34" customFormat="1" x14ac:dyDescent="0.35">
      <c r="A1560" s="36"/>
      <c r="B1560" s="36"/>
      <c r="C1560" s="36"/>
      <c r="D1560" s="36"/>
      <c r="E1560" s="36"/>
      <c r="F1560" s="36"/>
      <c r="G1560" s="36"/>
    </row>
    <row r="1561" spans="1:7" s="34" customFormat="1" x14ac:dyDescent="0.35">
      <c r="A1561" s="36"/>
      <c r="B1561" s="36"/>
      <c r="C1561" s="36"/>
      <c r="D1561" s="36"/>
      <c r="E1561" s="36"/>
      <c r="F1561" s="36"/>
      <c r="G1561" s="36"/>
    </row>
    <row r="1562" spans="1:7" s="34" customFormat="1" x14ac:dyDescent="0.35">
      <c r="A1562" s="36"/>
      <c r="B1562" s="36"/>
      <c r="C1562" s="36"/>
      <c r="D1562" s="36"/>
      <c r="E1562" s="36"/>
      <c r="F1562" s="36"/>
      <c r="G1562" s="36"/>
    </row>
    <row r="1563" spans="1:7" s="34" customFormat="1" x14ac:dyDescent="0.35">
      <c r="A1563" s="36"/>
      <c r="B1563" s="36"/>
      <c r="C1563" s="36"/>
      <c r="D1563" s="36"/>
      <c r="E1563" s="36"/>
      <c r="F1563" s="36"/>
      <c r="G1563" s="36"/>
    </row>
    <row r="1564" spans="1:7" s="34" customFormat="1" x14ac:dyDescent="0.35">
      <c r="A1564" s="36"/>
      <c r="B1564" s="36"/>
      <c r="C1564" s="36"/>
      <c r="D1564" s="36"/>
      <c r="E1564" s="36"/>
      <c r="F1564" s="36"/>
      <c r="G1564" s="36"/>
    </row>
    <row r="1565" spans="1:7" s="34" customFormat="1" x14ac:dyDescent="0.35">
      <c r="A1565" s="36"/>
      <c r="B1565" s="36"/>
      <c r="C1565" s="36"/>
      <c r="D1565" s="36"/>
      <c r="E1565" s="36"/>
      <c r="F1565" s="36"/>
      <c r="G1565" s="36"/>
    </row>
    <row r="1566" spans="1:7" s="34" customFormat="1" x14ac:dyDescent="0.35">
      <c r="A1566" s="36"/>
      <c r="B1566" s="36"/>
      <c r="C1566" s="36"/>
      <c r="D1566" s="36"/>
      <c r="E1566" s="36"/>
      <c r="F1566" s="36"/>
      <c r="G1566" s="36"/>
    </row>
    <row r="1567" spans="1:7" s="34" customFormat="1" x14ac:dyDescent="0.35">
      <c r="A1567" s="36"/>
      <c r="B1567" s="36"/>
      <c r="C1567" s="36"/>
      <c r="D1567" s="36"/>
      <c r="E1567" s="36"/>
      <c r="F1567" s="36"/>
      <c r="G1567" s="36"/>
    </row>
    <row r="1568" spans="1:7" s="34" customFormat="1" x14ac:dyDescent="0.35">
      <c r="A1568" s="36"/>
      <c r="B1568" s="36"/>
      <c r="C1568" s="36"/>
      <c r="D1568" s="36"/>
      <c r="E1568" s="36"/>
      <c r="F1568" s="36"/>
      <c r="G1568" s="36"/>
    </row>
    <row r="1569" spans="1:7" s="34" customFormat="1" x14ac:dyDescent="0.35">
      <c r="A1569" s="36"/>
      <c r="B1569" s="36"/>
      <c r="C1569" s="36"/>
      <c r="D1569" s="36"/>
      <c r="E1569" s="36"/>
      <c r="F1569" s="36"/>
      <c r="G1569" s="36"/>
    </row>
    <row r="1570" spans="1:7" s="34" customFormat="1" x14ac:dyDescent="0.35">
      <c r="A1570" s="36"/>
      <c r="B1570" s="36"/>
      <c r="C1570" s="36"/>
      <c r="D1570" s="36"/>
      <c r="E1570" s="36"/>
      <c r="F1570" s="36"/>
      <c r="G1570" s="36"/>
    </row>
    <row r="1571" spans="1:7" s="34" customFormat="1" x14ac:dyDescent="0.35">
      <c r="A1571" s="36"/>
      <c r="B1571" s="36"/>
      <c r="C1571" s="36"/>
      <c r="D1571" s="36"/>
      <c r="E1571" s="36"/>
      <c r="F1571" s="36"/>
      <c r="G1571" s="36"/>
    </row>
    <row r="1572" spans="1:7" s="34" customFormat="1" x14ac:dyDescent="0.35">
      <c r="A1572" s="36"/>
      <c r="B1572" s="36"/>
      <c r="C1572" s="36"/>
      <c r="D1572" s="36"/>
      <c r="E1572" s="36"/>
      <c r="F1572" s="36"/>
      <c r="G1572" s="36"/>
    </row>
    <row r="1573" spans="1:7" s="34" customFormat="1" x14ac:dyDescent="0.35">
      <c r="A1573" s="36"/>
      <c r="B1573" s="36"/>
      <c r="C1573" s="36"/>
      <c r="D1573" s="36"/>
      <c r="E1573" s="36"/>
      <c r="F1573" s="36"/>
      <c r="G1573" s="36"/>
    </row>
    <row r="1574" spans="1:7" s="34" customFormat="1" x14ac:dyDescent="0.35">
      <c r="A1574" s="36"/>
      <c r="B1574" s="36"/>
      <c r="C1574" s="36"/>
      <c r="D1574" s="36"/>
      <c r="E1574" s="36"/>
      <c r="F1574" s="36"/>
      <c r="G1574" s="36"/>
    </row>
    <row r="1575" spans="1:7" s="34" customFormat="1" x14ac:dyDescent="0.35">
      <c r="A1575" s="36"/>
      <c r="B1575" s="36"/>
      <c r="C1575" s="36"/>
      <c r="D1575" s="36"/>
      <c r="E1575" s="36"/>
      <c r="F1575" s="36"/>
      <c r="G1575" s="36"/>
    </row>
    <row r="1576" spans="1:7" s="34" customFormat="1" x14ac:dyDescent="0.35">
      <c r="A1576" s="36"/>
      <c r="B1576" s="36"/>
      <c r="C1576" s="36"/>
      <c r="D1576" s="36"/>
      <c r="E1576" s="36"/>
      <c r="F1576" s="36"/>
      <c r="G1576" s="36"/>
    </row>
    <row r="1577" spans="1:7" s="34" customFormat="1" x14ac:dyDescent="0.35">
      <c r="A1577" s="36"/>
      <c r="B1577" s="36"/>
      <c r="C1577" s="36"/>
      <c r="D1577" s="36"/>
      <c r="E1577" s="36"/>
      <c r="F1577" s="36"/>
      <c r="G1577" s="36"/>
    </row>
    <row r="1578" spans="1:7" s="34" customFormat="1" x14ac:dyDescent="0.35">
      <c r="A1578" s="36"/>
      <c r="B1578" s="36"/>
      <c r="C1578" s="36"/>
      <c r="D1578" s="36"/>
      <c r="E1578" s="36"/>
      <c r="F1578" s="36"/>
      <c r="G1578" s="36"/>
    </row>
    <row r="1579" spans="1:7" s="34" customFormat="1" x14ac:dyDescent="0.35">
      <c r="A1579" s="36"/>
      <c r="B1579" s="36"/>
      <c r="C1579" s="36"/>
      <c r="D1579" s="36"/>
      <c r="E1579" s="36"/>
      <c r="F1579" s="36"/>
      <c r="G1579" s="36"/>
    </row>
    <row r="1580" spans="1:7" s="34" customFormat="1" x14ac:dyDescent="0.35">
      <c r="A1580" s="36"/>
      <c r="B1580" s="36"/>
      <c r="C1580" s="36"/>
      <c r="D1580" s="36"/>
      <c r="E1580" s="36"/>
      <c r="F1580" s="36"/>
      <c r="G1580" s="36"/>
    </row>
    <row r="1581" spans="1:7" s="34" customFormat="1" x14ac:dyDescent="0.35">
      <c r="A1581" s="36"/>
      <c r="B1581" s="36"/>
      <c r="C1581" s="36"/>
      <c r="D1581" s="36"/>
      <c r="E1581" s="36"/>
      <c r="F1581" s="36"/>
      <c r="G1581" s="36"/>
    </row>
    <row r="1582" spans="1:7" s="34" customFormat="1" x14ac:dyDescent="0.35">
      <c r="A1582" s="36"/>
      <c r="B1582" s="36"/>
      <c r="C1582" s="36"/>
      <c r="D1582" s="36"/>
      <c r="E1582" s="36"/>
      <c r="F1582" s="36"/>
      <c r="G1582" s="36"/>
    </row>
    <row r="1583" spans="1:7" s="34" customFormat="1" x14ac:dyDescent="0.35">
      <c r="A1583" s="36"/>
      <c r="B1583" s="36"/>
      <c r="C1583" s="36"/>
      <c r="D1583" s="36"/>
      <c r="E1583" s="36"/>
      <c r="F1583" s="36"/>
      <c r="G1583" s="36"/>
    </row>
    <row r="1584" spans="1:7" s="34" customFormat="1" x14ac:dyDescent="0.35">
      <c r="A1584" s="36"/>
      <c r="B1584" s="36"/>
      <c r="C1584" s="36"/>
      <c r="D1584" s="36"/>
      <c r="E1584" s="36"/>
      <c r="F1584" s="36"/>
      <c r="G1584" s="36"/>
    </row>
    <row r="1585" spans="1:7" s="34" customFormat="1" x14ac:dyDescent="0.35">
      <c r="A1585" s="36"/>
      <c r="B1585" s="36"/>
      <c r="C1585" s="36"/>
      <c r="D1585" s="36"/>
      <c r="E1585" s="36"/>
      <c r="F1585" s="36"/>
      <c r="G1585" s="36"/>
    </row>
    <row r="1586" spans="1:7" s="34" customFormat="1" x14ac:dyDescent="0.35">
      <c r="A1586" s="36"/>
      <c r="B1586" s="36"/>
      <c r="C1586" s="36"/>
      <c r="D1586" s="36"/>
      <c r="E1586" s="36"/>
      <c r="F1586" s="36"/>
      <c r="G1586" s="36"/>
    </row>
    <row r="1587" spans="1:7" s="34" customFormat="1" x14ac:dyDescent="0.35">
      <c r="A1587" s="36"/>
      <c r="B1587" s="36"/>
      <c r="C1587" s="36"/>
      <c r="D1587" s="36"/>
      <c r="E1587" s="36"/>
      <c r="F1587" s="36"/>
      <c r="G1587" s="36"/>
    </row>
    <row r="1588" spans="1:7" s="34" customFormat="1" x14ac:dyDescent="0.35">
      <c r="A1588" s="36"/>
      <c r="B1588" s="36"/>
      <c r="C1588" s="36"/>
      <c r="D1588" s="36"/>
      <c r="E1588" s="36"/>
      <c r="F1588" s="36"/>
      <c r="G1588" s="36"/>
    </row>
    <row r="1589" spans="1:7" s="34" customFormat="1" x14ac:dyDescent="0.35">
      <c r="A1589" s="36"/>
      <c r="B1589" s="36"/>
      <c r="C1589" s="36"/>
      <c r="D1589" s="36"/>
      <c r="E1589" s="36"/>
      <c r="F1589" s="36"/>
      <c r="G1589" s="36"/>
    </row>
    <row r="1590" spans="1:7" s="34" customFormat="1" x14ac:dyDescent="0.35">
      <c r="A1590" s="36"/>
      <c r="B1590" s="36"/>
      <c r="C1590" s="36"/>
      <c r="D1590" s="36"/>
      <c r="E1590" s="36"/>
      <c r="F1590" s="36"/>
      <c r="G1590" s="36"/>
    </row>
    <row r="1591" spans="1:7" s="34" customFormat="1" x14ac:dyDescent="0.35">
      <c r="A1591" s="36"/>
      <c r="B1591" s="36"/>
      <c r="C1591" s="36"/>
      <c r="D1591" s="36"/>
      <c r="E1591" s="36"/>
      <c r="F1591" s="36"/>
      <c r="G1591" s="36"/>
    </row>
    <row r="1592" spans="1:7" s="34" customFormat="1" x14ac:dyDescent="0.35">
      <c r="A1592" s="36"/>
      <c r="B1592" s="36"/>
      <c r="C1592" s="36"/>
      <c r="D1592" s="36"/>
      <c r="E1592" s="36"/>
      <c r="F1592" s="36"/>
      <c r="G1592" s="36"/>
    </row>
    <row r="1593" spans="1:7" s="34" customFormat="1" x14ac:dyDescent="0.35">
      <c r="A1593" s="36"/>
      <c r="B1593" s="36"/>
      <c r="C1593" s="36"/>
      <c r="D1593" s="36"/>
      <c r="E1593" s="36"/>
      <c r="F1593" s="36"/>
      <c r="G1593" s="36"/>
    </row>
    <row r="1594" spans="1:7" s="34" customFormat="1" x14ac:dyDescent="0.35">
      <c r="A1594" s="36"/>
      <c r="B1594" s="36"/>
      <c r="C1594" s="36"/>
      <c r="D1594" s="36"/>
      <c r="E1594" s="36"/>
      <c r="F1594" s="36"/>
      <c r="G1594" s="36"/>
    </row>
    <row r="1595" spans="1:7" s="34" customFormat="1" x14ac:dyDescent="0.35">
      <c r="A1595" s="36"/>
      <c r="B1595" s="36"/>
      <c r="C1595" s="36"/>
      <c r="D1595" s="36"/>
      <c r="E1595" s="36"/>
      <c r="F1595" s="36"/>
      <c r="G1595" s="36"/>
    </row>
    <row r="1596" spans="1:7" s="34" customFormat="1" x14ac:dyDescent="0.35">
      <c r="A1596" s="36"/>
      <c r="B1596" s="36"/>
      <c r="C1596" s="36"/>
      <c r="D1596" s="36"/>
      <c r="E1596" s="36"/>
      <c r="F1596" s="36"/>
      <c r="G1596" s="36"/>
    </row>
    <row r="1597" spans="1:7" s="34" customFormat="1" x14ac:dyDescent="0.35">
      <c r="A1597" s="36"/>
      <c r="B1597" s="36"/>
      <c r="C1597" s="36"/>
      <c r="D1597" s="36"/>
      <c r="E1597" s="36"/>
      <c r="F1597" s="36"/>
      <c r="G1597" s="36"/>
    </row>
    <row r="1598" spans="1:7" s="34" customFormat="1" x14ac:dyDescent="0.35">
      <c r="A1598" s="36"/>
      <c r="B1598" s="36"/>
      <c r="C1598" s="36"/>
      <c r="D1598" s="36"/>
      <c r="E1598" s="36"/>
      <c r="F1598" s="36"/>
      <c r="G1598" s="36"/>
    </row>
    <row r="1599" spans="1:7" s="34" customFormat="1" x14ac:dyDescent="0.35">
      <c r="A1599" s="36"/>
      <c r="B1599" s="36"/>
      <c r="C1599" s="36"/>
      <c r="D1599" s="36"/>
      <c r="E1599" s="36"/>
      <c r="F1599" s="36"/>
      <c r="G1599" s="36"/>
    </row>
    <row r="1600" spans="1:7" s="34" customFormat="1" x14ac:dyDescent="0.35">
      <c r="A1600" s="36"/>
      <c r="B1600" s="36"/>
      <c r="C1600" s="36"/>
      <c r="D1600" s="36"/>
      <c r="E1600" s="36"/>
      <c r="F1600" s="36"/>
      <c r="G1600" s="36"/>
    </row>
    <row r="1601" spans="1:7" s="34" customFormat="1" x14ac:dyDescent="0.35">
      <c r="A1601" s="36"/>
      <c r="B1601" s="36"/>
      <c r="C1601" s="36"/>
      <c r="D1601" s="36"/>
      <c r="E1601" s="36"/>
      <c r="F1601" s="36"/>
      <c r="G1601" s="36"/>
    </row>
    <row r="1602" spans="1:7" s="34" customFormat="1" x14ac:dyDescent="0.35">
      <c r="A1602" s="36"/>
      <c r="B1602" s="36"/>
      <c r="C1602" s="36"/>
      <c r="D1602" s="36"/>
      <c r="E1602" s="36"/>
      <c r="F1602" s="36"/>
      <c r="G1602" s="36"/>
    </row>
    <row r="1603" spans="1:7" s="34" customFormat="1" x14ac:dyDescent="0.35">
      <c r="A1603" s="36"/>
      <c r="B1603" s="36"/>
      <c r="C1603" s="36"/>
      <c r="D1603" s="36"/>
      <c r="E1603" s="36"/>
      <c r="F1603" s="36"/>
      <c r="G1603" s="36"/>
    </row>
    <row r="1604" spans="1:7" s="34" customFormat="1" x14ac:dyDescent="0.35">
      <c r="A1604" s="36"/>
      <c r="B1604" s="36"/>
      <c r="C1604" s="36"/>
      <c r="D1604" s="36"/>
      <c r="E1604" s="36"/>
      <c r="F1604" s="36"/>
      <c r="G1604" s="36"/>
    </row>
    <row r="1605" spans="1:7" s="34" customFormat="1" x14ac:dyDescent="0.35">
      <c r="A1605" s="36"/>
      <c r="B1605" s="36"/>
      <c r="C1605" s="36"/>
      <c r="D1605" s="36"/>
      <c r="E1605" s="36"/>
      <c r="F1605" s="36"/>
      <c r="G1605" s="36"/>
    </row>
    <row r="1606" spans="1:7" s="34" customFormat="1" x14ac:dyDescent="0.35">
      <c r="A1606" s="36"/>
      <c r="B1606" s="36"/>
      <c r="C1606" s="36"/>
      <c r="D1606" s="36"/>
      <c r="E1606" s="36"/>
      <c r="F1606" s="36"/>
      <c r="G1606" s="36"/>
    </row>
    <row r="1607" spans="1:7" s="34" customFormat="1" x14ac:dyDescent="0.35">
      <c r="A1607" s="36"/>
      <c r="B1607" s="36"/>
      <c r="C1607" s="36"/>
      <c r="D1607" s="36"/>
      <c r="E1607" s="36"/>
      <c r="F1607" s="36"/>
      <c r="G1607" s="36"/>
    </row>
    <row r="1608" spans="1:7" s="34" customFormat="1" x14ac:dyDescent="0.35">
      <c r="A1608" s="36"/>
      <c r="B1608" s="36"/>
      <c r="C1608" s="36"/>
      <c r="D1608" s="36"/>
      <c r="E1608" s="36"/>
      <c r="F1608" s="36"/>
      <c r="G1608" s="36"/>
    </row>
    <row r="1609" spans="1:7" s="34" customFormat="1" x14ac:dyDescent="0.35">
      <c r="A1609" s="36"/>
      <c r="B1609" s="36"/>
      <c r="C1609" s="36"/>
      <c r="D1609" s="36"/>
      <c r="E1609" s="36"/>
      <c r="F1609" s="36"/>
      <c r="G1609" s="36"/>
    </row>
    <row r="1610" spans="1:7" s="34" customFormat="1" x14ac:dyDescent="0.35">
      <c r="A1610" s="36"/>
      <c r="B1610" s="36"/>
      <c r="C1610" s="36"/>
      <c r="D1610" s="36"/>
      <c r="E1610" s="36"/>
      <c r="F1610" s="36"/>
      <c r="G1610" s="36"/>
    </row>
    <row r="1611" spans="1:7" s="34" customFormat="1" x14ac:dyDescent="0.35">
      <c r="A1611" s="36"/>
      <c r="B1611" s="36"/>
      <c r="C1611" s="36"/>
      <c r="D1611" s="36"/>
      <c r="E1611" s="36"/>
      <c r="F1611" s="36"/>
      <c r="G1611" s="36"/>
    </row>
    <row r="1612" spans="1:7" s="34" customFormat="1" x14ac:dyDescent="0.35">
      <c r="A1612" s="36"/>
      <c r="B1612" s="36"/>
      <c r="C1612" s="36"/>
      <c r="D1612" s="36"/>
      <c r="E1612" s="36"/>
      <c r="F1612" s="36"/>
      <c r="G1612" s="36"/>
    </row>
    <row r="1613" spans="1:7" s="34" customFormat="1" x14ac:dyDescent="0.35">
      <c r="A1613" s="36"/>
      <c r="B1613" s="36"/>
      <c r="C1613" s="36"/>
      <c r="D1613" s="36"/>
      <c r="E1613" s="36"/>
      <c r="F1613" s="36"/>
      <c r="G1613" s="36"/>
    </row>
    <row r="1614" spans="1:7" s="34" customFormat="1" x14ac:dyDescent="0.35">
      <c r="A1614" s="36"/>
      <c r="B1614" s="36"/>
      <c r="C1614" s="36"/>
      <c r="D1614" s="36"/>
      <c r="E1614" s="36"/>
      <c r="F1614" s="36"/>
      <c r="G1614" s="36"/>
    </row>
    <row r="1615" spans="1:7" s="34" customFormat="1" x14ac:dyDescent="0.35">
      <c r="A1615" s="36"/>
      <c r="B1615" s="36"/>
      <c r="C1615" s="36"/>
      <c r="D1615" s="36"/>
      <c r="E1615" s="36"/>
      <c r="F1615" s="36"/>
      <c r="G1615" s="36"/>
    </row>
    <row r="1616" spans="1:7" s="34" customFormat="1" x14ac:dyDescent="0.35">
      <c r="A1616" s="36"/>
      <c r="B1616" s="36"/>
      <c r="C1616" s="36"/>
      <c r="D1616" s="36"/>
      <c r="E1616" s="36"/>
      <c r="F1616" s="36"/>
      <c r="G1616" s="36"/>
    </row>
    <row r="1617" spans="1:7" s="34" customFormat="1" x14ac:dyDescent="0.35">
      <c r="A1617" s="36"/>
      <c r="B1617" s="36"/>
      <c r="C1617" s="36"/>
      <c r="D1617" s="36"/>
      <c r="E1617" s="36"/>
      <c r="F1617" s="36"/>
      <c r="G1617" s="36"/>
    </row>
    <row r="1618" spans="1:7" s="34" customFormat="1" x14ac:dyDescent="0.35">
      <c r="A1618" s="36"/>
      <c r="B1618" s="36"/>
      <c r="C1618" s="36"/>
      <c r="D1618" s="36"/>
      <c r="E1618" s="36"/>
      <c r="F1618" s="36"/>
      <c r="G1618" s="36"/>
    </row>
    <row r="1619" spans="1:7" s="34" customFormat="1" x14ac:dyDescent="0.35">
      <c r="A1619" s="36"/>
      <c r="B1619" s="36"/>
      <c r="C1619" s="36"/>
      <c r="D1619" s="36"/>
      <c r="E1619" s="36"/>
      <c r="F1619" s="36"/>
      <c r="G1619" s="36"/>
    </row>
    <row r="1620" spans="1:7" s="34" customFormat="1" x14ac:dyDescent="0.35">
      <c r="A1620" s="36"/>
      <c r="B1620" s="36"/>
      <c r="C1620" s="36"/>
      <c r="D1620" s="36"/>
      <c r="E1620" s="36"/>
      <c r="F1620" s="36"/>
      <c r="G1620" s="36"/>
    </row>
    <row r="1621" spans="1:7" s="34" customFormat="1" x14ac:dyDescent="0.35">
      <c r="A1621" s="36"/>
      <c r="B1621" s="36"/>
      <c r="C1621" s="36"/>
      <c r="D1621" s="36"/>
      <c r="E1621" s="36"/>
      <c r="F1621" s="36"/>
      <c r="G1621" s="36"/>
    </row>
    <row r="1622" spans="1:7" s="34" customFormat="1" x14ac:dyDescent="0.35">
      <c r="A1622" s="36"/>
      <c r="B1622" s="36"/>
      <c r="C1622" s="36"/>
      <c r="D1622" s="36"/>
      <c r="E1622" s="36"/>
      <c r="F1622" s="36"/>
      <c r="G1622" s="36"/>
    </row>
    <row r="1623" spans="1:7" s="34" customFormat="1" x14ac:dyDescent="0.35">
      <c r="A1623" s="36"/>
      <c r="B1623" s="36"/>
      <c r="C1623" s="36"/>
      <c r="D1623" s="36"/>
      <c r="E1623" s="36"/>
      <c r="F1623" s="36"/>
      <c r="G1623" s="36"/>
    </row>
    <row r="1624" spans="1:7" s="34" customFormat="1" x14ac:dyDescent="0.35">
      <c r="A1624" s="36"/>
      <c r="B1624" s="36"/>
      <c r="C1624" s="36"/>
      <c r="D1624" s="36"/>
      <c r="E1624" s="36"/>
      <c r="F1624" s="36"/>
      <c r="G1624" s="36"/>
    </row>
    <row r="1625" spans="1:7" s="34" customFormat="1" x14ac:dyDescent="0.35">
      <c r="A1625" s="36"/>
      <c r="B1625" s="36"/>
      <c r="C1625" s="36"/>
      <c r="D1625" s="36"/>
      <c r="E1625" s="36"/>
      <c r="F1625" s="36"/>
      <c r="G1625" s="36"/>
    </row>
    <row r="1626" spans="1:7" s="34" customFormat="1" x14ac:dyDescent="0.35">
      <c r="A1626" s="36"/>
      <c r="B1626" s="36"/>
      <c r="C1626" s="36"/>
      <c r="D1626" s="36"/>
      <c r="E1626" s="36"/>
      <c r="F1626" s="36"/>
      <c r="G1626" s="36"/>
    </row>
    <row r="1627" spans="1:7" s="34" customFormat="1" x14ac:dyDescent="0.35">
      <c r="A1627" s="36"/>
      <c r="B1627" s="36"/>
      <c r="C1627" s="36"/>
      <c r="D1627" s="36"/>
      <c r="E1627" s="36"/>
      <c r="F1627" s="36"/>
      <c r="G1627" s="36"/>
    </row>
    <row r="1628" spans="1:7" s="34" customFormat="1" x14ac:dyDescent="0.35">
      <c r="A1628" s="36"/>
      <c r="B1628" s="36"/>
      <c r="C1628" s="36"/>
      <c r="D1628" s="36"/>
      <c r="E1628" s="36"/>
      <c r="F1628" s="36"/>
      <c r="G1628" s="36"/>
    </row>
    <row r="1629" spans="1:7" s="34" customFormat="1" x14ac:dyDescent="0.35">
      <c r="A1629" s="36"/>
      <c r="B1629" s="36"/>
      <c r="C1629" s="36"/>
      <c r="D1629" s="36"/>
      <c r="E1629" s="36"/>
      <c r="F1629" s="36"/>
      <c r="G1629" s="36"/>
    </row>
    <row r="1630" spans="1:7" s="34" customFormat="1" x14ac:dyDescent="0.35">
      <c r="A1630" s="36"/>
      <c r="B1630" s="36"/>
      <c r="C1630" s="36"/>
      <c r="D1630" s="36"/>
      <c r="E1630" s="36"/>
      <c r="F1630" s="36"/>
      <c r="G1630" s="36"/>
    </row>
    <row r="1631" spans="1:7" s="34" customFormat="1" x14ac:dyDescent="0.35">
      <c r="A1631" s="36"/>
      <c r="B1631" s="36"/>
      <c r="C1631" s="36"/>
      <c r="D1631" s="36"/>
      <c r="E1631" s="36"/>
      <c r="F1631" s="36"/>
      <c r="G1631" s="36"/>
    </row>
    <row r="1632" spans="1:7" s="34" customFormat="1" x14ac:dyDescent="0.35">
      <c r="A1632" s="36"/>
      <c r="B1632" s="36"/>
      <c r="C1632" s="36"/>
      <c r="D1632" s="36"/>
      <c r="E1632" s="36"/>
      <c r="F1632" s="36"/>
      <c r="G1632" s="36"/>
    </row>
    <row r="1633" spans="1:7" s="34" customFormat="1" x14ac:dyDescent="0.35">
      <c r="A1633" s="36"/>
      <c r="B1633" s="36"/>
      <c r="C1633" s="36"/>
      <c r="D1633" s="36"/>
      <c r="E1633" s="36"/>
      <c r="F1633" s="36"/>
      <c r="G1633" s="36"/>
    </row>
    <row r="1634" spans="1:7" s="34" customFormat="1" x14ac:dyDescent="0.35">
      <c r="A1634" s="36"/>
      <c r="B1634" s="36"/>
      <c r="C1634" s="36"/>
      <c r="D1634" s="36"/>
      <c r="E1634" s="36"/>
      <c r="F1634" s="36"/>
      <c r="G1634" s="36"/>
    </row>
    <row r="1635" spans="1:7" s="34" customFormat="1" x14ac:dyDescent="0.35">
      <c r="A1635" s="36"/>
      <c r="B1635" s="36"/>
      <c r="C1635" s="36"/>
      <c r="D1635" s="36"/>
      <c r="E1635" s="36"/>
      <c r="F1635" s="36"/>
      <c r="G1635" s="36"/>
    </row>
    <row r="1636" spans="1:7" s="34" customFormat="1" x14ac:dyDescent="0.35">
      <c r="A1636" s="36"/>
      <c r="B1636" s="36"/>
      <c r="C1636" s="36"/>
      <c r="D1636" s="36"/>
      <c r="E1636" s="36"/>
      <c r="F1636" s="36"/>
      <c r="G1636" s="36"/>
    </row>
    <row r="1637" spans="1:7" s="34" customFormat="1" x14ac:dyDescent="0.35">
      <c r="A1637" s="36"/>
      <c r="B1637" s="36"/>
      <c r="C1637" s="36"/>
      <c r="D1637" s="36"/>
      <c r="E1637" s="36"/>
      <c r="F1637" s="36"/>
      <c r="G1637" s="36"/>
    </row>
    <row r="1638" spans="1:7" s="34" customFormat="1" x14ac:dyDescent="0.35">
      <c r="A1638" s="36"/>
      <c r="B1638" s="36"/>
      <c r="C1638" s="36"/>
      <c r="D1638" s="36"/>
      <c r="E1638" s="36"/>
      <c r="F1638" s="36"/>
      <c r="G1638" s="36"/>
    </row>
    <row r="1639" spans="1:7" s="34" customFormat="1" x14ac:dyDescent="0.35">
      <c r="A1639" s="36"/>
      <c r="B1639" s="36"/>
      <c r="C1639" s="36"/>
      <c r="D1639" s="36"/>
      <c r="E1639" s="36"/>
      <c r="F1639" s="36"/>
      <c r="G1639" s="36"/>
    </row>
    <row r="1640" spans="1:7" s="34" customFormat="1" x14ac:dyDescent="0.35">
      <c r="A1640" s="36"/>
      <c r="B1640" s="36"/>
      <c r="C1640" s="36"/>
      <c r="D1640" s="36"/>
      <c r="E1640" s="36"/>
      <c r="F1640" s="36"/>
      <c r="G1640" s="36"/>
    </row>
    <row r="1641" spans="1:7" s="34" customFormat="1" x14ac:dyDescent="0.35">
      <c r="A1641" s="36"/>
      <c r="B1641" s="36"/>
      <c r="C1641" s="36"/>
      <c r="D1641" s="36"/>
      <c r="E1641" s="36"/>
      <c r="F1641" s="36"/>
      <c r="G1641" s="36"/>
    </row>
    <row r="1642" spans="1:7" s="34" customFormat="1" x14ac:dyDescent="0.35">
      <c r="A1642" s="36"/>
      <c r="B1642" s="36"/>
      <c r="C1642" s="36"/>
      <c r="D1642" s="36"/>
      <c r="E1642" s="36"/>
      <c r="F1642" s="36"/>
      <c r="G1642" s="36"/>
    </row>
    <row r="1643" spans="1:7" s="34" customFormat="1" x14ac:dyDescent="0.35">
      <c r="A1643" s="36"/>
      <c r="B1643" s="36"/>
      <c r="C1643" s="36"/>
      <c r="D1643" s="36"/>
      <c r="E1643" s="36"/>
      <c r="F1643" s="36"/>
      <c r="G1643" s="36"/>
    </row>
    <row r="1644" spans="1:7" s="34" customFormat="1" x14ac:dyDescent="0.35">
      <c r="A1644" s="36"/>
      <c r="B1644" s="36"/>
      <c r="C1644" s="36"/>
      <c r="D1644" s="36"/>
      <c r="E1644" s="36"/>
      <c r="F1644" s="36"/>
      <c r="G1644" s="36"/>
    </row>
    <row r="1645" spans="1:7" s="34" customFormat="1" x14ac:dyDescent="0.35">
      <c r="A1645" s="36"/>
      <c r="B1645" s="36"/>
      <c r="C1645" s="36"/>
      <c r="D1645" s="36"/>
      <c r="E1645" s="36"/>
      <c r="F1645" s="36"/>
      <c r="G1645" s="36"/>
    </row>
    <row r="1646" spans="1:7" s="34" customFormat="1" x14ac:dyDescent="0.35">
      <c r="A1646" s="36"/>
      <c r="B1646" s="36"/>
      <c r="C1646" s="36"/>
      <c r="D1646" s="36"/>
      <c r="E1646" s="36"/>
      <c r="F1646" s="36"/>
      <c r="G1646" s="36"/>
    </row>
    <row r="1647" spans="1:7" s="34" customFormat="1" x14ac:dyDescent="0.35">
      <c r="A1647" s="36"/>
      <c r="B1647" s="36"/>
      <c r="C1647" s="36"/>
      <c r="D1647" s="36"/>
      <c r="E1647" s="36"/>
      <c r="F1647" s="36"/>
      <c r="G1647" s="36"/>
    </row>
    <row r="1648" spans="1:7" s="34" customFormat="1" x14ac:dyDescent="0.35">
      <c r="A1648" s="36"/>
      <c r="B1648" s="36"/>
      <c r="C1648" s="36"/>
      <c r="D1648" s="36"/>
      <c r="E1648" s="36"/>
      <c r="F1648" s="36"/>
      <c r="G1648" s="36"/>
    </row>
    <row r="1649" spans="1:7" s="34" customFormat="1" x14ac:dyDescent="0.35">
      <c r="A1649" s="36"/>
      <c r="B1649" s="36"/>
      <c r="C1649" s="36"/>
      <c r="D1649" s="36"/>
      <c r="E1649" s="36"/>
      <c r="F1649" s="36"/>
      <c r="G1649" s="36"/>
    </row>
    <row r="1650" spans="1:7" s="34" customFormat="1" x14ac:dyDescent="0.35">
      <c r="A1650" s="36"/>
      <c r="B1650" s="36"/>
      <c r="C1650" s="36"/>
      <c r="D1650" s="36"/>
      <c r="E1650" s="36"/>
      <c r="F1650" s="36"/>
      <c r="G1650" s="36"/>
    </row>
    <row r="1651" spans="1:7" s="34" customFormat="1" x14ac:dyDescent="0.35">
      <c r="A1651" s="36"/>
      <c r="B1651" s="36"/>
      <c r="C1651" s="36"/>
      <c r="D1651" s="36"/>
      <c r="E1651" s="36"/>
      <c r="F1651" s="36"/>
      <c r="G1651" s="36"/>
    </row>
    <row r="1652" spans="1:7" s="34" customFormat="1" x14ac:dyDescent="0.35">
      <c r="A1652" s="36"/>
      <c r="B1652" s="36"/>
      <c r="C1652" s="36"/>
      <c r="D1652" s="36"/>
      <c r="E1652" s="36"/>
      <c r="F1652" s="36"/>
      <c r="G1652" s="36"/>
    </row>
    <row r="1653" spans="1:7" s="34" customFormat="1" x14ac:dyDescent="0.35">
      <c r="A1653" s="36"/>
      <c r="B1653" s="36"/>
      <c r="C1653" s="36"/>
      <c r="D1653" s="36"/>
      <c r="E1653" s="36"/>
      <c r="F1653" s="36"/>
      <c r="G1653" s="36"/>
    </row>
    <row r="1654" spans="1:7" s="34" customFormat="1" x14ac:dyDescent="0.35">
      <c r="A1654" s="36"/>
      <c r="B1654" s="36"/>
      <c r="C1654" s="36"/>
      <c r="D1654" s="36"/>
      <c r="E1654" s="36"/>
      <c r="F1654" s="36"/>
      <c r="G1654" s="36"/>
    </row>
    <row r="1655" spans="1:7" s="34" customFormat="1" x14ac:dyDescent="0.35">
      <c r="A1655" s="36"/>
      <c r="B1655" s="36"/>
      <c r="C1655" s="36"/>
      <c r="D1655" s="36"/>
      <c r="E1655" s="36"/>
      <c r="F1655" s="36"/>
      <c r="G1655" s="36"/>
    </row>
    <row r="1656" spans="1:7" s="34" customFormat="1" x14ac:dyDescent="0.35">
      <c r="A1656" s="36"/>
      <c r="B1656" s="36"/>
      <c r="C1656" s="36"/>
      <c r="D1656" s="36"/>
      <c r="E1656" s="36"/>
      <c r="F1656" s="36"/>
      <c r="G1656" s="36"/>
    </row>
    <row r="1657" spans="1:7" s="34" customFormat="1" x14ac:dyDescent="0.35">
      <c r="A1657" s="36"/>
      <c r="B1657" s="36"/>
      <c r="C1657" s="36"/>
      <c r="D1657" s="36"/>
      <c r="E1657" s="36"/>
      <c r="F1657" s="36"/>
      <c r="G1657" s="36"/>
    </row>
    <row r="1658" spans="1:7" s="34" customFormat="1" x14ac:dyDescent="0.35">
      <c r="A1658" s="36"/>
      <c r="B1658" s="36"/>
      <c r="C1658" s="36"/>
      <c r="D1658" s="36"/>
      <c r="E1658" s="36"/>
      <c r="F1658" s="36"/>
      <c r="G1658" s="36"/>
    </row>
    <row r="1659" spans="1:7" s="34" customFormat="1" x14ac:dyDescent="0.35">
      <c r="A1659" s="36"/>
      <c r="B1659" s="36"/>
      <c r="C1659" s="36"/>
      <c r="D1659" s="36"/>
      <c r="E1659" s="36"/>
      <c r="F1659" s="36"/>
      <c r="G1659" s="36"/>
    </row>
    <row r="1660" spans="1:7" s="34" customFormat="1" x14ac:dyDescent="0.35">
      <c r="A1660" s="36"/>
      <c r="B1660" s="36"/>
      <c r="C1660" s="36"/>
      <c r="D1660" s="36"/>
      <c r="E1660" s="36"/>
      <c r="F1660" s="36"/>
      <c r="G1660" s="36"/>
    </row>
    <row r="1661" spans="1:7" s="34" customFormat="1" x14ac:dyDescent="0.35">
      <c r="A1661" s="36"/>
      <c r="B1661" s="36"/>
      <c r="C1661" s="36"/>
      <c r="D1661" s="36"/>
      <c r="E1661" s="36"/>
      <c r="F1661" s="36"/>
      <c r="G1661" s="36"/>
    </row>
    <row r="1662" spans="1:7" s="34" customFormat="1" x14ac:dyDescent="0.35">
      <c r="A1662" s="36"/>
      <c r="B1662" s="36"/>
      <c r="C1662" s="36"/>
      <c r="D1662" s="36"/>
      <c r="E1662" s="36"/>
      <c r="F1662" s="36"/>
      <c r="G1662" s="36"/>
    </row>
    <row r="1663" spans="1:7" s="34" customFormat="1" x14ac:dyDescent="0.35">
      <c r="A1663" s="36"/>
      <c r="B1663" s="36"/>
      <c r="C1663" s="36"/>
      <c r="D1663" s="36"/>
      <c r="E1663" s="36"/>
      <c r="F1663" s="36"/>
      <c r="G1663" s="36"/>
    </row>
    <row r="1664" spans="1:7" s="34" customFormat="1" x14ac:dyDescent="0.35">
      <c r="A1664" s="36"/>
      <c r="B1664" s="36"/>
      <c r="C1664" s="36"/>
      <c r="D1664" s="36"/>
      <c r="E1664" s="36"/>
      <c r="F1664" s="36"/>
      <c r="G1664" s="36"/>
    </row>
    <row r="1665" spans="1:7" s="34" customFormat="1" x14ac:dyDescent="0.35">
      <c r="A1665" s="36"/>
      <c r="B1665" s="36"/>
      <c r="C1665" s="36"/>
      <c r="D1665" s="36"/>
      <c r="E1665" s="36"/>
      <c r="F1665" s="36"/>
      <c r="G1665" s="36"/>
    </row>
    <row r="1666" spans="1:7" s="34" customFormat="1" x14ac:dyDescent="0.35">
      <c r="A1666" s="36"/>
      <c r="B1666" s="36"/>
      <c r="C1666" s="36"/>
      <c r="D1666" s="36"/>
      <c r="E1666" s="36"/>
      <c r="F1666" s="36"/>
      <c r="G1666" s="36"/>
    </row>
    <row r="1667" spans="1:7" s="34" customFormat="1" x14ac:dyDescent="0.35">
      <c r="A1667" s="36"/>
      <c r="B1667" s="36"/>
      <c r="C1667" s="36"/>
      <c r="D1667" s="36"/>
      <c r="E1667" s="36"/>
      <c r="F1667" s="36"/>
      <c r="G1667" s="36"/>
    </row>
    <row r="1668" spans="1:7" s="34" customFormat="1" x14ac:dyDescent="0.35">
      <c r="A1668" s="36"/>
      <c r="B1668" s="36"/>
      <c r="C1668" s="36"/>
      <c r="D1668" s="36"/>
      <c r="E1668" s="36"/>
      <c r="F1668" s="36"/>
      <c r="G1668" s="36"/>
    </row>
    <row r="1669" spans="1:7" s="34" customFormat="1" x14ac:dyDescent="0.35">
      <c r="A1669" s="36"/>
      <c r="B1669" s="36"/>
      <c r="C1669" s="36"/>
      <c r="D1669" s="36"/>
      <c r="E1669" s="36"/>
      <c r="F1669" s="36"/>
      <c r="G1669" s="36"/>
    </row>
    <row r="1670" spans="1:7" s="34" customFormat="1" x14ac:dyDescent="0.35">
      <c r="A1670" s="36"/>
      <c r="B1670" s="36"/>
      <c r="C1670" s="36"/>
      <c r="D1670" s="36"/>
      <c r="E1670" s="36"/>
      <c r="F1670" s="36"/>
      <c r="G1670" s="36"/>
    </row>
    <row r="1671" spans="1:7" s="34" customFormat="1" x14ac:dyDescent="0.35">
      <c r="A1671" s="36"/>
      <c r="B1671" s="36"/>
      <c r="C1671" s="36"/>
      <c r="D1671" s="36"/>
      <c r="E1671" s="36"/>
      <c r="F1671" s="36"/>
      <c r="G1671" s="36"/>
    </row>
    <row r="1672" spans="1:7" s="34" customFormat="1" x14ac:dyDescent="0.35">
      <c r="A1672" s="36"/>
      <c r="B1672" s="36"/>
      <c r="C1672" s="36"/>
      <c r="D1672" s="36"/>
      <c r="E1672" s="36"/>
      <c r="F1672" s="36"/>
      <c r="G1672" s="36"/>
    </row>
    <row r="1673" spans="1:7" s="34" customFormat="1" x14ac:dyDescent="0.35">
      <c r="A1673" s="36"/>
      <c r="B1673" s="36"/>
      <c r="C1673" s="36"/>
      <c r="D1673" s="36"/>
      <c r="E1673" s="36"/>
      <c r="F1673" s="36"/>
      <c r="G1673" s="36"/>
    </row>
    <row r="1674" spans="1:7" s="34" customFormat="1" x14ac:dyDescent="0.35">
      <c r="A1674" s="36"/>
      <c r="B1674" s="36"/>
      <c r="C1674" s="36"/>
      <c r="D1674" s="36"/>
      <c r="E1674" s="36"/>
      <c r="F1674" s="36"/>
      <c r="G1674" s="36"/>
    </row>
    <row r="1675" spans="1:7" s="34" customFormat="1" x14ac:dyDescent="0.35">
      <c r="A1675" s="36"/>
      <c r="B1675" s="36"/>
      <c r="C1675" s="36"/>
      <c r="D1675" s="36"/>
      <c r="E1675" s="36"/>
      <c r="F1675" s="36"/>
      <c r="G1675" s="36"/>
    </row>
    <row r="1676" spans="1:7" s="34" customFormat="1" x14ac:dyDescent="0.35">
      <c r="A1676" s="36"/>
      <c r="B1676" s="36"/>
      <c r="C1676" s="36"/>
      <c r="D1676" s="36"/>
      <c r="E1676" s="36"/>
      <c r="F1676" s="36"/>
      <c r="G1676" s="36"/>
    </row>
    <row r="1677" spans="1:7" s="34" customFormat="1" x14ac:dyDescent="0.35">
      <c r="A1677" s="36"/>
      <c r="B1677" s="36"/>
      <c r="C1677" s="36"/>
      <c r="D1677" s="36"/>
      <c r="E1677" s="36"/>
      <c r="F1677" s="36"/>
      <c r="G1677" s="36"/>
    </row>
    <row r="1678" spans="1:7" s="34" customFormat="1" x14ac:dyDescent="0.35">
      <c r="A1678" s="36"/>
      <c r="B1678" s="36"/>
      <c r="C1678" s="36"/>
      <c r="D1678" s="36"/>
      <c r="E1678" s="36"/>
      <c r="F1678" s="36"/>
      <c r="G1678" s="36"/>
    </row>
    <row r="1679" spans="1:7" s="34" customFormat="1" x14ac:dyDescent="0.35">
      <c r="A1679" s="36"/>
      <c r="B1679" s="36"/>
      <c r="C1679" s="36"/>
      <c r="D1679" s="36"/>
      <c r="E1679" s="36"/>
      <c r="F1679" s="36"/>
      <c r="G1679" s="36"/>
    </row>
    <row r="1680" spans="1:7" s="34" customFormat="1" x14ac:dyDescent="0.35">
      <c r="A1680" s="36"/>
      <c r="B1680" s="36"/>
      <c r="C1680" s="36"/>
      <c r="D1680" s="36"/>
      <c r="E1680" s="36"/>
      <c r="F1680" s="36"/>
      <c r="G1680" s="36"/>
    </row>
    <row r="1681" spans="1:7" s="34" customFormat="1" x14ac:dyDescent="0.35">
      <c r="A1681" s="36"/>
      <c r="B1681" s="36"/>
      <c r="C1681" s="36"/>
      <c r="D1681" s="36"/>
      <c r="E1681" s="36"/>
      <c r="F1681" s="36"/>
      <c r="G1681" s="36"/>
    </row>
    <row r="1682" spans="1:7" s="34" customFormat="1" x14ac:dyDescent="0.35">
      <c r="A1682" s="36"/>
      <c r="B1682" s="36"/>
      <c r="C1682" s="36"/>
      <c r="D1682" s="36"/>
      <c r="E1682" s="36"/>
      <c r="F1682" s="36"/>
      <c r="G1682" s="36"/>
    </row>
    <row r="1683" spans="1:7" s="34" customFormat="1" x14ac:dyDescent="0.35">
      <c r="A1683" s="36"/>
      <c r="B1683" s="36"/>
      <c r="C1683" s="36"/>
      <c r="D1683" s="36"/>
      <c r="E1683" s="36"/>
      <c r="F1683" s="36"/>
      <c r="G1683" s="36"/>
    </row>
    <row r="1684" spans="1:7" s="34" customFormat="1" x14ac:dyDescent="0.35">
      <c r="A1684" s="36"/>
      <c r="B1684" s="36"/>
      <c r="C1684" s="36"/>
      <c r="D1684" s="36"/>
      <c r="E1684" s="36"/>
      <c r="F1684" s="36"/>
      <c r="G1684" s="36"/>
    </row>
    <row r="1685" spans="1:7" s="34" customFormat="1" x14ac:dyDescent="0.35">
      <c r="A1685" s="36"/>
      <c r="B1685" s="36"/>
      <c r="C1685" s="36"/>
      <c r="D1685" s="36"/>
      <c r="E1685" s="36"/>
      <c r="F1685" s="36"/>
      <c r="G1685" s="36"/>
    </row>
    <row r="1686" spans="1:7" s="34" customFormat="1" x14ac:dyDescent="0.35">
      <c r="A1686" s="36"/>
      <c r="B1686" s="36"/>
      <c r="C1686" s="36"/>
      <c r="D1686" s="36"/>
      <c r="E1686" s="36"/>
      <c r="F1686" s="36"/>
      <c r="G1686" s="36"/>
    </row>
    <row r="1687" spans="1:7" s="34" customFormat="1" x14ac:dyDescent="0.35">
      <c r="A1687" s="36"/>
      <c r="B1687" s="36"/>
      <c r="C1687" s="36"/>
      <c r="D1687" s="36"/>
      <c r="E1687" s="36"/>
      <c r="F1687" s="36"/>
      <c r="G1687" s="36"/>
    </row>
    <row r="1688" spans="1:7" s="34" customFormat="1" x14ac:dyDescent="0.35">
      <c r="A1688" s="36"/>
      <c r="B1688" s="36"/>
      <c r="C1688" s="36"/>
      <c r="D1688" s="36"/>
      <c r="E1688" s="36"/>
      <c r="F1688" s="36"/>
      <c r="G1688" s="36"/>
    </row>
    <row r="1689" spans="1:7" s="34" customFormat="1" x14ac:dyDescent="0.35">
      <c r="A1689" s="36"/>
      <c r="B1689" s="36"/>
      <c r="C1689" s="36"/>
      <c r="D1689" s="36"/>
      <c r="E1689" s="36"/>
      <c r="F1689" s="36"/>
      <c r="G1689" s="36"/>
    </row>
    <row r="1690" spans="1:7" s="34" customFormat="1" x14ac:dyDescent="0.35">
      <c r="A1690" s="36"/>
      <c r="B1690" s="36"/>
      <c r="C1690" s="36"/>
      <c r="D1690" s="36"/>
      <c r="E1690" s="36"/>
      <c r="F1690" s="36"/>
      <c r="G1690" s="36"/>
    </row>
    <row r="1691" spans="1:7" s="34" customFormat="1" x14ac:dyDescent="0.35">
      <c r="A1691" s="36"/>
      <c r="B1691" s="36"/>
      <c r="C1691" s="36"/>
      <c r="D1691" s="36"/>
      <c r="E1691" s="36"/>
      <c r="F1691" s="36"/>
      <c r="G1691" s="36"/>
    </row>
    <row r="1692" spans="1:7" s="34" customFormat="1" x14ac:dyDescent="0.35">
      <c r="A1692" s="36"/>
      <c r="B1692" s="36"/>
      <c r="C1692" s="36"/>
      <c r="D1692" s="36"/>
      <c r="E1692" s="36"/>
      <c r="F1692" s="36"/>
      <c r="G1692" s="36"/>
    </row>
    <row r="1693" spans="1:7" s="34" customFormat="1" x14ac:dyDescent="0.35">
      <c r="A1693" s="36"/>
      <c r="B1693" s="36"/>
      <c r="C1693" s="36"/>
      <c r="D1693" s="36"/>
      <c r="E1693" s="36"/>
      <c r="F1693" s="36"/>
      <c r="G1693" s="36"/>
    </row>
    <row r="1694" spans="1:7" s="34" customFormat="1" x14ac:dyDescent="0.35">
      <c r="A1694" s="36"/>
      <c r="B1694" s="36"/>
      <c r="C1694" s="36"/>
      <c r="D1694" s="36"/>
      <c r="E1694" s="36"/>
      <c r="F1694" s="36"/>
      <c r="G1694" s="36"/>
    </row>
    <row r="1695" spans="1:7" s="34" customFormat="1" x14ac:dyDescent="0.35">
      <c r="A1695" s="36"/>
      <c r="B1695" s="36"/>
      <c r="C1695" s="36"/>
      <c r="D1695" s="36"/>
      <c r="E1695" s="36"/>
      <c r="F1695" s="36"/>
      <c r="G1695" s="36"/>
    </row>
    <row r="1696" spans="1:7" s="34" customFormat="1" x14ac:dyDescent="0.35">
      <c r="A1696" s="36"/>
      <c r="B1696" s="36"/>
      <c r="C1696" s="36"/>
      <c r="D1696" s="36"/>
      <c r="E1696" s="36"/>
      <c r="F1696" s="36"/>
      <c r="G1696" s="36"/>
    </row>
    <row r="1697" spans="1:7" s="34" customFormat="1" x14ac:dyDescent="0.35">
      <c r="A1697" s="36"/>
      <c r="B1697" s="36"/>
      <c r="C1697" s="36"/>
      <c r="D1697" s="36"/>
      <c r="E1697" s="36"/>
      <c r="F1697" s="36"/>
      <c r="G1697" s="36"/>
    </row>
    <row r="1698" spans="1:7" s="34" customFormat="1" x14ac:dyDescent="0.35">
      <c r="A1698" s="36"/>
      <c r="B1698" s="36"/>
      <c r="C1698" s="36"/>
      <c r="D1698" s="36"/>
      <c r="E1698" s="36"/>
      <c r="F1698" s="36"/>
      <c r="G1698" s="36"/>
    </row>
    <row r="1699" spans="1:7" s="34" customFormat="1" x14ac:dyDescent="0.35">
      <c r="A1699" s="36"/>
      <c r="B1699" s="36"/>
      <c r="C1699" s="36"/>
      <c r="D1699" s="36"/>
      <c r="E1699" s="36"/>
      <c r="F1699" s="36"/>
      <c r="G1699" s="36"/>
    </row>
    <row r="1700" spans="1:7" s="34" customFormat="1" x14ac:dyDescent="0.35">
      <c r="A1700" s="36"/>
      <c r="B1700" s="36"/>
      <c r="C1700" s="36"/>
      <c r="D1700" s="36"/>
      <c r="E1700" s="36"/>
      <c r="F1700" s="36"/>
      <c r="G1700" s="36"/>
    </row>
    <row r="1701" spans="1:7" s="34" customFormat="1" x14ac:dyDescent="0.35">
      <c r="A1701" s="36"/>
      <c r="B1701" s="36"/>
      <c r="C1701" s="36"/>
      <c r="D1701" s="36"/>
      <c r="E1701" s="36"/>
      <c r="F1701" s="36"/>
      <c r="G1701" s="36"/>
    </row>
    <row r="1702" spans="1:7" s="34" customFormat="1" x14ac:dyDescent="0.35">
      <c r="A1702" s="36"/>
      <c r="B1702" s="36"/>
      <c r="C1702" s="36"/>
      <c r="D1702" s="36"/>
      <c r="E1702" s="36"/>
      <c r="F1702" s="36"/>
      <c r="G1702" s="36"/>
    </row>
    <row r="1703" spans="1:7" s="34" customFormat="1" x14ac:dyDescent="0.35">
      <c r="A1703" s="36"/>
      <c r="B1703" s="36"/>
      <c r="C1703" s="36"/>
      <c r="D1703" s="36"/>
      <c r="E1703" s="36"/>
      <c r="F1703" s="36"/>
      <c r="G1703" s="36"/>
    </row>
    <row r="1704" spans="1:7" s="34" customFormat="1" x14ac:dyDescent="0.35">
      <c r="A1704" s="36"/>
      <c r="B1704" s="36"/>
      <c r="C1704" s="36"/>
      <c r="D1704" s="36"/>
      <c r="E1704" s="36"/>
      <c r="F1704" s="36"/>
      <c r="G1704" s="36"/>
    </row>
    <row r="1705" spans="1:7" s="34" customFormat="1" x14ac:dyDescent="0.35">
      <c r="A1705" s="36"/>
      <c r="B1705" s="36"/>
      <c r="C1705" s="36"/>
      <c r="D1705" s="36"/>
      <c r="E1705" s="36"/>
      <c r="F1705" s="36"/>
      <c r="G1705" s="36"/>
    </row>
    <row r="1706" spans="1:7" s="34" customFormat="1" x14ac:dyDescent="0.35">
      <c r="A1706" s="36"/>
      <c r="B1706" s="36"/>
      <c r="C1706" s="36"/>
      <c r="D1706" s="36"/>
      <c r="E1706" s="36"/>
      <c r="F1706" s="36"/>
      <c r="G1706" s="36"/>
    </row>
    <row r="1707" spans="1:7" s="34" customFormat="1" x14ac:dyDescent="0.35">
      <c r="A1707" s="36"/>
      <c r="B1707" s="36"/>
      <c r="C1707" s="36"/>
      <c r="D1707" s="36"/>
      <c r="E1707" s="36"/>
      <c r="F1707" s="36"/>
      <c r="G1707" s="36"/>
    </row>
    <row r="1708" spans="1:7" s="34" customFormat="1" x14ac:dyDescent="0.35">
      <c r="A1708" s="36"/>
      <c r="B1708" s="36"/>
      <c r="C1708" s="36"/>
      <c r="D1708" s="36"/>
      <c r="E1708" s="36"/>
      <c r="F1708" s="36"/>
      <c r="G1708" s="36"/>
    </row>
    <row r="1709" spans="1:7" s="34" customFormat="1" x14ac:dyDescent="0.35">
      <c r="A1709" s="36"/>
      <c r="B1709" s="36"/>
      <c r="C1709" s="36"/>
      <c r="D1709" s="36"/>
      <c r="E1709" s="36"/>
      <c r="F1709" s="36"/>
      <c r="G1709" s="36"/>
    </row>
    <row r="1710" spans="1:7" s="34" customFormat="1" x14ac:dyDescent="0.35">
      <c r="A1710" s="36"/>
      <c r="B1710" s="36"/>
      <c r="C1710" s="36"/>
      <c r="D1710" s="36"/>
      <c r="E1710" s="36"/>
      <c r="F1710" s="36"/>
      <c r="G1710" s="36"/>
    </row>
    <row r="1711" spans="1:7" s="34" customFormat="1" x14ac:dyDescent="0.35">
      <c r="A1711" s="36"/>
      <c r="B1711" s="36"/>
      <c r="C1711" s="36"/>
      <c r="D1711" s="36"/>
      <c r="E1711" s="36"/>
      <c r="F1711" s="36"/>
      <c r="G1711" s="36"/>
    </row>
    <row r="1712" spans="1:7" s="34" customFormat="1" x14ac:dyDescent="0.35">
      <c r="A1712" s="36"/>
      <c r="B1712" s="36"/>
      <c r="C1712" s="36"/>
      <c r="D1712" s="36"/>
      <c r="E1712" s="36"/>
      <c r="F1712" s="36"/>
      <c r="G1712" s="36"/>
    </row>
    <row r="1713" spans="1:7" s="34" customFormat="1" x14ac:dyDescent="0.35">
      <c r="A1713" s="36"/>
      <c r="B1713" s="36"/>
      <c r="C1713" s="36"/>
      <c r="D1713" s="36"/>
      <c r="E1713" s="36"/>
      <c r="F1713" s="36"/>
      <c r="G1713" s="36"/>
    </row>
    <row r="1714" spans="1:7" s="34" customFormat="1" x14ac:dyDescent="0.35">
      <c r="A1714" s="36"/>
      <c r="B1714" s="36"/>
      <c r="C1714" s="36"/>
      <c r="D1714" s="36"/>
      <c r="E1714" s="36"/>
      <c r="F1714" s="36"/>
      <c r="G1714" s="36"/>
    </row>
    <row r="1715" spans="1:7" s="34" customFormat="1" x14ac:dyDescent="0.35">
      <c r="A1715" s="36"/>
      <c r="B1715" s="36"/>
      <c r="C1715" s="36"/>
      <c r="D1715" s="36"/>
      <c r="E1715" s="36"/>
      <c r="F1715" s="36"/>
      <c r="G1715" s="36"/>
    </row>
    <row r="1716" spans="1:7" s="34" customFormat="1" x14ac:dyDescent="0.35">
      <c r="A1716" s="36"/>
      <c r="B1716" s="36"/>
      <c r="C1716" s="36"/>
      <c r="D1716" s="36"/>
      <c r="E1716" s="36"/>
      <c r="F1716" s="36"/>
      <c r="G1716" s="36"/>
    </row>
    <row r="1717" spans="1:7" s="34" customFormat="1" x14ac:dyDescent="0.35">
      <c r="A1717" s="36"/>
      <c r="B1717" s="36"/>
      <c r="C1717" s="36"/>
      <c r="D1717" s="36"/>
      <c r="E1717" s="36"/>
      <c r="F1717" s="36"/>
      <c r="G1717" s="36"/>
    </row>
    <row r="1718" spans="1:7" s="34" customFormat="1" x14ac:dyDescent="0.35">
      <c r="A1718" s="36"/>
      <c r="B1718" s="36"/>
      <c r="C1718" s="36"/>
      <c r="D1718" s="36"/>
      <c r="E1718" s="36"/>
      <c r="F1718" s="36"/>
      <c r="G1718" s="36"/>
    </row>
    <row r="1719" spans="1:7" s="34" customFormat="1" x14ac:dyDescent="0.35">
      <c r="A1719" s="36"/>
      <c r="B1719" s="36"/>
      <c r="C1719" s="36"/>
      <c r="D1719" s="36"/>
      <c r="E1719" s="36"/>
      <c r="F1719" s="36"/>
      <c r="G1719" s="36"/>
    </row>
    <row r="1720" spans="1:7" s="34" customFormat="1" x14ac:dyDescent="0.35">
      <c r="A1720" s="36"/>
      <c r="B1720" s="36"/>
      <c r="C1720" s="36"/>
      <c r="D1720" s="36"/>
      <c r="E1720" s="36"/>
      <c r="F1720" s="36"/>
      <c r="G1720" s="36"/>
    </row>
    <row r="1721" spans="1:7" s="34" customFormat="1" x14ac:dyDescent="0.35">
      <c r="A1721" s="36"/>
      <c r="B1721" s="36"/>
      <c r="C1721" s="36"/>
      <c r="D1721" s="36"/>
      <c r="E1721" s="36"/>
      <c r="F1721" s="36"/>
      <c r="G1721" s="36"/>
    </row>
    <row r="1722" spans="1:7" s="34" customFormat="1" x14ac:dyDescent="0.35">
      <c r="A1722" s="36"/>
      <c r="B1722" s="36"/>
      <c r="C1722" s="36"/>
      <c r="D1722" s="36"/>
      <c r="E1722" s="36"/>
      <c r="F1722" s="36"/>
      <c r="G1722" s="36"/>
    </row>
    <row r="1723" spans="1:7" s="34" customFormat="1" x14ac:dyDescent="0.35">
      <c r="A1723" s="36"/>
      <c r="B1723" s="36"/>
      <c r="C1723" s="36"/>
      <c r="D1723" s="36"/>
      <c r="E1723" s="36"/>
      <c r="F1723" s="36"/>
      <c r="G1723" s="36"/>
    </row>
    <row r="1724" spans="1:7" s="34" customFormat="1" x14ac:dyDescent="0.35">
      <c r="A1724" s="36"/>
      <c r="B1724" s="36"/>
      <c r="C1724" s="36"/>
      <c r="D1724" s="36"/>
      <c r="E1724" s="36"/>
      <c r="F1724" s="36"/>
      <c r="G1724" s="36"/>
    </row>
    <row r="1725" spans="1:7" s="34" customFormat="1" x14ac:dyDescent="0.35">
      <c r="A1725" s="36"/>
      <c r="B1725" s="36"/>
      <c r="C1725" s="36"/>
      <c r="D1725" s="36"/>
      <c r="E1725" s="36"/>
      <c r="F1725" s="36"/>
      <c r="G1725" s="36"/>
    </row>
    <row r="1726" spans="1:7" s="34" customFormat="1" x14ac:dyDescent="0.35">
      <c r="A1726" s="36"/>
      <c r="B1726" s="36"/>
      <c r="C1726" s="36"/>
      <c r="D1726" s="36"/>
      <c r="E1726" s="36"/>
      <c r="F1726" s="36"/>
      <c r="G1726" s="36"/>
    </row>
    <row r="1727" spans="1:7" s="34" customFormat="1" x14ac:dyDescent="0.35">
      <c r="A1727" s="36"/>
      <c r="B1727" s="36"/>
      <c r="C1727" s="36"/>
      <c r="D1727" s="36"/>
      <c r="E1727" s="36"/>
      <c r="F1727" s="36"/>
      <c r="G1727" s="36"/>
    </row>
    <row r="1728" spans="1:7" s="34" customFormat="1" x14ac:dyDescent="0.35">
      <c r="A1728" s="36"/>
      <c r="B1728" s="36"/>
      <c r="C1728" s="36"/>
      <c r="D1728" s="36"/>
      <c r="E1728" s="36"/>
      <c r="F1728" s="36"/>
      <c r="G1728" s="36"/>
    </row>
    <row r="1729" spans="1:7" s="34" customFormat="1" x14ac:dyDescent="0.35">
      <c r="A1729" s="36"/>
      <c r="B1729" s="36"/>
      <c r="C1729" s="36"/>
      <c r="D1729" s="36"/>
      <c r="E1729" s="36"/>
      <c r="F1729" s="36"/>
      <c r="G1729" s="36"/>
    </row>
    <row r="1730" spans="1:7" s="34" customFormat="1" x14ac:dyDescent="0.35">
      <c r="A1730" s="36"/>
      <c r="B1730" s="36"/>
      <c r="C1730" s="36"/>
      <c r="D1730" s="36"/>
      <c r="E1730" s="36"/>
      <c r="F1730" s="36"/>
      <c r="G1730" s="36"/>
    </row>
    <row r="1731" spans="1:7" s="34" customFormat="1" x14ac:dyDescent="0.35">
      <c r="A1731" s="36"/>
      <c r="B1731" s="36"/>
      <c r="C1731" s="36"/>
      <c r="D1731" s="36"/>
      <c r="E1731" s="36"/>
      <c r="F1731" s="36"/>
      <c r="G1731" s="36"/>
    </row>
    <row r="1732" spans="1:7" s="34" customFormat="1" x14ac:dyDescent="0.35">
      <c r="A1732" s="36"/>
      <c r="B1732" s="36"/>
      <c r="C1732" s="36"/>
      <c r="D1732" s="36"/>
      <c r="E1732" s="36"/>
      <c r="F1732" s="36"/>
      <c r="G1732" s="36"/>
    </row>
    <row r="1733" spans="1:7" s="34" customFormat="1" x14ac:dyDescent="0.35">
      <c r="A1733" s="36"/>
      <c r="B1733" s="36"/>
      <c r="C1733" s="36"/>
      <c r="D1733" s="36"/>
      <c r="E1733" s="36"/>
      <c r="F1733" s="36"/>
      <c r="G1733" s="36"/>
    </row>
    <row r="1734" spans="1:7" s="34" customFormat="1" x14ac:dyDescent="0.35">
      <c r="A1734" s="36"/>
      <c r="B1734" s="36"/>
      <c r="C1734" s="36"/>
      <c r="D1734" s="36"/>
      <c r="E1734" s="36"/>
      <c r="F1734" s="36"/>
      <c r="G1734" s="36"/>
    </row>
    <row r="1735" spans="1:7" s="34" customFormat="1" x14ac:dyDescent="0.35">
      <c r="A1735" s="36"/>
      <c r="B1735" s="36"/>
      <c r="C1735" s="36"/>
      <c r="D1735" s="36"/>
      <c r="E1735" s="36"/>
      <c r="F1735" s="36"/>
      <c r="G1735" s="36"/>
    </row>
    <row r="1736" spans="1:7" s="34" customFormat="1" x14ac:dyDescent="0.35">
      <c r="A1736" s="36"/>
      <c r="B1736" s="36"/>
      <c r="C1736" s="36"/>
      <c r="D1736" s="36"/>
      <c r="E1736" s="36"/>
      <c r="F1736" s="36"/>
      <c r="G1736" s="36"/>
    </row>
    <row r="1737" spans="1:7" s="34" customFormat="1" x14ac:dyDescent="0.35">
      <c r="A1737" s="36"/>
      <c r="B1737" s="36"/>
      <c r="C1737" s="36"/>
      <c r="D1737" s="36"/>
      <c r="E1737" s="36"/>
      <c r="F1737" s="36"/>
      <c r="G1737" s="36"/>
    </row>
    <row r="1738" spans="1:7" s="34" customFormat="1" x14ac:dyDescent="0.35">
      <c r="A1738" s="36"/>
      <c r="B1738" s="36"/>
      <c r="C1738" s="36"/>
      <c r="D1738" s="36"/>
      <c r="E1738" s="36"/>
      <c r="F1738" s="36"/>
      <c r="G1738" s="36"/>
    </row>
    <row r="1739" spans="1:7" s="34" customFormat="1" x14ac:dyDescent="0.35">
      <c r="A1739" s="36"/>
      <c r="B1739" s="36"/>
      <c r="C1739" s="36"/>
      <c r="D1739" s="36"/>
      <c r="E1739" s="36"/>
      <c r="F1739" s="36"/>
      <c r="G1739" s="36"/>
    </row>
    <row r="1740" spans="1:7" s="34" customFormat="1" x14ac:dyDescent="0.35">
      <c r="A1740" s="36"/>
      <c r="B1740" s="36"/>
      <c r="C1740" s="36"/>
      <c r="D1740" s="36"/>
      <c r="E1740" s="36"/>
      <c r="F1740" s="36"/>
      <c r="G1740" s="36"/>
    </row>
    <row r="1741" spans="1:7" s="34" customFormat="1" x14ac:dyDescent="0.35">
      <c r="A1741" s="36"/>
      <c r="B1741" s="36"/>
      <c r="C1741" s="36"/>
      <c r="D1741" s="36"/>
      <c r="E1741" s="36"/>
      <c r="F1741" s="36"/>
      <c r="G1741" s="36"/>
    </row>
    <row r="1742" spans="1:7" s="34" customFormat="1" x14ac:dyDescent="0.35">
      <c r="A1742" s="36"/>
      <c r="B1742" s="36"/>
      <c r="C1742" s="36"/>
      <c r="D1742" s="36"/>
      <c r="E1742" s="36"/>
      <c r="F1742" s="36"/>
      <c r="G1742" s="36"/>
    </row>
    <row r="1743" spans="1:7" s="34" customFormat="1" x14ac:dyDescent="0.35">
      <c r="A1743" s="36"/>
      <c r="B1743" s="36"/>
      <c r="C1743" s="36"/>
      <c r="D1743" s="36"/>
      <c r="E1743" s="36"/>
      <c r="F1743" s="36"/>
      <c r="G1743" s="36"/>
    </row>
    <row r="1744" spans="1:7" s="34" customFormat="1" x14ac:dyDescent="0.35">
      <c r="A1744" s="36"/>
      <c r="B1744" s="36"/>
      <c r="C1744" s="36"/>
      <c r="D1744" s="36"/>
      <c r="E1744" s="36"/>
      <c r="F1744" s="36"/>
      <c r="G1744" s="36"/>
    </row>
    <row r="1745" spans="1:7" s="34" customFormat="1" x14ac:dyDescent="0.35">
      <c r="A1745" s="36"/>
      <c r="B1745" s="36"/>
      <c r="C1745" s="36"/>
      <c r="D1745" s="36"/>
      <c r="E1745" s="36"/>
      <c r="F1745" s="36"/>
      <c r="G1745" s="36"/>
    </row>
    <row r="1746" spans="1:7" s="34" customFormat="1" x14ac:dyDescent="0.35">
      <c r="A1746" s="36"/>
      <c r="B1746" s="36"/>
      <c r="C1746" s="36"/>
      <c r="D1746" s="36"/>
      <c r="E1746" s="36"/>
      <c r="F1746" s="36"/>
      <c r="G1746" s="36"/>
    </row>
    <row r="1747" spans="1:7" s="34" customFormat="1" x14ac:dyDescent="0.35">
      <c r="A1747" s="36"/>
      <c r="B1747" s="36"/>
      <c r="C1747" s="36"/>
      <c r="D1747" s="36"/>
      <c r="E1747" s="36"/>
      <c r="F1747" s="36"/>
      <c r="G1747" s="36"/>
    </row>
    <row r="1748" spans="1:7" s="34" customFormat="1" x14ac:dyDescent="0.35">
      <c r="A1748" s="36"/>
      <c r="B1748" s="36"/>
      <c r="C1748" s="36"/>
      <c r="D1748" s="36"/>
      <c r="E1748" s="36"/>
      <c r="F1748" s="36"/>
      <c r="G1748" s="36"/>
    </row>
    <row r="1749" spans="1:7" s="34" customFormat="1" x14ac:dyDescent="0.35">
      <c r="A1749" s="36"/>
      <c r="B1749" s="36"/>
      <c r="C1749" s="36"/>
      <c r="D1749" s="36"/>
      <c r="E1749" s="36"/>
      <c r="F1749" s="36"/>
      <c r="G1749" s="36"/>
    </row>
    <row r="1750" spans="1:7" s="34" customFormat="1" x14ac:dyDescent="0.35">
      <c r="A1750" s="36"/>
      <c r="B1750" s="36"/>
      <c r="C1750" s="36"/>
      <c r="D1750" s="36"/>
      <c r="E1750" s="36"/>
      <c r="F1750" s="36"/>
      <c r="G1750" s="36"/>
    </row>
    <row r="1751" spans="1:7" s="34" customFormat="1" x14ac:dyDescent="0.35">
      <c r="A1751" s="36"/>
      <c r="B1751" s="36"/>
      <c r="C1751" s="36"/>
      <c r="D1751" s="36"/>
      <c r="E1751" s="36"/>
      <c r="F1751" s="36"/>
      <c r="G1751" s="36"/>
    </row>
    <row r="1752" spans="1:7" s="34" customFormat="1" x14ac:dyDescent="0.35">
      <c r="A1752" s="36"/>
      <c r="B1752" s="36"/>
      <c r="C1752" s="36"/>
      <c r="D1752" s="36"/>
      <c r="E1752" s="36"/>
      <c r="F1752" s="36"/>
      <c r="G1752" s="36"/>
    </row>
    <row r="1753" spans="1:7" s="34" customFormat="1" x14ac:dyDescent="0.35">
      <c r="A1753" s="36"/>
      <c r="B1753" s="36"/>
      <c r="C1753" s="36"/>
      <c r="D1753" s="36"/>
      <c r="E1753" s="36"/>
      <c r="F1753" s="36"/>
      <c r="G1753" s="36"/>
    </row>
    <row r="1754" spans="1:7" s="34" customFormat="1" x14ac:dyDescent="0.35">
      <c r="A1754" s="36"/>
      <c r="B1754" s="36"/>
      <c r="C1754" s="36"/>
      <c r="D1754" s="36"/>
      <c r="E1754" s="36"/>
      <c r="F1754" s="36"/>
      <c r="G1754" s="36"/>
    </row>
    <row r="1755" spans="1:7" s="34" customFormat="1" x14ac:dyDescent="0.35">
      <c r="A1755" s="36"/>
      <c r="B1755" s="36"/>
      <c r="C1755" s="36"/>
      <c r="D1755" s="36"/>
      <c r="E1755" s="36"/>
      <c r="F1755" s="36"/>
      <c r="G1755" s="36"/>
    </row>
    <row r="1756" spans="1:7" s="34" customFormat="1" x14ac:dyDescent="0.35">
      <c r="A1756" s="36"/>
      <c r="B1756" s="36"/>
      <c r="C1756" s="36"/>
      <c r="D1756" s="36"/>
      <c r="E1756" s="36"/>
      <c r="F1756" s="36"/>
      <c r="G1756" s="36"/>
    </row>
    <row r="1757" spans="1:7" s="34" customFormat="1" x14ac:dyDescent="0.35">
      <c r="A1757" s="36"/>
      <c r="B1757" s="36"/>
      <c r="C1757" s="36"/>
      <c r="D1757" s="36"/>
      <c r="E1757" s="36"/>
      <c r="F1757" s="36"/>
      <c r="G1757" s="36"/>
    </row>
    <row r="1758" spans="1:7" s="34" customFormat="1" x14ac:dyDescent="0.35">
      <c r="A1758" s="36"/>
      <c r="B1758" s="36"/>
      <c r="C1758" s="36"/>
      <c r="D1758" s="36"/>
      <c r="E1758" s="36"/>
      <c r="F1758" s="36"/>
      <c r="G1758" s="36"/>
    </row>
    <row r="1759" spans="1:7" s="34" customFormat="1" x14ac:dyDescent="0.35">
      <c r="A1759" s="36"/>
      <c r="B1759" s="36"/>
      <c r="C1759" s="36"/>
      <c r="D1759" s="36"/>
      <c r="E1759" s="36"/>
      <c r="F1759" s="36"/>
      <c r="G1759" s="36"/>
    </row>
    <row r="1760" spans="1:7" s="34" customFormat="1" x14ac:dyDescent="0.35">
      <c r="A1760" s="36"/>
      <c r="B1760" s="36"/>
      <c r="C1760" s="36"/>
      <c r="D1760" s="36"/>
      <c r="E1760" s="36"/>
      <c r="F1760" s="36"/>
      <c r="G1760" s="36"/>
    </row>
    <row r="1761" spans="1:7" s="34" customFormat="1" x14ac:dyDescent="0.35">
      <c r="A1761" s="36"/>
      <c r="B1761" s="36"/>
      <c r="C1761" s="36"/>
      <c r="D1761" s="36"/>
      <c r="E1761" s="36"/>
      <c r="F1761" s="36"/>
      <c r="G1761" s="36"/>
    </row>
    <row r="1762" spans="1:7" s="34" customFormat="1" x14ac:dyDescent="0.35">
      <c r="A1762" s="36"/>
      <c r="B1762" s="36"/>
      <c r="C1762" s="36"/>
      <c r="D1762" s="36"/>
      <c r="E1762" s="36"/>
      <c r="F1762" s="36"/>
      <c r="G1762" s="36"/>
    </row>
    <row r="1763" spans="1:7" s="34" customFormat="1" x14ac:dyDescent="0.35">
      <c r="A1763" s="36"/>
      <c r="B1763" s="36"/>
      <c r="C1763" s="36"/>
      <c r="D1763" s="36"/>
      <c r="E1763" s="36"/>
      <c r="F1763" s="36"/>
      <c r="G1763" s="36"/>
    </row>
    <row r="1764" spans="1:7" s="34" customFormat="1" x14ac:dyDescent="0.35">
      <c r="A1764" s="36"/>
      <c r="B1764" s="36"/>
      <c r="C1764" s="36"/>
      <c r="D1764" s="36"/>
      <c r="E1764" s="36"/>
      <c r="F1764" s="36"/>
      <c r="G1764" s="36"/>
    </row>
    <row r="1765" spans="1:7" s="34" customFormat="1" x14ac:dyDescent="0.35">
      <c r="A1765" s="36"/>
      <c r="B1765" s="36"/>
      <c r="C1765" s="36"/>
      <c r="D1765" s="36"/>
      <c r="E1765" s="36"/>
      <c r="F1765" s="36"/>
      <c r="G1765" s="36"/>
    </row>
    <row r="1766" spans="1:7" s="34" customFormat="1" x14ac:dyDescent="0.35">
      <c r="A1766" s="36"/>
      <c r="B1766" s="36"/>
      <c r="C1766" s="36"/>
      <c r="D1766" s="36"/>
      <c r="E1766" s="36"/>
      <c r="F1766" s="36"/>
      <c r="G1766" s="36"/>
    </row>
    <row r="1767" spans="1:7" s="34" customFormat="1" x14ac:dyDescent="0.35">
      <c r="A1767" s="36"/>
      <c r="B1767" s="36"/>
      <c r="C1767" s="36"/>
      <c r="D1767" s="36"/>
      <c r="E1767" s="36"/>
      <c r="F1767" s="36"/>
      <c r="G1767" s="36"/>
    </row>
    <row r="1768" spans="1:7" s="34" customFormat="1" x14ac:dyDescent="0.35">
      <c r="A1768" s="36"/>
      <c r="B1768" s="36"/>
      <c r="C1768" s="36"/>
      <c r="D1768" s="36"/>
      <c r="E1768" s="36"/>
      <c r="F1768" s="36"/>
      <c r="G1768" s="36"/>
    </row>
    <row r="1769" spans="1:7" s="34" customFormat="1" x14ac:dyDescent="0.35">
      <c r="A1769" s="36"/>
      <c r="B1769" s="36"/>
      <c r="C1769" s="36"/>
      <c r="D1769" s="36"/>
      <c r="E1769" s="36"/>
      <c r="F1769" s="36"/>
      <c r="G1769" s="36"/>
    </row>
    <row r="1770" spans="1:7" s="34" customFormat="1" x14ac:dyDescent="0.35">
      <c r="A1770" s="36"/>
      <c r="B1770" s="36"/>
      <c r="C1770" s="36"/>
      <c r="D1770" s="36"/>
      <c r="E1770" s="36"/>
      <c r="F1770" s="36"/>
      <c r="G1770" s="36"/>
    </row>
    <row r="1771" spans="1:7" s="34" customFormat="1" x14ac:dyDescent="0.35">
      <c r="A1771" s="36"/>
      <c r="B1771" s="36"/>
      <c r="C1771" s="36"/>
      <c r="D1771" s="36"/>
      <c r="E1771" s="36"/>
      <c r="F1771" s="36"/>
      <c r="G1771" s="36"/>
    </row>
    <row r="1772" spans="1:7" s="34" customFormat="1" x14ac:dyDescent="0.35">
      <c r="A1772" s="36"/>
      <c r="B1772" s="36"/>
      <c r="C1772" s="36"/>
      <c r="D1772" s="36"/>
      <c r="E1772" s="36"/>
      <c r="F1772" s="36"/>
      <c r="G1772" s="36"/>
    </row>
    <row r="1773" spans="1:7" s="34" customFormat="1" x14ac:dyDescent="0.35">
      <c r="A1773" s="36"/>
      <c r="B1773" s="36"/>
      <c r="C1773" s="36"/>
      <c r="D1773" s="36"/>
      <c r="E1773" s="36"/>
      <c r="F1773" s="36"/>
      <c r="G1773" s="36"/>
    </row>
    <row r="1774" spans="1:7" s="34" customFormat="1" x14ac:dyDescent="0.35">
      <c r="A1774" s="36"/>
      <c r="B1774" s="36"/>
      <c r="C1774" s="36"/>
      <c r="D1774" s="36"/>
      <c r="E1774" s="36"/>
      <c r="F1774" s="36"/>
      <c r="G1774" s="36"/>
    </row>
    <row r="1775" spans="1:7" s="34" customFormat="1" x14ac:dyDescent="0.35">
      <c r="A1775" s="36"/>
      <c r="B1775" s="36"/>
      <c r="C1775" s="36"/>
      <c r="D1775" s="36"/>
      <c r="E1775" s="36"/>
      <c r="F1775" s="36"/>
      <c r="G1775" s="36"/>
    </row>
    <row r="1776" spans="1:7" s="34" customFormat="1" x14ac:dyDescent="0.35">
      <c r="A1776" s="36"/>
      <c r="B1776" s="36"/>
      <c r="C1776" s="36"/>
      <c r="D1776" s="36"/>
      <c r="E1776" s="36"/>
      <c r="F1776" s="36"/>
      <c r="G1776" s="36"/>
    </row>
    <row r="1777" spans="1:7" s="34" customFormat="1" x14ac:dyDescent="0.35">
      <c r="A1777" s="36"/>
      <c r="B1777" s="36"/>
      <c r="C1777" s="36"/>
      <c r="D1777" s="36"/>
      <c r="E1777" s="36"/>
      <c r="F1777" s="36"/>
      <c r="G1777" s="36"/>
    </row>
    <row r="1778" spans="1:7" s="34" customFormat="1" x14ac:dyDescent="0.35">
      <c r="A1778" s="36"/>
      <c r="B1778" s="36"/>
      <c r="C1778" s="36"/>
      <c r="D1778" s="36"/>
      <c r="E1778" s="36"/>
      <c r="F1778" s="36"/>
      <c r="G1778" s="36"/>
    </row>
    <row r="1779" spans="1:7" s="34" customFormat="1" x14ac:dyDescent="0.35">
      <c r="A1779" s="36"/>
      <c r="B1779" s="36"/>
      <c r="C1779" s="36"/>
      <c r="D1779" s="36"/>
      <c r="E1779" s="36"/>
      <c r="F1779" s="36"/>
      <c r="G1779" s="36"/>
    </row>
    <row r="1780" spans="1:7" s="34" customFormat="1" x14ac:dyDescent="0.35">
      <c r="A1780" s="36"/>
      <c r="B1780" s="36"/>
      <c r="C1780" s="36"/>
      <c r="D1780" s="36"/>
      <c r="E1780" s="36"/>
      <c r="F1780" s="36"/>
      <c r="G1780" s="36"/>
    </row>
    <row r="1781" spans="1:7" s="34" customFormat="1" x14ac:dyDescent="0.35">
      <c r="A1781" s="36"/>
      <c r="B1781" s="36"/>
      <c r="C1781" s="36"/>
      <c r="D1781" s="36"/>
      <c r="E1781" s="36"/>
      <c r="F1781" s="36"/>
      <c r="G1781" s="36"/>
    </row>
    <row r="1782" spans="1:7" s="34" customFormat="1" x14ac:dyDescent="0.35">
      <c r="A1782" s="36"/>
      <c r="B1782" s="36"/>
      <c r="C1782" s="36"/>
      <c r="D1782" s="36"/>
      <c r="E1782" s="36"/>
      <c r="F1782" s="36"/>
      <c r="G1782" s="36"/>
    </row>
    <row r="1783" spans="1:7" s="34" customFormat="1" x14ac:dyDescent="0.35">
      <c r="A1783" s="36"/>
      <c r="B1783" s="36"/>
      <c r="C1783" s="36"/>
      <c r="D1783" s="36"/>
      <c r="E1783" s="36"/>
      <c r="F1783" s="36"/>
      <c r="G1783" s="36"/>
    </row>
    <row r="1784" spans="1:7" s="34" customFormat="1" x14ac:dyDescent="0.35">
      <c r="A1784" s="36"/>
      <c r="B1784" s="36"/>
      <c r="C1784" s="36"/>
      <c r="D1784" s="36"/>
      <c r="E1784" s="36"/>
      <c r="F1784" s="36"/>
      <c r="G1784" s="36"/>
    </row>
    <row r="1785" spans="1:7" s="34" customFormat="1" x14ac:dyDescent="0.35">
      <c r="A1785" s="36"/>
      <c r="B1785" s="36"/>
      <c r="C1785" s="36"/>
      <c r="D1785" s="36"/>
      <c r="E1785" s="36"/>
      <c r="F1785" s="36"/>
      <c r="G1785" s="36"/>
    </row>
    <row r="1786" spans="1:7" s="34" customFormat="1" x14ac:dyDescent="0.35">
      <c r="A1786" s="36"/>
      <c r="B1786" s="36"/>
      <c r="C1786" s="36"/>
      <c r="D1786" s="36"/>
      <c r="E1786" s="36"/>
      <c r="F1786" s="36"/>
      <c r="G1786" s="36"/>
    </row>
    <row r="1787" spans="1:7" s="34" customFormat="1" x14ac:dyDescent="0.35">
      <c r="A1787" s="36"/>
      <c r="B1787" s="36"/>
      <c r="C1787" s="36"/>
      <c r="D1787" s="36"/>
      <c r="E1787" s="36"/>
      <c r="F1787" s="36"/>
      <c r="G1787" s="36"/>
    </row>
    <row r="1788" spans="1:7" s="34" customFormat="1" x14ac:dyDescent="0.35">
      <c r="A1788" s="36"/>
      <c r="B1788" s="36"/>
      <c r="C1788" s="36"/>
      <c r="D1788" s="36"/>
      <c r="E1788" s="36"/>
      <c r="F1788" s="36"/>
      <c r="G1788" s="36"/>
    </row>
    <row r="1789" spans="1:7" s="34" customFormat="1" x14ac:dyDescent="0.35">
      <c r="A1789" s="36"/>
      <c r="B1789" s="36"/>
      <c r="C1789" s="36"/>
      <c r="D1789" s="36"/>
      <c r="E1789" s="36"/>
      <c r="F1789" s="36"/>
      <c r="G1789" s="36"/>
    </row>
    <row r="1790" spans="1:7" s="34" customFormat="1" x14ac:dyDescent="0.35">
      <c r="A1790" s="36"/>
      <c r="B1790" s="36"/>
      <c r="C1790" s="36"/>
      <c r="D1790" s="36"/>
      <c r="E1790" s="36"/>
      <c r="F1790" s="36"/>
      <c r="G1790" s="36"/>
    </row>
    <row r="1791" spans="1:7" s="34" customFormat="1" x14ac:dyDescent="0.35">
      <c r="A1791" s="36"/>
      <c r="B1791" s="36"/>
      <c r="C1791" s="36"/>
      <c r="D1791" s="36"/>
      <c r="E1791" s="36"/>
      <c r="F1791" s="36"/>
      <c r="G1791" s="36"/>
    </row>
    <row r="1792" spans="1:7" s="34" customFormat="1" x14ac:dyDescent="0.35">
      <c r="A1792" s="36"/>
      <c r="B1792" s="36"/>
      <c r="C1792" s="36"/>
      <c r="D1792" s="36"/>
      <c r="E1792" s="36"/>
      <c r="F1792" s="36"/>
      <c r="G1792" s="36"/>
    </row>
    <row r="1793" spans="1:7" s="34" customFormat="1" x14ac:dyDescent="0.35">
      <c r="A1793" s="36"/>
      <c r="B1793" s="36"/>
      <c r="C1793" s="36"/>
      <c r="D1793" s="36"/>
      <c r="E1793" s="36"/>
      <c r="F1793" s="36"/>
      <c r="G1793" s="36"/>
    </row>
    <row r="1794" spans="1:7" s="34" customFormat="1" x14ac:dyDescent="0.35">
      <c r="A1794" s="36"/>
      <c r="B1794" s="36"/>
      <c r="C1794" s="36"/>
      <c r="D1794" s="36"/>
      <c r="E1794" s="36"/>
      <c r="F1794" s="36"/>
      <c r="G1794" s="36"/>
    </row>
    <row r="1795" spans="1:7" s="34" customFormat="1" x14ac:dyDescent="0.35">
      <c r="A1795" s="36"/>
      <c r="B1795" s="36"/>
      <c r="C1795" s="36"/>
      <c r="D1795" s="36"/>
      <c r="E1795" s="36"/>
      <c r="F1795" s="36"/>
      <c r="G1795" s="36"/>
    </row>
    <row r="1796" spans="1:7" s="34" customFormat="1" x14ac:dyDescent="0.35">
      <c r="A1796" s="36"/>
      <c r="B1796" s="36"/>
      <c r="C1796" s="36"/>
      <c r="D1796" s="36"/>
      <c r="E1796" s="36"/>
      <c r="F1796" s="36"/>
      <c r="G1796" s="36"/>
    </row>
    <row r="1797" spans="1:7" s="34" customFormat="1" x14ac:dyDescent="0.35">
      <c r="A1797" s="36"/>
      <c r="B1797" s="36"/>
      <c r="C1797" s="36"/>
      <c r="D1797" s="36"/>
      <c r="E1797" s="36"/>
      <c r="F1797" s="36"/>
      <c r="G1797" s="36"/>
    </row>
    <row r="1798" spans="1:7" s="34" customFormat="1" x14ac:dyDescent="0.35">
      <c r="A1798" s="36"/>
      <c r="B1798" s="36"/>
      <c r="C1798" s="36"/>
      <c r="D1798" s="36"/>
      <c r="E1798" s="36"/>
      <c r="F1798" s="36"/>
      <c r="G1798" s="36"/>
    </row>
    <row r="1799" spans="1:7" s="34" customFormat="1" x14ac:dyDescent="0.35">
      <c r="A1799" s="36"/>
      <c r="B1799" s="36"/>
      <c r="C1799" s="36"/>
      <c r="D1799" s="36"/>
      <c r="E1799" s="36"/>
      <c r="F1799" s="36"/>
      <c r="G1799" s="36"/>
    </row>
    <row r="1800" spans="1:7" s="34" customFormat="1" x14ac:dyDescent="0.35">
      <c r="A1800" s="36"/>
      <c r="B1800" s="36"/>
      <c r="C1800" s="36"/>
      <c r="D1800" s="36"/>
      <c r="E1800" s="36"/>
      <c r="F1800" s="36"/>
      <c r="G1800" s="36"/>
    </row>
    <row r="1801" spans="1:7" s="34" customFormat="1" x14ac:dyDescent="0.35">
      <c r="A1801" s="36"/>
      <c r="B1801" s="36"/>
      <c r="C1801" s="36"/>
      <c r="D1801" s="36"/>
      <c r="E1801" s="36"/>
      <c r="F1801" s="36"/>
      <c r="G1801" s="36"/>
    </row>
    <row r="1802" spans="1:7" s="34" customFormat="1" x14ac:dyDescent="0.35">
      <c r="A1802" s="36"/>
      <c r="B1802" s="36"/>
      <c r="C1802" s="36"/>
      <c r="D1802" s="36"/>
      <c r="E1802" s="36"/>
      <c r="F1802" s="36"/>
      <c r="G1802" s="36"/>
    </row>
    <row r="1803" spans="1:7" s="34" customFormat="1" x14ac:dyDescent="0.35">
      <c r="A1803" s="36"/>
      <c r="B1803" s="36"/>
      <c r="C1803" s="36"/>
      <c r="D1803" s="36"/>
      <c r="E1803" s="36"/>
      <c r="F1803" s="36"/>
      <c r="G1803" s="36"/>
    </row>
    <row r="1804" spans="1:7" s="34" customFormat="1" x14ac:dyDescent="0.35">
      <c r="A1804" s="36"/>
      <c r="B1804" s="36"/>
      <c r="C1804" s="36"/>
      <c r="D1804" s="36"/>
      <c r="E1804" s="36"/>
      <c r="F1804" s="36"/>
      <c r="G1804" s="36"/>
    </row>
    <row r="1805" spans="1:7" s="34" customFormat="1" x14ac:dyDescent="0.35">
      <c r="A1805" s="36"/>
      <c r="B1805" s="36"/>
      <c r="C1805" s="36"/>
      <c r="D1805" s="36"/>
      <c r="E1805" s="36"/>
      <c r="F1805" s="36"/>
      <c r="G1805" s="36"/>
    </row>
    <row r="1806" spans="1:7" s="34" customFormat="1" x14ac:dyDescent="0.35">
      <c r="A1806" s="36"/>
      <c r="B1806" s="36"/>
      <c r="C1806" s="36"/>
      <c r="D1806" s="36"/>
      <c r="E1806" s="36"/>
      <c r="F1806" s="36"/>
      <c r="G1806" s="36"/>
    </row>
    <row r="1807" spans="1:7" s="34" customFormat="1" x14ac:dyDescent="0.35">
      <c r="A1807" s="36"/>
      <c r="B1807" s="36"/>
      <c r="C1807" s="36"/>
      <c r="D1807" s="36"/>
      <c r="E1807" s="36"/>
      <c r="F1807" s="36"/>
      <c r="G1807" s="36"/>
    </row>
    <row r="1808" spans="1:7" s="34" customFormat="1" x14ac:dyDescent="0.35">
      <c r="A1808" s="36"/>
      <c r="B1808" s="36"/>
      <c r="C1808" s="36"/>
      <c r="D1808" s="36"/>
      <c r="E1808" s="36"/>
      <c r="F1808" s="36"/>
      <c r="G1808" s="36"/>
    </row>
    <row r="1809" spans="1:7" s="34" customFormat="1" x14ac:dyDescent="0.35">
      <c r="A1809" s="36"/>
      <c r="B1809" s="36"/>
      <c r="C1809" s="36"/>
      <c r="D1809" s="36"/>
      <c r="E1809" s="36"/>
      <c r="F1809" s="36"/>
      <c r="G1809" s="36"/>
    </row>
    <row r="1810" spans="1:7" s="34" customFormat="1" x14ac:dyDescent="0.35">
      <c r="A1810" s="36"/>
      <c r="B1810" s="36"/>
      <c r="C1810" s="36"/>
      <c r="D1810" s="36"/>
      <c r="E1810" s="36"/>
      <c r="F1810" s="36"/>
      <c r="G1810" s="36"/>
    </row>
    <row r="1811" spans="1:7" s="34" customFormat="1" x14ac:dyDescent="0.35">
      <c r="A1811" s="36"/>
      <c r="B1811" s="36"/>
      <c r="C1811" s="36"/>
      <c r="D1811" s="36"/>
      <c r="E1811" s="36"/>
      <c r="F1811" s="36"/>
      <c r="G1811" s="36"/>
    </row>
    <row r="1812" spans="1:7" s="34" customFormat="1" x14ac:dyDescent="0.35">
      <c r="A1812" s="36"/>
      <c r="B1812" s="36"/>
      <c r="C1812" s="36"/>
      <c r="D1812" s="36"/>
      <c r="E1812" s="36"/>
      <c r="F1812" s="36"/>
      <c r="G1812" s="36"/>
    </row>
    <row r="1813" spans="1:7" s="34" customFormat="1" x14ac:dyDescent="0.35">
      <c r="A1813" s="36"/>
      <c r="B1813" s="36"/>
      <c r="C1813" s="36"/>
      <c r="D1813" s="36"/>
      <c r="E1813" s="36"/>
      <c r="F1813" s="36"/>
      <c r="G1813" s="36"/>
    </row>
    <row r="1814" spans="1:7" s="34" customFormat="1" x14ac:dyDescent="0.35">
      <c r="A1814" s="36"/>
      <c r="B1814" s="36"/>
      <c r="C1814" s="36"/>
      <c r="D1814" s="36"/>
      <c r="E1814" s="36"/>
      <c r="F1814" s="36"/>
      <c r="G1814" s="36"/>
    </row>
    <row r="1815" spans="1:7" s="34" customFormat="1" x14ac:dyDescent="0.35">
      <c r="A1815" s="36"/>
      <c r="B1815" s="36"/>
      <c r="C1815" s="36"/>
      <c r="D1815" s="36"/>
      <c r="E1815" s="36"/>
      <c r="F1815" s="36"/>
      <c r="G1815" s="36"/>
    </row>
    <row r="1816" spans="1:7" s="34" customFormat="1" x14ac:dyDescent="0.35">
      <c r="A1816" s="36"/>
      <c r="B1816" s="36"/>
      <c r="C1816" s="36"/>
      <c r="D1816" s="36"/>
      <c r="E1816" s="36"/>
      <c r="F1816" s="36"/>
      <c r="G1816" s="36"/>
    </row>
    <row r="1817" spans="1:7" s="34" customFormat="1" x14ac:dyDescent="0.35">
      <c r="A1817" s="36"/>
      <c r="B1817" s="36"/>
      <c r="C1817" s="36"/>
      <c r="D1817" s="36"/>
      <c r="E1817" s="36"/>
      <c r="F1817" s="36"/>
      <c r="G1817" s="36"/>
    </row>
    <row r="1818" spans="1:7" s="34" customFormat="1" x14ac:dyDescent="0.35">
      <c r="A1818" s="36"/>
      <c r="B1818" s="36"/>
      <c r="C1818" s="36"/>
      <c r="D1818" s="36"/>
      <c r="E1818" s="36"/>
      <c r="F1818" s="36"/>
      <c r="G1818" s="36"/>
    </row>
    <row r="1819" spans="1:7" s="34" customFormat="1" x14ac:dyDescent="0.35">
      <c r="A1819" s="36"/>
      <c r="B1819" s="36"/>
      <c r="C1819" s="36"/>
      <c r="D1819" s="36"/>
      <c r="E1819" s="36"/>
      <c r="F1819" s="36"/>
      <c r="G1819" s="36"/>
    </row>
    <row r="1820" spans="1:7" s="34" customFormat="1" x14ac:dyDescent="0.35">
      <c r="A1820" s="36"/>
      <c r="B1820" s="36"/>
      <c r="C1820" s="36"/>
      <c r="D1820" s="36"/>
      <c r="E1820" s="36"/>
      <c r="F1820" s="36"/>
      <c r="G1820" s="36"/>
    </row>
    <row r="1821" spans="1:7" s="34" customFormat="1" x14ac:dyDescent="0.35">
      <c r="A1821" s="36"/>
      <c r="B1821" s="36"/>
      <c r="C1821" s="36"/>
      <c r="D1821" s="36"/>
      <c r="E1821" s="36"/>
      <c r="F1821" s="36"/>
      <c r="G1821" s="36"/>
    </row>
    <row r="1822" spans="1:7" s="34" customFormat="1" x14ac:dyDescent="0.35">
      <c r="A1822" s="36"/>
      <c r="B1822" s="36"/>
      <c r="C1822" s="36"/>
      <c r="D1822" s="36"/>
      <c r="E1822" s="36"/>
      <c r="F1822" s="36"/>
      <c r="G1822" s="36"/>
    </row>
    <row r="1823" spans="1:7" s="34" customFormat="1" x14ac:dyDescent="0.35">
      <c r="A1823" s="36"/>
      <c r="B1823" s="36"/>
      <c r="C1823" s="36"/>
      <c r="D1823" s="36"/>
      <c r="E1823" s="36"/>
      <c r="F1823" s="36"/>
      <c r="G1823" s="36"/>
    </row>
    <row r="1824" spans="1:7" s="34" customFormat="1" x14ac:dyDescent="0.35">
      <c r="A1824" s="36"/>
      <c r="B1824" s="36"/>
      <c r="C1824" s="36"/>
      <c r="D1824" s="36"/>
      <c r="E1824" s="36"/>
      <c r="F1824" s="36"/>
      <c r="G1824" s="36"/>
    </row>
    <row r="1825" spans="1:7" s="34" customFormat="1" x14ac:dyDescent="0.35">
      <c r="A1825" s="36"/>
      <c r="B1825" s="36"/>
      <c r="C1825" s="36"/>
      <c r="D1825" s="36"/>
      <c r="E1825" s="36"/>
      <c r="F1825" s="36"/>
      <c r="G1825" s="36"/>
    </row>
    <row r="1826" spans="1:7" s="34" customFormat="1" x14ac:dyDescent="0.35">
      <c r="A1826" s="36"/>
      <c r="B1826" s="36"/>
      <c r="C1826" s="36"/>
      <c r="D1826" s="36"/>
      <c r="E1826" s="36"/>
      <c r="F1826" s="36"/>
      <c r="G1826" s="36"/>
    </row>
    <row r="1827" spans="1:7" s="34" customFormat="1" x14ac:dyDescent="0.35">
      <c r="A1827" s="36"/>
      <c r="B1827" s="36"/>
      <c r="C1827" s="36"/>
      <c r="D1827" s="36"/>
      <c r="E1827" s="36"/>
      <c r="F1827" s="36"/>
      <c r="G1827" s="36"/>
    </row>
    <row r="1828" spans="1:7" s="34" customFormat="1" x14ac:dyDescent="0.35">
      <c r="A1828" s="36"/>
      <c r="B1828" s="36"/>
      <c r="C1828" s="36"/>
      <c r="D1828" s="36"/>
      <c r="E1828" s="36"/>
      <c r="F1828" s="36"/>
      <c r="G1828" s="36"/>
    </row>
    <row r="1829" spans="1:7" s="34" customFormat="1" x14ac:dyDescent="0.35">
      <c r="A1829" s="36"/>
      <c r="B1829" s="36"/>
      <c r="C1829" s="36"/>
      <c r="D1829" s="36"/>
      <c r="E1829" s="36"/>
      <c r="F1829" s="36"/>
      <c r="G1829" s="36"/>
    </row>
    <row r="1830" spans="1:7" s="34" customFormat="1" x14ac:dyDescent="0.35">
      <c r="A1830" s="36"/>
      <c r="B1830" s="36"/>
      <c r="C1830" s="36"/>
      <c r="D1830" s="36"/>
      <c r="E1830" s="36"/>
      <c r="F1830" s="36"/>
      <c r="G1830" s="36"/>
    </row>
    <row r="1831" spans="1:7" s="34" customFormat="1" x14ac:dyDescent="0.35">
      <c r="A1831" s="36"/>
      <c r="B1831" s="36"/>
      <c r="C1831" s="36"/>
      <c r="D1831" s="36"/>
      <c r="E1831" s="36"/>
      <c r="F1831" s="36"/>
      <c r="G1831" s="36"/>
    </row>
    <row r="1832" spans="1:7" s="34" customFormat="1" x14ac:dyDescent="0.35">
      <c r="A1832" s="36"/>
      <c r="B1832" s="36"/>
      <c r="C1832" s="36"/>
      <c r="D1832" s="36"/>
      <c r="E1832" s="36"/>
      <c r="F1832" s="36"/>
      <c r="G1832" s="36"/>
    </row>
    <row r="1833" spans="1:7" s="34" customFormat="1" x14ac:dyDescent="0.35">
      <c r="A1833" s="36"/>
      <c r="B1833" s="36"/>
      <c r="C1833" s="36"/>
      <c r="D1833" s="36"/>
      <c r="E1833" s="36"/>
      <c r="F1833" s="36"/>
      <c r="G1833" s="36"/>
    </row>
    <row r="1834" spans="1:7" s="34" customFormat="1" x14ac:dyDescent="0.35">
      <c r="A1834" s="36"/>
      <c r="B1834" s="36"/>
      <c r="C1834" s="36"/>
      <c r="D1834" s="36"/>
      <c r="E1834" s="36"/>
      <c r="F1834" s="36"/>
      <c r="G1834" s="36"/>
    </row>
    <row r="1835" spans="1:7" s="34" customFormat="1" x14ac:dyDescent="0.35">
      <c r="A1835" s="36"/>
      <c r="B1835" s="36"/>
      <c r="C1835" s="36"/>
      <c r="D1835" s="36"/>
      <c r="E1835" s="36"/>
      <c r="F1835" s="36"/>
      <c r="G1835" s="36"/>
    </row>
    <row r="1836" spans="1:7" s="34" customFormat="1" x14ac:dyDescent="0.35">
      <c r="A1836" s="36"/>
      <c r="B1836" s="36"/>
      <c r="C1836" s="36"/>
      <c r="D1836" s="36"/>
      <c r="E1836" s="36"/>
      <c r="F1836" s="36"/>
      <c r="G1836" s="36"/>
    </row>
    <row r="1837" spans="1:7" s="34" customFormat="1" x14ac:dyDescent="0.35">
      <c r="A1837" s="36"/>
      <c r="B1837" s="36"/>
      <c r="C1837" s="36"/>
      <c r="D1837" s="36"/>
      <c r="E1837" s="36"/>
      <c r="F1837" s="36"/>
      <c r="G1837" s="36"/>
    </row>
    <row r="1838" spans="1:7" s="34" customFormat="1" x14ac:dyDescent="0.35">
      <c r="A1838" s="36"/>
      <c r="B1838" s="36"/>
      <c r="C1838" s="36"/>
      <c r="D1838" s="36"/>
      <c r="E1838" s="36"/>
      <c r="F1838" s="36"/>
      <c r="G1838" s="36"/>
    </row>
    <row r="1839" spans="1:7" s="34" customFormat="1" x14ac:dyDescent="0.35">
      <c r="A1839" s="36"/>
      <c r="B1839" s="36"/>
      <c r="C1839" s="36"/>
      <c r="D1839" s="36"/>
      <c r="E1839" s="36"/>
      <c r="F1839" s="36"/>
      <c r="G1839" s="36"/>
    </row>
    <row r="1840" spans="1:7" s="34" customFormat="1" x14ac:dyDescent="0.35">
      <c r="A1840" s="36"/>
      <c r="B1840" s="36"/>
      <c r="C1840" s="36"/>
      <c r="D1840" s="36"/>
      <c r="E1840" s="36"/>
      <c r="F1840" s="36"/>
      <c r="G1840" s="36"/>
    </row>
    <row r="1841" spans="1:7" s="34" customFormat="1" x14ac:dyDescent="0.35">
      <c r="A1841" s="36"/>
      <c r="B1841" s="36"/>
      <c r="C1841" s="36"/>
      <c r="D1841" s="36"/>
      <c r="E1841" s="36"/>
      <c r="F1841" s="36"/>
      <c r="G1841" s="36"/>
    </row>
    <row r="1842" spans="1:7" s="34" customFormat="1" x14ac:dyDescent="0.35">
      <c r="A1842" s="36"/>
      <c r="B1842" s="36"/>
      <c r="C1842" s="36"/>
      <c r="D1842" s="36"/>
      <c r="E1842" s="36"/>
      <c r="F1842" s="36"/>
      <c r="G1842" s="36"/>
    </row>
    <row r="1843" spans="1:7" s="34" customFormat="1" x14ac:dyDescent="0.35">
      <c r="A1843" s="36"/>
      <c r="B1843" s="36"/>
      <c r="C1843" s="36"/>
      <c r="D1843" s="36"/>
      <c r="E1843" s="36"/>
      <c r="F1843" s="36"/>
      <c r="G1843" s="36"/>
    </row>
    <row r="1844" spans="1:7" s="34" customFormat="1" x14ac:dyDescent="0.35">
      <c r="A1844" s="36"/>
      <c r="B1844" s="36"/>
      <c r="C1844" s="36"/>
      <c r="D1844" s="36"/>
      <c r="E1844" s="36"/>
      <c r="F1844" s="36"/>
      <c r="G1844" s="36"/>
    </row>
    <row r="1845" spans="1:7" s="34" customFormat="1" x14ac:dyDescent="0.35">
      <c r="A1845" s="36"/>
      <c r="B1845" s="36"/>
      <c r="C1845" s="36"/>
      <c r="D1845" s="36"/>
      <c r="E1845" s="36"/>
      <c r="F1845" s="36"/>
      <c r="G1845" s="36"/>
    </row>
    <row r="1846" spans="1:7" s="34" customFormat="1" x14ac:dyDescent="0.35">
      <c r="A1846" s="36"/>
      <c r="B1846" s="36"/>
      <c r="C1846" s="36"/>
      <c r="D1846" s="36"/>
      <c r="E1846" s="36"/>
      <c r="F1846" s="36"/>
      <c r="G1846" s="36"/>
    </row>
    <row r="1847" spans="1:7" s="34" customFormat="1" x14ac:dyDescent="0.35">
      <c r="A1847" s="36"/>
      <c r="B1847" s="36"/>
      <c r="C1847" s="36"/>
      <c r="D1847" s="36"/>
      <c r="E1847" s="36"/>
      <c r="F1847" s="36"/>
      <c r="G1847" s="36"/>
    </row>
    <row r="1848" spans="1:7" s="34" customFormat="1" x14ac:dyDescent="0.35">
      <c r="A1848" s="36"/>
      <c r="B1848" s="36"/>
      <c r="C1848" s="36"/>
      <c r="D1848" s="36"/>
      <c r="E1848" s="36"/>
      <c r="F1848" s="36"/>
      <c r="G1848" s="36"/>
    </row>
    <row r="1849" spans="1:7" s="34" customFormat="1" x14ac:dyDescent="0.35">
      <c r="A1849" s="36"/>
      <c r="B1849" s="36"/>
      <c r="C1849" s="36"/>
      <c r="D1849" s="36"/>
      <c r="E1849" s="36"/>
      <c r="F1849" s="36"/>
      <c r="G1849" s="36"/>
    </row>
    <row r="1850" spans="1:7" s="34" customFormat="1" x14ac:dyDescent="0.35">
      <c r="A1850" s="36"/>
      <c r="B1850" s="36"/>
      <c r="C1850" s="36"/>
      <c r="D1850" s="36"/>
      <c r="E1850" s="36"/>
      <c r="F1850" s="36"/>
      <c r="G1850" s="36"/>
    </row>
    <row r="1851" spans="1:7" s="34" customFormat="1" x14ac:dyDescent="0.35">
      <c r="A1851" s="36"/>
      <c r="B1851" s="36"/>
      <c r="C1851" s="36"/>
      <c r="D1851" s="36"/>
      <c r="E1851" s="36"/>
      <c r="F1851" s="36"/>
      <c r="G1851" s="36"/>
    </row>
    <row r="1852" spans="1:7" s="34" customFormat="1" x14ac:dyDescent="0.35">
      <c r="A1852" s="36"/>
      <c r="B1852" s="36"/>
      <c r="C1852" s="36"/>
      <c r="D1852" s="36"/>
      <c r="E1852" s="36"/>
      <c r="F1852" s="36"/>
      <c r="G1852" s="36"/>
    </row>
    <row r="1853" spans="1:7" s="34" customFormat="1" x14ac:dyDescent="0.35">
      <c r="A1853" s="36"/>
      <c r="B1853" s="36"/>
      <c r="C1853" s="36"/>
      <c r="D1853" s="36"/>
      <c r="E1853" s="36"/>
      <c r="F1853" s="36"/>
      <c r="G1853" s="36"/>
    </row>
    <row r="1854" spans="1:7" s="34" customFormat="1" x14ac:dyDescent="0.35">
      <c r="A1854" s="36"/>
      <c r="B1854" s="36"/>
      <c r="C1854" s="36"/>
      <c r="D1854" s="36"/>
      <c r="E1854" s="36"/>
      <c r="F1854" s="36"/>
      <c r="G1854" s="36"/>
    </row>
    <row r="1855" spans="1:7" s="34" customFormat="1" x14ac:dyDescent="0.35">
      <c r="A1855" s="36"/>
      <c r="B1855" s="36"/>
      <c r="C1855" s="36"/>
      <c r="D1855" s="36"/>
      <c r="E1855" s="36"/>
      <c r="F1855" s="36"/>
      <c r="G1855" s="36"/>
    </row>
    <row r="1856" spans="1:7" s="34" customFormat="1" x14ac:dyDescent="0.35">
      <c r="A1856" s="36"/>
      <c r="B1856" s="36"/>
      <c r="C1856" s="36"/>
      <c r="D1856" s="36"/>
      <c r="E1856" s="36"/>
      <c r="F1856" s="36"/>
      <c r="G1856" s="36"/>
    </row>
    <row r="1857" spans="1:7" s="34" customFormat="1" x14ac:dyDescent="0.35">
      <c r="A1857" s="36"/>
      <c r="B1857" s="36"/>
      <c r="C1857" s="36"/>
      <c r="D1857" s="36"/>
      <c r="E1857" s="36"/>
      <c r="F1857" s="36"/>
      <c r="G1857" s="36"/>
    </row>
    <row r="1858" spans="1:7" s="34" customFormat="1" x14ac:dyDescent="0.35">
      <c r="A1858" s="36"/>
      <c r="B1858" s="36"/>
      <c r="C1858" s="36"/>
      <c r="D1858" s="36"/>
      <c r="E1858" s="36"/>
      <c r="F1858" s="36"/>
      <c r="G1858" s="36"/>
    </row>
    <row r="1859" spans="1:7" s="34" customFormat="1" x14ac:dyDescent="0.35">
      <c r="A1859" s="36"/>
      <c r="B1859" s="36"/>
      <c r="C1859" s="36"/>
      <c r="D1859" s="36"/>
      <c r="E1859" s="36"/>
      <c r="F1859" s="36"/>
      <c r="G1859" s="36"/>
    </row>
    <row r="1860" spans="1:7" s="34" customFormat="1" x14ac:dyDescent="0.35">
      <c r="A1860" s="36"/>
      <c r="B1860" s="36"/>
      <c r="C1860" s="36"/>
      <c r="D1860" s="36"/>
      <c r="E1860" s="36"/>
      <c r="F1860" s="36"/>
      <c r="G1860" s="36"/>
    </row>
    <row r="1861" spans="1:7" s="34" customFormat="1" x14ac:dyDescent="0.35">
      <c r="A1861" s="36"/>
      <c r="B1861" s="36"/>
      <c r="C1861" s="36"/>
      <c r="D1861" s="36"/>
      <c r="E1861" s="36"/>
      <c r="F1861" s="36"/>
      <c r="G1861" s="36"/>
    </row>
    <row r="1862" spans="1:7" s="34" customFormat="1" x14ac:dyDescent="0.35">
      <c r="A1862" s="36"/>
      <c r="B1862" s="36"/>
      <c r="C1862" s="36"/>
      <c r="D1862" s="36"/>
      <c r="E1862" s="36"/>
      <c r="F1862" s="36"/>
      <c r="G1862" s="36"/>
    </row>
    <row r="1863" spans="1:7" s="34" customFormat="1" x14ac:dyDescent="0.35">
      <c r="A1863" s="36"/>
      <c r="B1863" s="36"/>
      <c r="C1863" s="36"/>
      <c r="D1863" s="36"/>
      <c r="E1863" s="36"/>
      <c r="F1863" s="36"/>
      <c r="G1863" s="36"/>
    </row>
    <row r="1864" spans="1:7" s="34" customFormat="1" x14ac:dyDescent="0.35">
      <c r="A1864" s="36"/>
      <c r="B1864" s="36"/>
      <c r="C1864" s="36"/>
      <c r="D1864" s="36"/>
      <c r="E1864" s="36"/>
      <c r="F1864" s="36"/>
      <c r="G1864" s="36"/>
    </row>
    <row r="1865" spans="1:7" s="34" customFormat="1" x14ac:dyDescent="0.35">
      <c r="A1865" s="36"/>
      <c r="B1865" s="36"/>
      <c r="C1865" s="36"/>
      <c r="D1865" s="36"/>
      <c r="E1865" s="36"/>
      <c r="F1865" s="36"/>
      <c r="G1865" s="36"/>
    </row>
    <row r="1866" spans="1:7" s="34" customFormat="1" x14ac:dyDescent="0.35">
      <c r="A1866" s="36"/>
      <c r="B1866" s="36"/>
      <c r="C1866" s="36"/>
      <c r="D1866" s="36"/>
      <c r="E1866" s="36"/>
      <c r="F1866" s="36"/>
      <c r="G1866" s="36"/>
    </row>
    <row r="1867" spans="1:7" s="34" customFormat="1" x14ac:dyDescent="0.35">
      <c r="A1867" s="36"/>
      <c r="B1867" s="36"/>
      <c r="C1867" s="36"/>
      <c r="D1867" s="36"/>
      <c r="E1867" s="36"/>
      <c r="F1867" s="36"/>
      <c r="G1867" s="36"/>
    </row>
    <row r="1868" spans="1:7" s="34" customFormat="1" x14ac:dyDescent="0.35">
      <c r="A1868" s="36"/>
      <c r="B1868" s="36"/>
      <c r="C1868" s="36"/>
      <c r="D1868" s="36"/>
      <c r="E1868" s="36"/>
      <c r="F1868" s="36"/>
      <c r="G1868" s="36"/>
    </row>
    <row r="1869" spans="1:7" s="34" customFormat="1" x14ac:dyDescent="0.35">
      <c r="A1869" s="36"/>
      <c r="B1869" s="36"/>
      <c r="C1869" s="36"/>
      <c r="D1869" s="36"/>
      <c r="E1869" s="36"/>
      <c r="F1869" s="36"/>
      <c r="G1869" s="36"/>
    </row>
    <row r="1870" spans="1:7" s="34" customFormat="1" x14ac:dyDescent="0.35">
      <c r="A1870" s="36"/>
      <c r="B1870" s="36"/>
      <c r="C1870" s="36"/>
      <c r="D1870" s="36"/>
      <c r="E1870" s="36"/>
      <c r="F1870" s="36"/>
      <c r="G1870" s="36"/>
    </row>
    <row r="1871" spans="1:7" s="34" customFormat="1" x14ac:dyDescent="0.35">
      <c r="A1871" s="36"/>
      <c r="B1871" s="36"/>
      <c r="C1871" s="36"/>
      <c r="D1871" s="36"/>
      <c r="E1871" s="36"/>
      <c r="F1871" s="36"/>
      <c r="G1871" s="36"/>
    </row>
    <row r="1872" spans="1:7" s="34" customFormat="1" x14ac:dyDescent="0.35">
      <c r="A1872" s="36"/>
      <c r="B1872" s="36"/>
      <c r="C1872" s="36"/>
      <c r="D1872" s="36"/>
      <c r="E1872" s="36"/>
      <c r="F1872" s="36"/>
      <c r="G1872" s="36"/>
    </row>
    <row r="1873" spans="1:7" s="34" customFormat="1" x14ac:dyDescent="0.35">
      <c r="A1873" s="36"/>
      <c r="B1873" s="36"/>
      <c r="C1873" s="36"/>
      <c r="D1873" s="36"/>
      <c r="E1873" s="36"/>
      <c r="F1873" s="36"/>
      <c r="G1873" s="36"/>
    </row>
    <row r="1874" spans="1:7" s="34" customFormat="1" x14ac:dyDescent="0.35">
      <c r="A1874" s="36"/>
      <c r="B1874" s="36"/>
      <c r="C1874" s="36"/>
      <c r="D1874" s="36"/>
      <c r="E1874" s="36"/>
      <c r="F1874" s="36"/>
      <c r="G1874" s="36"/>
    </row>
    <row r="1875" spans="1:7" s="34" customFormat="1" x14ac:dyDescent="0.35">
      <c r="A1875" s="36"/>
      <c r="B1875" s="36"/>
      <c r="C1875" s="36"/>
      <c r="D1875" s="36"/>
      <c r="E1875" s="36"/>
      <c r="F1875" s="36"/>
      <c r="G1875" s="36"/>
    </row>
    <row r="1876" spans="1:7" s="34" customFormat="1" x14ac:dyDescent="0.35">
      <c r="A1876" s="36"/>
      <c r="B1876" s="36"/>
      <c r="C1876" s="36"/>
      <c r="D1876" s="36"/>
      <c r="E1876" s="36"/>
      <c r="F1876" s="36"/>
      <c r="G1876" s="36"/>
    </row>
    <row r="1877" spans="1:7" s="34" customFormat="1" x14ac:dyDescent="0.35">
      <c r="A1877" s="36"/>
      <c r="B1877" s="36"/>
      <c r="C1877" s="36"/>
      <c r="D1877" s="36"/>
      <c r="E1877" s="36"/>
      <c r="F1877" s="36"/>
      <c r="G1877" s="36"/>
    </row>
    <row r="1878" spans="1:7" s="34" customFormat="1" x14ac:dyDescent="0.35">
      <c r="A1878" s="36"/>
      <c r="B1878" s="36"/>
      <c r="C1878" s="36"/>
      <c r="D1878" s="36"/>
      <c r="E1878" s="36"/>
      <c r="F1878" s="36"/>
      <c r="G1878" s="36"/>
    </row>
    <row r="1879" spans="1:7" s="34" customFormat="1" x14ac:dyDescent="0.35">
      <c r="A1879" s="36"/>
      <c r="B1879" s="36"/>
      <c r="C1879" s="36"/>
      <c r="D1879" s="36"/>
      <c r="E1879" s="36"/>
      <c r="F1879" s="36"/>
      <c r="G1879" s="36"/>
    </row>
    <row r="1880" spans="1:7" s="34" customFormat="1" x14ac:dyDescent="0.35">
      <c r="A1880" s="36"/>
      <c r="B1880" s="36"/>
      <c r="C1880" s="36"/>
      <c r="D1880" s="36"/>
      <c r="E1880" s="36"/>
      <c r="F1880" s="36"/>
      <c r="G1880" s="36"/>
    </row>
    <row r="1881" spans="1:7" s="34" customFormat="1" x14ac:dyDescent="0.35">
      <c r="A1881" s="36"/>
      <c r="B1881" s="36"/>
      <c r="C1881" s="36"/>
      <c r="D1881" s="36"/>
      <c r="E1881" s="36"/>
      <c r="F1881" s="36"/>
      <c r="G1881" s="36"/>
    </row>
    <row r="1882" spans="1:7" s="34" customFormat="1" x14ac:dyDescent="0.35">
      <c r="A1882" s="36"/>
      <c r="B1882" s="36"/>
      <c r="C1882" s="36"/>
      <c r="D1882" s="36"/>
      <c r="E1882" s="36"/>
      <c r="F1882" s="36"/>
      <c r="G1882" s="36"/>
    </row>
    <row r="1883" spans="1:7" s="34" customFormat="1" x14ac:dyDescent="0.35">
      <c r="A1883" s="36"/>
      <c r="B1883" s="36"/>
      <c r="C1883" s="36"/>
      <c r="D1883" s="36"/>
      <c r="E1883" s="36"/>
      <c r="F1883" s="36"/>
      <c r="G1883" s="36"/>
    </row>
    <row r="1884" spans="1:7" s="34" customFormat="1" x14ac:dyDescent="0.35">
      <c r="A1884" s="36"/>
      <c r="B1884" s="36"/>
      <c r="C1884" s="36"/>
      <c r="D1884" s="36"/>
      <c r="E1884" s="36"/>
      <c r="F1884" s="36"/>
      <c r="G1884" s="36"/>
    </row>
    <row r="1885" spans="1:7" s="34" customFormat="1" x14ac:dyDescent="0.35">
      <c r="A1885" s="36"/>
      <c r="B1885" s="36"/>
      <c r="C1885" s="36"/>
      <c r="D1885" s="36"/>
      <c r="E1885" s="36"/>
      <c r="F1885" s="36"/>
      <c r="G1885" s="36"/>
    </row>
    <row r="1886" spans="1:7" s="34" customFormat="1" x14ac:dyDescent="0.35">
      <c r="A1886" s="36"/>
      <c r="B1886" s="36"/>
      <c r="C1886" s="36"/>
      <c r="D1886" s="36"/>
      <c r="E1886" s="36"/>
      <c r="F1886" s="36"/>
      <c r="G1886" s="36"/>
    </row>
    <row r="1887" spans="1:7" s="34" customFormat="1" x14ac:dyDescent="0.35">
      <c r="A1887" s="36"/>
      <c r="B1887" s="36"/>
      <c r="C1887" s="36"/>
      <c r="D1887" s="36"/>
      <c r="E1887" s="36"/>
      <c r="F1887" s="36"/>
      <c r="G1887" s="36"/>
    </row>
    <row r="1888" spans="1:7" s="34" customFormat="1" x14ac:dyDescent="0.35">
      <c r="A1888" s="36"/>
      <c r="B1888" s="36"/>
      <c r="C1888" s="36"/>
      <c r="D1888" s="36"/>
      <c r="E1888" s="36"/>
      <c r="F1888" s="36"/>
      <c r="G1888" s="36"/>
    </row>
    <row r="1889" spans="1:7" s="34" customFormat="1" x14ac:dyDescent="0.35">
      <c r="A1889" s="36"/>
      <c r="B1889" s="36"/>
      <c r="C1889" s="36"/>
      <c r="D1889" s="36"/>
      <c r="E1889" s="36"/>
      <c r="F1889" s="36"/>
      <c r="G1889" s="36"/>
    </row>
    <row r="1890" spans="1:7" s="34" customFormat="1" x14ac:dyDescent="0.35">
      <c r="A1890" s="36"/>
      <c r="B1890" s="36"/>
      <c r="C1890" s="36"/>
      <c r="D1890" s="36"/>
      <c r="E1890" s="36"/>
      <c r="F1890" s="36"/>
      <c r="G1890" s="36"/>
    </row>
    <row r="1891" spans="1:7" s="34" customFormat="1" x14ac:dyDescent="0.35">
      <c r="A1891" s="36"/>
      <c r="B1891" s="36"/>
      <c r="C1891" s="36"/>
      <c r="D1891" s="36"/>
      <c r="E1891" s="36"/>
      <c r="F1891" s="36"/>
      <c r="G1891" s="36"/>
    </row>
    <row r="1892" spans="1:7" s="34" customFormat="1" x14ac:dyDescent="0.35">
      <c r="A1892" s="36"/>
      <c r="B1892" s="36"/>
      <c r="C1892" s="36"/>
      <c r="D1892" s="36"/>
      <c r="E1892" s="36"/>
      <c r="F1892" s="36"/>
      <c r="G1892" s="36"/>
    </row>
    <row r="1893" spans="1:7" s="34" customFormat="1" x14ac:dyDescent="0.35">
      <c r="A1893" s="36"/>
      <c r="B1893" s="36"/>
      <c r="C1893" s="36"/>
      <c r="D1893" s="36"/>
      <c r="E1893" s="36"/>
      <c r="F1893" s="36"/>
      <c r="G1893" s="36"/>
    </row>
    <row r="1894" spans="1:7" s="34" customFormat="1" x14ac:dyDescent="0.35">
      <c r="A1894" s="36"/>
      <c r="B1894" s="36"/>
      <c r="C1894" s="36"/>
      <c r="D1894" s="36"/>
      <c r="E1894" s="36"/>
      <c r="F1894" s="36"/>
      <c r="G1894" s="36"/>
    </row>
    <row r="1895" spans="1:7" s="34" customFormat="1" x14ac:dyDescent="0.35">
      <c r="A1895" s="36"/>
      <c r="B1895" s="36"/>
      <c r="C1895" s="36"/>
      <c r="D1895" s="36"/>
      <c r="E1895" s="36"/>
      <c r="F1895" s="36"/>
      <c r="G1895" s="36"/>
    </row>
    <row r="1896" spans="1:7" s="34" customFormat="1" x14ac:dyDescent="0.35">
      <c r="A1896" s="36"/>
      <c r="B1896" s="36"/>
      <c r="C1896" s="36"/>
      <c r="D1896" s="36"/>
      <c r="E1896" s="36"/>
      <c r="F1896" s="36"/>
      <c r="G1896" s="36"/>
    </row>
    <row r="1897" spans="1:7" s="34" customFormat="1" x14ac:dyDescent="0.35">
      <c r="A1897" s="36"/>
      <c r="B1897" s="36"/>
      <c r="C1897" s="36"/>
      <c r="D1897" s="36"/>
      <c r="E1897" s="36"/>
      <c r="F1897" s="36"/>
      <c r="G1897" s="36"/>
    </row>
    <row r="1898" spans="1:7" s="34" customFormat="1" x14ac:dyDescent="0.35">
      <c r="A1898" s="36"/>
      <c r="B1898" s="36"/>
      <c r="C1898" s="36"/>
      <c r="D1898" s="36"/>
      <c r="E1898" s="36"/>
      <c r="F1898" s="36"/>
      <c r="G1898" s="36"/>
    </row>
    <row r="1899" spans="1:7" s="34" customFormat="1" x14ac:dyDescent="0.35">
      <c r="A1899" s="36"/>
      <c r="B1899" s="36"/>
      <c r="C1899" s="36"/>
      <c r="D1899" s="36"/>
      <c r="E1899" s="36"/>
      <c r="F1899" s="36"/>
      <c r="G1899" s="36"/>
    </row>
    <row r="1900" spans="1:7" s="34" customFormat="1" x14ac:dyDescent="0.35">
      <c r="A1900" s="36"/>
      <c r="B1900" s="36"/>
      <c r="C1900" s="36"/>
      <c r="D1900" s="36"/>
      <c r="E1900" s="36"/>
      <c r="F1900" s="36"/>
      <c r="G1900" s="36"/>
    </row>
    <row r="1901" spans="1:7" s="34" customFormat="1" x14ac:dyDescent="0.35">
      <c r="A1901" s="36"/>
      <c r="B1901" s="36"/>
      <c r="C1901" s="36"/>
      <c r="D1901" s="36"/>
      <c r="E1901" s="36"/>
      <c r="F1901" s="36"/>
      <c r="G1901" s="36"/>
    </row>
    <row r="1902" spans="1:7" s="34" customFormat="1" x14ac:dyDescent="0.35">
      <c r="A1902" s="36"/>
      <c r="B1902" s="36"/>
      <c r="C1902" s="36"/>
      <c r="D1902" s="36"/>
      <c r="E1902" s="36"/>
      <c r="F1902" s="36"/>
      <c r="G1902" s="36"/>
    </row>
    <row r="1903" spans="1:7" s="34" customFormat="1" x14ac:dyDescent="0.35">
      <c r="A1903" s="36"/>
      <c r="B1903" s="36"/>
      <c r="C1903" s="36"/>
      <c r="D1903" s="36"/>
      <c r="E1903" s="36"/>
      <c r="F1903" s="36"/>
      <c r="G1903" s="36"/>
    </row>
    <row r="1904" spans="1:7" s="34" customFormat="1" x14ac:dyDescent="0.35">
      <c r="A1904" s="36"/>
      <c r="B1904" s="36"/>
      <c r="C1904" s="36"/>
      <c r="D1904" s="36"/>
      <c r="E1904" s="36"/>
      <c r="F1904" s="36"/>
      <c r="G1904" s="36"/>
    </row>
    <row r="1905" spans="1:7" s="34" customFormat="1" x14ac:dyDescent="0.35">
      <c r="A1905" s="36"/>
      <c r="B1905" s="36"/>
      <c r="C1905" s="36"/>
      <c r="D1905" s="36"/>
      <c r="E1905" s="36"/>
      <c r="F1905" s="36"/>
      <c r="G1905" s="36"/>
    </row>
    <row r="1906" spans="1:7" s="34" customFormat="1" x14ac:dyDescent="0.35">
      <c r="A1906" s="36"/>
      <c r="B1906" s="36"/>
      <c r="C1906" s="36"/>
      <c r="D1906" s="36"/>
      <c r="E1906" s="36"/>
      <c r="F1906" s="36"/>
      <c r="G1906" s="36"/>
    </row>
    <row r="1907" spans="1:7" s="34" customFormat="1" x14ac:dyDescent="0.35">
      <c r="A1907" s="36"/>
      <c r="B1907" s="36"/>
      <c r="C1907" s="36"/>
      <c r="D1907" s="36"/>
      <c r="E1907" s="36"/>
      <c r="F1907" s="36"/>
      <c r="G1907" s="36"/>
    </row>
    <row r="1908" spans="1:7" s="34" customFormat="1" x14ac:dyDescent="0.35">
      <c r="A1908" s="36"/>
      <c r="B1908" s="36"/>
      <c r="C1908" s="36"/>
      <c r="D1908" s="36"/>
      <c r="E1908" s="36"/>
      <c r="F1908" s="36"/>
      <c r="G1908" s="36"/>
    </row>
    <row r="1909" spans="1:7" s="34" customFormat="1" x14ac:dyDescent="0.35">
      <c r="A1909" s="36"/>
      <c r="B1909" s="36"/>
      <c r="C1909" s="36"/>
      <c r="D1909" s="36"/>
      <c r="E1909" s="36"/>
      <c r="F1909" s="36"/>
      <c r="G1909" s="36"/>
    </row>
    <row r="1910" spans="1:7" s="34" customFormat="1" x14ac:dyDescent="0.35">
      <c r="A1910" s="36"/>
      <c r="B1910" s="36"/>
      <c r="C1910" s="36"/>
      <c r="D1910" s="36"/>
      <c r="E1910" s="36"/>
      <c r="F1910" s="36"/>
      <c r="G1910" s="36"/>
    </row>
    <row r="1911" spans="1:7" s="34" customFormat="1" x14ac:dyDescent="0.35">
      <c r="A1911" s="36"/>
      <c r="B1911" s="36"/>
      <c r="C1911" s="36"/>
      <c r="D1911" s="36"/>
      <c r="E1911" s="36"/>
      <c r="F1911" s="36"/>
      <c r="G1911" s="36"/>
    </row>
    <row r="1912" spans="1:7" s="34" customFormat="1" x14ac:dyDescent="0.35">
      <c r="A1912" s="36"/>
      <c r="B1912" s="36"/>
      <c r="C1912" s="36"/>
      <c r="D1912" s="36"/>
      <c r="E1912" s="36"/>
      <c r="F1912" s="36"/>
      <c r="G1912" s="36"/>
    </row>
    <row r="1913" spans="1:7" s="34" customFormat="1" x14ac:dyDescent="0.35">
      <c r="A1913" s="36"/>
      <c r="B1913" s="36"/>
      <c r="C1913" s="36"/>
      <c r="D1913" s="36"/>
      <c r="E1913" s="36"/>
      <c r="F1913" s="36"/>
      <c r="G1913" s="36"/>
    </row>
    <row r="1914" spans="1:7" s="34" customFormat="1" x14ac:dyDescent="0.35">
      <c r="A1914" s="36"/>
      <c r="B1914" s="36"/>
      <c r="C1914" s="36"/>
      <c r="D1914" s="36"/>
      <c r="E1914" s="36"/>
      <c r="F1914" s="36"/>
      <c r="G1914" s="36"/>
    </row>
    <row r="1915" spans="1:7" s="34" customFormat="1" x14ac:dyDescent="0.35">
      <c r="A1915" s="36"/>
      <c r="B1915" s="36"/>
      <c r="C1915" s="36"/>
      <c r="D1915" s="36"/>
      <c r="E1915" s="36"/>
      <c r="F1915" s="36"/>
      <c r="G1915" s="36"/>
    </row>
    <row r="1916" spans="1:7" s="34" customFormat="1" x14ac:dyDescent="0.35">
      <c r="A1916" s="36"/>
      <c r="B1916" s="36"/>
      <c r="C1916" s="36"/>
      <c r="D1916" s="36"/>
      <c r="E1916" s="36"/>
      <c r="F1916" s="36"/>
      <c r="G1916" s="36"/>
    </row>
    <row r="1917" spans="1:7" s="34" customFormat="1" x14ac:dyDescent="0.35">
      <c r="A1917" s="36"/>
      <c r="B1917" s="36"/>
      <c r="C1917" s="36"/>
      <c r="D1917" s="36"/>
      <c r="E1917" s="36"/>
      <c r="F1917" s="36"/>
      <c r="G1917" s="36"/>
    </row>
    <row r="1918" spans="1:7" s="34" customFormat="1" x14ac:dyDescent="0.35">
      <c r="A1918" s="36"/>
      <c r="B1918" s="36"/>
      <c r="C1918" s="36"/>
      <c r="D1918" s="36"/>
      <c r="E1918" s="36"/>
      <c r="F1918" s="36"/>
      <c r="G1918" s="36"/>
    </row>
    <row r="1919" spans="1:7" s="34" customFormat="1" x14ac:dyDescent="0.35">
      <c r="A1919" s="36"/>
      <c r="B1919" s="36"/>
      <c r="C1919" s="36"/>
      <c r="D1919" s="36"/>
      <c r="E1919" s="36"/>
      <c r="F1919" s="36"/>
      <c r="G1919" s="36"/>
    </row>
    <row r="1920" spans="1:7" s="34" customFormat="1" x14ac:dyDescent="0.35">
      <c r="A1920" s="36"/>
      <c r="B1920" s="36"/>
      <c r="C1920" s="36"/>
      <c r="D1920" s="36"/>
      <c r="E1920" s="36"/>
      <c r="F1920" s="36"/>
      <c r="G1920" s="36"/>
    </row>
    <row r="1921" spans="1:7" s="34" customFormat="1" x14ac:dyDescent="0.35">
      <c r="A1921" s="36"/>
      <c r="B1921" s="36"/>
      <c r="C1921" s="36"/>
      <c r="D1921" s="36"/>
      <c r="E1921" s="36"/>
      <c r="F1921" s="36"/>
      <c r="G1921" s="36"/>
    </row>
    <row r="1922" spans="1:7" s="34" customFormat="1" x14ac:dyDescent="0.35">
      <c r="A1922" s="36"/>
      <c r="B1922" s="36"/>
      <c r="C1922" s="36"/>
      <c r="D1922" s="36"/>
      <c r="E1922" s="36"/>
      <c r="F1922" s="36"/>
      <c r="G1922" s="36"/>
    </row>
    <row r="1923" spans="1:7" s="34" customFormat="1" x14ac:dyDescent="0.35">
      <c r="A1923" s="36"/>
      <c r="B1923" s="36"/>
      <c r="C1923" s="36"/>
      <c r="D1923" s="36"/>
      <c r="E1923" s="36"/>
      <c r="F1923" s="36"/>
      <c r="G1923" s="36"/>
    </row>
    <row r="1924" spans="1:7" s="34" customFormat="1" x14ac:dyDescent="0.35">
      <c r="A1924" s="36"/>
      <c r="B1924" s="36"/>
      <c r="C1924" s="36"/>
      <c r="D1924" s="36"/>
      <c r="E1924" s="36"/>
      <c r="F1924" s="36"/>
      <c r="G1924" s="36"/>
    </row>
    <row r="1925" spans="1:7" s="34" customFormat="1" x14ac:dyDescent="0.35">
      <c r="A1925" s="36"/>
      <c r="B1925" s="36"/>
      <c r="C1925" s="36"/>
      <c r="D1925" s="36"/>
      <c r="E1925" s="36"/>
      <c r="F1925" s="36"/>
      <c r="G1925" s="36"/>
    </row>
    <row r="1926" spans="1:7" s="34" customFormat="1" x14ac:dyDescent="0.35">
      <c r="A1926" s="36"/>
      <c r="B1926" s="36"/>
      <c r="C1926" s="36"/>
      <c r="D1926" s="36"/>
      <c r="E1926" s="36"/>
      <c r="F1926" s="36"/>
      <c r="G1926" s="36"/>
    </row>
    <row r="1927" spans="1:7" s="34" customFormat="1" x14ac:dyDescent="0.35">
      <c r="A1927" s="36"/>
      <c r="B1927" s="36"/>
      <c r="C1927" s="36"/>
      <c r="D1927" s="36"/>
      <c r="E1927" s="36"/>
      <c r="F1927" s="36"/>
      <c r="G1927" s="36"/>
    </row>
    <row r="1928" spans="1:7" s="34" customFormat="1" x14ac:dyDescent="0.35">
      <c r="A1928" s="36"/>
      <c r="B1928" s="36"/>
      <c r="C1928" s="36"/>
      <c r="D1928" s="36"/>
      <c r="E1928" s="36"/>
      <c r="F1928" s="36"/>
      <c r="G1928" s="36"/>
    </row>
    <row r="1929" spans="1:7" s="34" customFormat="1" x14ac:dyDescent="0.35">
      <c r="A1929" s="36"/>
      <c r="B1929" s="36"/>
      <c r="C1929" s="36"/>
      <c r="D1929" s="36"/>
      <c r="E1929" s="36"/>
      <c r="F1929" s="36"/>
      <c r="G1929" s="36"/>
    </row>
    <row r="1930" spans="1:7" s="34" customFormat="1" x14ac:dyDescent="0.35">
      <c r="A1930" s="36"/>
      <c r="B1930" s="36"/>
      <c r="C1930" s="36"/>
      <c r="D1930" s="36"/>
      <c r="E1930" s="36"/>
      <c r="F1930" s="36"/>
      <c r="G1930" s="36"/>
    </row>
    <row r="1931" spans="1:7" s="34" customFormat="1" x14ac:dyDescent="0.35">
      <c r="A1931" s="36"/>
      <c r="B1931" s="36"/>
      <c r="C1931" s="36"/>
      <c r="D1931" s="36"/>
      <c r="E1931" s="36"/>
      <c r="F1931" s="36"/>
      <c r="G1931" s="36"/>
    </row>
    <row r="1932" spans="1:7" s="34" customFormat="1" x14ac:dyDescent="0.35">
      <c r="A1932" s="36"/>
      <c r="B1932" s="36"/>
      <c r="C1932" s="36"/>
      <c r="D1932" s="36"/>
      <c r="E1932" s="36"/>
      <c r="F1932" s="36"/>
      <c r="G1932" s="36"/>
    </row>
    <row r="1933" spans="1:7" s="34" customFormat="1" x14ac:dyDescent="0.35">
      <c r="A1933" s="36"/>
      <c r="B1933" s="36"/>
      <c r="C1933" s="36"/>
      <c r="D1933" s="36"/>
      <c r="E1933" s="36"/>
      <c r="F1933" s="36"/>
      <c r="G1933" s="36"/>
    </row>
    <row r="1934" spans="1:7" s="34" customFormat="1" x14ac:dyDescent="0.35">
      <c r="A1934" s="36"/>
      <c r="B1934" s="36"/>
      <c r="C1934" s="36"/>
      <c r="D1934" s="36"/>
      <c r="E1934" s="36"/>
      <c r="F1934" s="36"/>
      <c r="G1934" s="36"/>
    </row>
    <row r="1935" spans="1:7" s="34" customFormat="1" x14ac:dyDescent="0.35">
      <c r="A1935" s="36"/>
      <c r="B1935" s="36"/>
      <c r="C1935" s="36"/>
      <c r="D1935" s="36"/>
      <c r="E1935" s="36"/>
      <c r="F1935" s="36"/>
      <c r="G1935" s="36"/>
    </row>
    <row r="1936" spans="1:7" s="34" customFormat="1" x14ac:dyDescent="0.35">
      <c r="A1936" s="36"/>
      <c r="B1936" s="36"/>
      <c r="C1936" s="36"/>
      <c r="D1936" s="36"/>
      <c r="E1936" s="36"/>
      <c r="F1936" s="36"/>
      <c r="G1936" s="36"/>
    </row>
    <row r="1937" spans="1:7" s="34" customFormat="1" x14ac:dyDescent="0.35">
      <c r="A1937" s="36"/>
      <c r="B1937" s="36"/>
      <c r="C1937" s="36"/>
      <c r="D1937" s="36"/>
      <c r="E1937" s="36"/>
      <c r="F1937" s="36"/>
      <c r="G1937" s="36"/>
    </row>
    <row r="1938" spans="1:7" s="34" customFormat="1" x14ac:dyDescent="0.35">
      <c r="A1938" s="36"/>
      <c r="B1938" s="36"/>
      <c r="C1938" s="36"/>
      <c r="D1938" s="36"/>
      <c r="E1938" s="36"/>
      <c r="F1938" s="36"/>
      <c r="G1938" s="36"/>
    </row>
    <row r="1939" spans="1:7" s="34" customFormat="1" x14ac:dyDescent="0.35">
      <c r="A1939" s="36"/>
      <c r="B1939" s="36"/>
      <c r="C1939" s="36"/>
      <c r="D1939" s="36"/>
      <c r="E1939" s="36"/>
      <c r="F1939" s="36"/>
      <c r="G1939" s="36"/>
    </row>
    <row r="1940" spans="1:7" s="34" customFormat="1" x14ac:dyDescent="0.35">
      <c r="A1940" s="36"/>
      <c r="B1940" s="36"/>
      <c r="C1940" s="36"/>
      <c r="D1940" s="36"/>
      <c r="E1940" s="36"/>
      <c r="F1940" s="36"/>
      <c r="G1940" s="36"/>
    </row>
    <row r="1941" spans="1:7" s="34" customFormat="1" x14ac:dyDescent="0.35">
      <c r="A1941" s="36"/>
      <c r="B1941" s="36"/>
      <c r="C1941" s="36"/>
      <c r="D1941" s="36"/>
      <c r="E1941" s="36"/>
      <c r="F1941" s="36"/>
      <c r="G1941" s="36"/>
    </row>
    <row r="1942" spans="1:7" s="34" customFormat="1" x14ac:dyDescent="0.35">
      <c r="A1942" s="36"/>
      <c r="B1942" s="36"/>
      <c r="C1942" s="36"/>
      <c r="D1942" s="36"/>
      <c r="E1942" s="36"/>
      <c r="F1942" s="36"/>
      <c r="G1942" s="36"/>
    </row>
    <row r="1943" spans="1:7" s="34" customFormat="1" x14ac:dyDescent="0.35">
      <c r="A1943" s="36"/>
      <c r="B1943" s="36"/>
      <c r="C1943" s="36"/>
      <c r="D1943" s="36"/>
      <c r="E1943" s="36"/>
      <c r="F1943" s="36"/>
      <c r="G1943" s="36"/>
    </row>
    <row r="1944" spans="1:7" s="34" customFormat="1" x14ac:dyDescent="0.35">
      <c r="A1944" s="36"/>
      <c r="B1944" s="36"/>
      <c r="C1944" s="36"/>
      <c r="D1944" s="36"/>
      <c r="E1944" s="36"/>
      <c r="F1944" s="36"/>
      <c r="G1944" s="36"/>
    </row>
    <row r="1945" spans="1:7" s="34" customFormat="1" x14ac:dyDescent="0.35">
      <c r="A1945" s="36"/>
      <c r="B1945" s="36"/>
      <c r="C1945" s="36"/>
      <c r="D1945" s="36"/>
      <c r="E1945" s="36"/>
      <c r="F1945" s="36"/>
      <c r="G1945" s="36"/>
    </row>
    <row r="1946" spans="1:7" s="34" customFormat="1" x14ac:dyDescent="0.35">
      <c r="A1946" s="36"/>
      <c r="B1946" s="36"/>
      <c r="C1946" s="36"/>
      <c r="D1946" s="36"/>
      <c r="E1946" s="36"/>
      <c r="F1946" s="36"/>
      <c r="G1946" s="36"/>
    </row>
    <row r="1947" spans="1:7" s="34" customFormat="1" x14ac:dyDescent="0.35">
      <c r="A1947" s="36"/>
      <c r="B1947" s="36"/>
      <c r="C1947" s="36"/>
      <c r="D1947" s="36"/>
      <c r="E1947" s="36"/>
      <c r="F1947" s="36"/>
      <c r="G1947" s="36"/>
    </row>
    <row r="1948" spans="1:7" s="34" customFormat="1" x14ac:dyDescent="0.35">
      <c r="A1948" s="36"/>
      <c r="B1948" s="36"/>
      <c r="C1948" s="36"/>
      <c r="D1948" s="36"/>
      <c r="E1948" s="36"/>
      <c r="F1948" s="36"/>
      <c r="G1948" s="36"/>
    </row>
    <row r="1949" spans="1:7" s="34" customFormat="1" x14ac:dyDescent="0.35">
      <c r="A1949" s="36"/>
      <c r="B1949" s="36"/>
      <c r="C1949" s="36"/>
      <c r="D1949" s="36"/>
      <c r="E1949" s="36"/>
      <c r="F1949" s="36"/>
      <c r="G1949" s="36"/>
    </row>
    <row r="1950" spans="1:7" s="34" customFormat="1" x14ac:dyDescent="0.35">
      <c r="A1950" s="36"/>
      <c r="B1950" s="36"/>
      <c r="C1950" s="36"/>
      <c r="D1950" s="36"/>
      <c r="E1950" s="36"/>
      <c r="F1950" s="36"/>
      <c r="G1950" s="36"/>
    </row>
    <row r="1951" spans="1:7" s="34" customFormat="1" x14ac:dyDescent="0.35">
      <c r="A1951" s="36"/>
      <c r="B1951" s="36"/>
      <c r="C1951" s="36"/>
      <c r="D1951" s="36"/>
      <c r="E1951" s="36"/>
      <c r="F1951" s="36"/>
      <c r="G1951" s="36"/>
    </row>
    <row r="1952" spans="1:7" s="34" customFormat="1" x14ac:dyDescent="0.35">
      <c r="A1952" s="36"/>
      <c r="B1952" s="36"/>
      <c r="C1952" s="36"/>
      <c r="D1952" s="36"/>
      <c r="E1952" s="36"/>
      <c r="F1952" s="36"/>
      <c r="G1952" s="36"/>
    </row>
    <row r="1953" spans="1:7" s="34" customFormat="1" x14ac:dyDescent="0.35">
      <c r="A1953" s="36"/>
      <c r="B1953" s="36"/>
      <c r="C1953" s="36"/>
      <c r="D1953" s="36"/>
      <c r="E1953" s="36"/>
      <c r="F1953" s="36"/>
      <c r="G1953" s="36"/>
    </row>
    <row r="1954" spans="1:7" s="34" customFormat="1" x14ac:dyDescent="0.35">
      <c r="A1954" s="36"/>
      <c r="B1954" s="36"/>
      <c r="C1954" s="36"/>
      <c r="D1954" s="36"/>
      <c r="E1954" s="36"/>
      <c r="F1954" s="36"/>
      <c r="G1954" s="36"/>
    </row>
    <row r="1955" spans="1:7" s="34" customFormat="1" x14ac:dyDescent="0.35">
      <c r="A1955" s="36"/>
      <c r="B1955" s="36"/>
      <c r="C1955" s="36"/>
      <c r="D1955" s="36"/>
      <c r="E1955" s="36"/>
      <c r="F1955" s="36"/>
      <c r="G1955" s="36"/>
    </row>
    <row r="1956" spans="1:7" s="34" customFormat="1" x14ac:dyDescent="0.35">
      <c r="A1956" s="36"/>
      <c r="B1956" s="36"/>
      <c r="C1956" s="36"/>
      <c r="D1956" s="36"/>
      <c r="E1956" s="36"/>
      <c r="F1956" s="36"/>
      <c r="G1956" s="36"/>
    </row>
    <row r="1957" spans="1:7" s="34" customFormat="1" x14ac:dyDescent="0.35">
      <c r="A1957" s="36"/>
      <c r="B1957" s="36"/>
      <c r="C1957" s="36"/>
      <c r="D1957" s="36"/>
      <c r="E1957" s="36"/>
      <c r="F1957" s="36"/>
      <c r="G1957" s="36"/>
    </row>
    <row r="1958" spans="1:7" s="34" customFormat="1" x14ac:dyDescent="0.35">
      <c r="A1958" s="36"/>
      <c r="B1958" s="36"/>
      <c r="C1958" s="36"/>
      <c r="D1958" s="36"/>
      <c r="E1958" s="36"/>
      <c r="F1958" s="36"/>
      <c r="G1958" s="36"/>
    </row>
    <row r="1959" spans="1:7" s="34" customFormat="1" x14ac:dyDescent="0.35">
      <c r="A1959" s="36"/>
      <c r="B1959" s="36"/>
      <c r="C1959" s="36"/>
      <c r="D1959" s="36"/>
      <c r="E1959" s="36"/>
      <c r="F1959" s="36"/>
      <c r="G1959" s="36"/>
    </row>
    <row r="1960" spans="1:7" s="34" customFormat="1" x14ac:dyDescent="0.35">
      <c r="A1960" s="36"/>
      <c r="B1960" s="36"/>
      <c r="C1960" s="36"/>
      <c r="D1960" s="36"/>
      <c r="E1960" s="36"/>
      <c r="F1960" s="36"/>
      <c r="G1960" s="36"/>
    </row>
    <row r="1961" spans="1:7" s="34" customFormat="1" x14ac:dyDescent="0.35">
      <c r="A1961" s="36"/>
      <c r="B1961" s="36"/>
      <c r="C1961" s="36"/>
      <c r="D1961" s="36"/>
      <c r="E1961" s="36"/>
      <c r="F1961" s="36"/>
      <c r="G1961" s="36"/>
    </row>
    <row r="1962" spans="1:7" s="34" customFormat="1" x14ac:dyDescent="0.35">
      <c r="A1962" s="36"/>
      <c r="B1962" s="36"/>
      <c r="C1962" s="36"/>
      <c r="D1962" s="36"/>
      <c r="E1962" s="36"/>
      <c r="F1962" s="36"/>
      <c r="G1962" s="36"/>
    </row>
    <row r="1963" spans="1:7" s="34" customFormat="1" x14ac:dyDescent="0.35">
      <c r="A1963" s="36"/>
      <c r="B1963" s="36"/>
      <c r="C1963" s="36"/>
      <c r="D1963" s="36"/>
      <c r="E1963" s="36"/>
      <c r="F1963" s="36"/>
      <c r="G1963" s="36"/>
    </row>
    <row r="1964" spans="1:7" s="34" customFormat="1" x14ac:dyDescent="0.35">
      <c r="A1964" s="36"/>
      <c r="B1964" s="36"/>
      <c r="C1964" s="36"/>
      <c r="D1964" s="36"/>
      <c r="E1964" s="36"/>
      <c r="F1964" s="36"/>
      <c r="G1964" s="36"/>
    </row>
    <row r="1965" spans="1:7" s="34" customFormat="1" x14ac:dyDescent="0.35">
      <c r="A1965" s="36"/>
      <c r="B1965" s="36"/>
      <c r="C1965" s="36"/>
      <c r="D1965" s="36"/>
      <c r="E1965" s="36"/>
      <c r="F1965" s="36"/>
      <c r="G1965" s="36"/>
    </row>
    <row r="1966" spans="1:7" s="34" customFormat="1" x14ac:dyDescent="0.35">
      <c r="A1966" s="36"/>
      <c r="B1966" s="36"/>
      <c r="C1966" s="36"/>
      <c r="D1966" s="36"/>
      <c r="E1966" s="36"/>
      <c r="F1966" s="36"/>
      <c r="G1966" s="36"/>
    </row>
    <row r="1967" spans="1:7" s="34" customFormat="1" x14ac:dyDescent="0.35">
      <c r="A1967" s="36"/>
      <c r="B1967" s="36"/>
      <c r="C1967" s="36"/>
      <c r="D1967" s="36"/>
      <c r="E1967" s="36"/>
      <c r="F1967" s="36"/>
      <c r="G1967" s="36"/>
    </row>
    <row r="1968" spans="1:7" s="34" customFormat="1" x14ac:dyDescent="0.35">
      <c r="A1968" s="36"/>
      <c r="B1968" s="36"/>
      <c r="C1968" s="36"/>
      <c r="D1968" s="36"/>
      <c r="E1968" s="36"/>
      <c r="F1968" s="36"/>
      <c r="G1968" s="36"/>
    </row>
    <row r="1969" spans="1:7" s="34" customFormat="1" x14ac:dyDescent="0.35">
      <c r="A1969" s="36"/>
      <c r="B1969" s="36"/>
      <c r="C1969" s="36"/>
      <c r="D1969" s="36"/>
      <c r="E1969" s="36"/>
      <c r="F1969" s="36"/>
      <c r="G1969" s="36"/>
    </row>
    <row r="1970" spans="1:7" s="34" customFormat="1" x14ac:dyDescent="0.35">
      <c r="A1970" s="36"/>
      <c r="B1970" s="36"/>
      <c r="C1970" s="36"/>
      <c r="D1970" s="36"/>
      <c r="E1970" s="36"/>
      <c r="F1970" s="36"/>
      <c r="G1970" s="36"/>
    </row>
    <row r="1971" spans="1:7" s="34" customFormat="1" x14ac:dyDescent="0.35">
      <c r="A1971" s="36"/>
      <c r="B1971" s="36"/>
      <c r="C1971" s="36"/>
      <c r="D1971" s="36"/>
      <c r="E1971" s="36"/>
      <c r="F1971" s="36"/>
      <c r="G1971" s="36"/>
    </row>
    <row r="1972" spans="1:7" s="34" customFormat="1" x14ac:dyDescent="0.35">
      <c r="A1972" s="36"/>
      <c r="B1972" s="36"/>
      <c r="C1972" s="36"/>
      <c r="D1972" s="36"/>
      <c r="E1972" s="36"/>
      <c r="F1972" s="36"/>
      <c r="G1972" s="36"/>
    </row>
    <row r="1973" spans="1:7" s="34" customFormat="1" x14ac:dyDescent="0.35">
      <c r="A1973" s="36"/>
      <c r="B1973" s="36"/>
      <c r="C1973" s="36"/>
      <c r="D1973" s="36"/>
      <c r="E1973" s="36"/>
      <c r="F1973" s="36"/>
      <c r="G1973" s="36"/>
    </row>
    <row r="1974" spans="1:7" s="34" customFormat="1" x14ac:dyDescent="0.35">
      <c r="A1974" s="36"/>
      <c r="B1974" s="36"/>
      <c r="C1974" s="36"/>
      <c r="D1974" s="36"/>
      <c r="E1974" s="36"/>
      <c r="F1974" s="36"/>
      <c r="G1974" s="36"/>
    </row>
    <row r="1975" spans="1:7" s="34" customFormat="1" x14ac:dyDescent="0.35">
      <c r="A1975" s="36"/>
      <c r="B1975" s="36"/>
      <c r="C1975" s="36"/>
      <c r="D1975" s="36"/>
      <c r="E1975" s="36"/>
      <c r="F1975" s="36"/>
      <c r="G1975" s="36"/>
    </row>
    <row r="1976" spans="1:7" s="34" customFormat="1" x14ac:dyDescent="0.35">
      <c r="A1976" s="36"/>
      <c r="B1976" s="36"/>
      <c r="C1976" s="36"/>
      <c r="D1976" s="36"/>
      <c r="E1976" s="36"/>
      <c r="F1976" s="36"/>
      <c r="G1976" s="36"/>
    </row>
    <row r="1977" spans="1:7" s="34" customFormat="1" x14ac:dyDescent="0.35">
      <c r="A1977" s="36"/>
      <c r="B1977" s="36"/>
      <c r="C1977" s="36"/>
      <c r="D1977" s="36"/>
      <c r="E1977" s="36"/>
      <c r="F1977" s="36"/>
      <c r="G1977" s="36"/>
    </row>
    <row r="1978" spans="1:7" s="34" customFormat="1" x14ac:dyDescent="0.35">
      <c r="A1978" s="36"/>
      <c r="B1978" s="36"/>
      <c r="C1978" s="36"/>
      <c r="D1978" s="36"/>
      <c r="E1978" s="36"/>
      <c r="F1978" s="36"/>
      <c r="G1978" s="36"/>
    </row>
    <row r="1979" spans="1:7" s="34" customFormat="1" x14ac:dyDescent="0.35">
      <c r="A1979" s="36"/>
      <c r="B1979" s="36"/>
      <c r="C1979" s="36"/>
      <c r="D1979" s="36"/>
      <c r="E1979" s="36"/>
      <c r="F1979" s="36"/>
      <c r="G1979" s="36"/>
    </row>
    <row r="1980" spans="1:7" s="34" customFormat="1" x14ac:dyDescent="0.35">
      <c r="A1980" s="36"/>
      <c r="B1980" s="36"/>
      <c r="C1980" s="36"/>
      <c r="D1980" s="36"/>
      <c r="E1980" s="36"/>
      <c r="F1980" s="36"/>
      <c r="G1980" s="36"/>
    </row>
    <row r="1981" spans="1:7" s="34" customFormat="1" x14ac:dyDescent="0.35">
      <c r="A1981" s="36"/>
      <c r="B1981" s="36"/>
      <c r="C1981" s="36"/>
      <c r="D1981" s="36"/>
      <c r="E1981" s="36"/>
      <c r="F1981" s="36"/>
      <c r="G1981" s="36"/>
    </row>
    <row r="1982" spans="1:7" s="34" customFormat="1" x14ac:dyDescent="0.35">
      <c r="A1982" s="36"/>
      <c r="B1982" s="36"/>
      <c r="C1982" s="36"/>
      <c r="D1982" s="36"/>
      <c r="E1982" s="36"/>
      <c r="F1982" s="36"/>
      <c r="G1982" s="36"/>
    </row>
    <row r="1983" spans="1:7" s="34" customFormat="1" x14ac:dyDescent="0.35">
      <c r="A1983" s="36"/>
      <c r="B1983" s="36"/>
      <c r="C1983" s="36"/>
      <c r="D1983" s="36"/>
      <c r="E1983" s="36"/>
      <c r="F1983" s="36"/>
      <c r="G1983" s="36"/>
    </row>
    <row r="1984" spans="1:7" s="34" customFormat="1" x14ac:dyDescent="0.35">
      <c r="A1984" s="36"/>
      <c r="B1984" s="36"/>
      <c r="C1984" s="36"/>
      <c r="D1984" s="36"/>
      <c r="E1984" s="36"/>
      <c r="F1984" s="36"/>
      <c r="G1984" s="36"/>
    </row>
    <row r="1985" spans="1:7" s="34" customFormat="1" x14ac:dyDescent="0.35">
      <c r="A1985" s="36"/>
      <c r="B1985" s="36"/>
      <c r="C1985" s="36"/>
      <c r="D1985" s="36"/>
      <c r="E1985" s="36"/>
      <c r="F1985" s="36"/>
      <c r="G1985" s="36"/>
    </row>
    <row r="1986" spans="1:7" s="34" customFormat="1" x14ac:dyDescent="0.35">
      <c r="A1986" s="36"/>
      <c r="B1986" s="36"/>
      <c r="C1986" s="36"/>
      <c r="D1986" s="36"/>
      <c r="E1986" s="36"/>
      <c r="F1986" s="36"/>
      <c r="G1986" s="36"/>
    </row>
    <row r="1987" spans="1:7" s="34" customFormat="1" x14ac:dyDescent="0.35">
      <c r="A1987" s="36"/>
      <c r="B1987" s="36"/>
      <c r="C1987" s="36"/>
      <c r="D1987" s="36"/>
      <c r="E1987" s="36"/>
      <c r="F1987" s="36"/>
      <c r="G1987" s="36"/>
    </row>
    <row r="1988" spans="1:7" s="34" customFormat="1" x14ac:dyDescent="0.35">
      <c r="A1988" s="36"/>
      <c r="B1988" s="36"/>
      <c r="C1988" s="36"/>
      <c r="D1988" s="36"/>
      <c r="E1988" s="36"/>
      <c r="F1988" s="36"/>
      <c r="G1988" s="36"/>
    </row>
    <row r="1989" spans="1:7" s="34" customFormat="1" x14ac:dyDescent="0.35">
      <c r="A1989" s="36"/>
      <c r="B1989" s="36"/>
      <c r="C1989" s="36"/>
      <c r="D1989" s="36"/>
      <c r="E1989" s="36"/>
      <c r="F1989" s="36"/>
      <c r="G1989" s="36"/>
    </row>
    <row r="1990" spans="1:7" s="34" customFormat="1" x14ac:dyDescent="0.35">
      <c r="A1990" s="36"/>
      <c r="B1990" s="36"/>
      <c r="C1990" s="36"/>
      <c r="D1990" s="36"/>
      <c r="E1990" s="36"/>
      <c r="F1990" s="36"/>
      <c r="G1990" s="36"/>
    </row>
    <row r="1991" spans="1:7" s="34" customFormat="1" x14ac:dyDescent="0.35">
      <c r="A1991" s="36"/>
      <c r="B1991" s="36"/>
      <c r="C1991" s="36"/>
      <c r="D1991" s="36"/>
      <c r="E1991" s="36"/>
      <c r="F1991" s="36"/>
      <c r="G1991" s="36"/>
    </row>
    <row r="1992" spans="1:7" s="34" customFormat="1" x14ac:dyDescent="0.35">
      <c r="A1992" s="36"/>
      <c r="B1992" s="36"/>
      <c r="C1992" s="36"/>
      <c r="D1992" s="36"/>
      <c r="E1992" s="36"/>
      <c r="F1992" s="36"/>
      <c r="G1992" s="36"/>
    </row>
    <row r="1993" spans="1:7" s="34" customFormat="1" x14ac:dyDescent="0.35">
      <c r="A1993" s="36"/>
      <c r="B1993" s="36"/>
      <c r="C1993" s="36"/>
      <c r="D1993" s="36"/>
      <c r="E1993" s="36"/>
      <c r="F1993" s="36"/>
      <c r="G1993" s="36"/>
    </row>
    <row r="1994" spans="1:7" s="34" customFormat="1" x14ac:dyDescent="0.35">
      <c r="A1994" s="36"/>
      <c r="B1994" s="36"/>
      <c r="C1994" s="36"/>
      <c r="D1994" s="36"/>
      <c r="E1994" s="36"/>
      <c r="F1994" s="36"/>
      <c r="G1994" s="36"/>
    </row>
    <row r="1995" spans="1:7" s="34" customFormat="1" x14ac:dyDescent="0.35">
      <c r="A1995" s="36"/>
      <c r="B1995" s="36"/>
      <c r="C1995" s="36"/>
      <c r="D1995" s="36"/>
      <c r="E1995" s="36"/>
      <c r="F1995" s="36"/>
      <c r="G1995" s="36"/>
    </row>
    <row r="1996" spans="1:7" s="34" customFormat="1" x14ac:dyDescent="0.35">
      <c r="A1996" s="36"/>
      <c r="B1996" s="36"/>
      <c r="C1996" s="36"/>
      <c r="D1996" s="36"/>
      <c r="E1996" s="36"/>
      <c r="F1996" s="36"/>
      <c r="G1996" s="36"/>
    </row>
    <row r="1997" spans="1:7" s="34" customFormat="1" x14ac:dyDescent="0.35">
      <c r="A1997" s="36"/>
      <c r="B1997" s="36"/>
      <c r="C1997" s="36"/>
      <c r="D1997" s="36"/>
      <c r="E1997" s="36"/>
      <c r="F1997" s="36"/>
      <c r="G1997" s="36"/>
    </row>
    <row r="1998" spans="1:7" s="34" customFormat="1" x14ac:dyDescent="0.35">
      <c r="A1998" s="36"/>
      <c r="B1998" s="36"/>
      <c r="C1998" s="36"/>
      <c r="D1998" s="36"/>
      <c r="E1998" s="36"/>
      <c r="F1998" s="36"/>
      <c r="G1998" s="36"/>
    </row>
    <row r="1999" spans="1:7" s="34" customFormat="1" x14ac:dyDescent="0.35">
      <c r="A1999" s="36"/>
      <c r="B1999" s="36"/>
      <c r="C1999" s="36"/>
      <c r="D1999" s="36"/>
      <c r="E1999" s="36"/>
      <c r="F1999" s="36"/>
      <c r="G1999" s="36"/>
    </row>
    <row r="2000" spans="1:7" s="34" customFormat="1" x14ac:dyDescent="0.35">
      <c r="A2000" s="36"/>
      <c r="B2000" s="36"/>
      <c r="C2000" s="36"/>
      <c r="D2000" s="36"/>
      <c r="E2000" s="36"/>
      <c r="F2000" s="36"/>
      <c r="G2000" s="36"/>
    </row>
    <row r="2001" spans="1:7" s="34" customFormat="1" x14ac:dyDescent="0.35">
      <c r="A2001" s="36"/>
      <c r="B2001" s="36"/>
      <c r="C2001" s="36"/>
      <c r="D2001" s="36"/>
      <c r="E2001" s="36"/>
      <c r="F2001" s="36"/>
      <c r="G2001" s="36"/>
    </row>
    <row r="2002" spans="1:7" s="34" customFormat="1" x14ac:dyDescent="0.35">
      <c r="A2002" s="36"/>
      <c r="B2002" s="36"/>
      <c r="C2002" s="36"/>
      <c r="D2002" s="36"/>
      <c r="E2002" s="36"/>
      <c r="F2002" s="36"/>
      <c r="G2002" s="36"/>
    </row>
    <row r="2003" spans="1:7" s="34" customFormat="1" x14ac:dyDescent="0.35">
      <c r="A2003" s="36"/>
      <c r="B2003" s="36"/>
      <c r="C2003" s="36"/>
      <c r="D2003" s="36"/>
      <c r="E2003" s="36"/>
      <c r="F2003" s="36"/>
      <c r="G2003" s="36"/>
    </row>
    <row r="2004" spans="1:7" s="34" customFormat="1" x14ac:dyDescent="0.35">
      <c r="A2004" s="36"/>
      <c r="B2004" s="36"/>
      <c r="C2004" s="36"/>
      <c r="D2004" s="36"/>
      <c r="E2004" s="36"/>
      <c r="F2004" s="36"/>
      <c r="G2004" s="36"/>
    </row>
    <row r="2005" spans="1:7" s="34" customFormat="1" x14ac:dyDescent="0.35">
      <c r="A2005" s="36"/>
      <c r="B2005" s="36"/>
      <c r="C2005" s="36"/>
      <c r="D2005" s="36"/>
      <c r="E2005" s="36"/>
      <c r="F2005" s="36"/>
      <c r="G2005" s="36"/>
    </row>
    <row r="2006" spans="1:7" s="34" customFormat="1" x14ac:dyDescent="0.35">
      <c r="A2006" s="36"/>
      <c r="B2006" s="36"/>
      <c r="C2006" s="36"/>
      <c r="D2006" s="36"/>
      <c r="E2006" s="36"/>
      <c r="F2006" s="36"/>
      <c r="G2006" s="36"/>
    </row>
    <row r="2007" spans="1:7" s="34" customFormat="1" x14ac:dyDescent="0.35">
      <c r="A2007" s="36"/>
      <c r="B2007" s="36"/>
      <c r="C2007" s="36"/>
      <c r="D2007" s="36"/>
      <c r="E2007" s="36"/>
      <c r="F2007" s="36"/>
      <c r="G2007" s="36"/>
    </row>
    <row r="2008" spans="1:7" s="34" customFormat="1" x14ac:dyDescent="0.35">
      <c r="A2008" s="36"/>
      <c r="B2008" s="36"/>
      <c r="C2008" s="36"/>
      <c r="D2008" s="36"/>
      <c r="E2008" s="36"/>
      <c r="F2008" s="36"/>
      <c r="G2008" s="36"/>
    </row>
    <row r="2009" spans="1:7" s="34" customFormat="1" x14ac:dyDescent="0.35">
      <c r="A2009" s="36"/>
      <c r="B2009" s="36"/>
      <c r="C2009" s="36"/>
      <c r="D2009" s="36"/>
      <c r="E2009" s="36"/>
      <c r="F2009" s="36"/>
      <c r="G2009" s="36"/>
    </row>
    <row r="2010" spans="1:7" s="34" customFormat="1" x14ac:dyDescent="0.35">
      <c r="A2010" s="36"/>
      <c r="B2010" s="36"/>
      <c r="C2010" s="36"/>
      <c r="D2010" s="36"/>
      <c r="E2010" s="36"/>
      <c r="F2010" s="36"/>
      <c r="G2010" s="36"/>
    </row>
    <row r="2011" spans="1:7" s="34" customFormat="1" x14ac:dyDescent="0.35">
      <c r="A2011" s="36"/>
      <c r="B2011" s="36"/>
      <c r="C2011" s="36"/>
      <c r="D2011" s="36"/>
      <c r="E2011" s="36"/>
      <c r="F2011" s="36"/>
      <c r="G2011" s="36"/>
    </row>
    <row r="2012" spans="1:7" s="34" customFormat="1" x14ac:dyDescent="0.35">
      <c r="A2012" s="36"/>
      <c r="B2012" s="36"/>
      <c r="C2012" s="36"/>
      <c r="D2012" s="36"/>
      <c r="E2012" s="36"/>
      <c r="F2012" s="36"/>
      <c r="G2012" s="36"/>
    </row>
    <row r="2013" spans="1:7" s="34" customFormat="1" x14ac:dyDescent="0.35">
      <c r="A2013" s="36"/>
      <c r="B2013" s="36"/>
      <c r="C2013" s="36"/>
      <c r="D2013" s="36"/>
      <c r="E2013" s="36"/>
      <c r="F2013" s="36"/>
      <c r="G2013" s="36"/>
    </row>
    <row r="2014" spans="1:7" s="34" customFormat="1" x14ac:dyDescent="0.35">
      <c r="A2014" s="36"/>
      <c r="B2014" s="36"/>
      <c r="C2014" s="36"/>
      <c r="D2014" s="36"/>
      <c r="E2014" s="36"/>
      <c r="F2014" s="36"/>
      <c r="G2014" s="36"/>
    </row>
    <row r="2015" spans="1:7" s="34" customFormat="1" x14ac:dyDescent="0.35">
      <c r="A2015" s="36"/>
      <c r="B2015" s="36"/>
      <c r="C2015" s="36"/>
      <c r="D2015" s="36"/>
      <c r="E2015" s="36"/>
      <c r="F2015" s="36"/>
      <c r="G2015" s="36"/>
    </row>
    <row r="2016" spans="1:7" s="34" customFormat="1" x14ac:dyDescent="0.35">
      <c r="A2016" s="36"/>
      <c r="B2016" s="36"/>
      <c r="C2016" s="36"/>
      <c r="D2016" s="36"/>
      <c r="E2016" s="36"/>
      <c r="F2016" s="36"/>
      <c r="G2016" s="36"/>
    </row>
    <row r="2017" spans="1:7" s="34" customFormat="1" x14ac:dyDescent="0.35">
      <c r="A2017" s="36"/>
      <c r="B2017" s="36"/>
      <c r="C2017" s="36"/>
      <c r="D2017" s="36"/>
      <c r="E2017" s="36"/>
      <c r="F2017" s="36"/>
      <c r="G2017" s="36"/>
    </row>
    <row r="2018" spans="1:7" s="34" customFormat="1" x14ac:dyDescent="0.35">
      <c r="A2018" s="36"/>
      <c r="B2018" s="36"/>
      <c r="C2018" s="36"/>
      <c r="D2018" s="36"/>
      <c r="E2018" s="36"/>
      <c r="F2018" s="36"/>
      <c r="G2018" s="36"/>
    </row>
    <row r="2019" spans="1:7" s="34" customFormat="1" x14ac:dyDescent="0.35">
      <c r="A2019" s="36"/>
      <c r="B2019" s="36"/>
      <c r="C2019" s="36"/>
      <c r="D2019" s="36"/>
      <c r="E2019" s="36"/>
      <c r="F2019" s="36"/>
      <c r="G2019" s="36"/>
    </row>
    <row r="2020" spans="1:7" s="34" customFormat="1" x14ac:dyDescent="0.35">
      <c r="A2020" s="36"/>
      <c r="B2020" s="36"/>
      <c r="C2020" s="36"/>
      <c r="D2020" s="36"/>
      <c r="E2020" s="36"/>
      <c r="F2020" s="36"/>
      <c r="G2020" s="36"/>
    </row>
    <row r="2021" spans="1:7" s="34" customFormat="1" x14ac:dyDescent="0.35">
      <c r="A2021" s="36"/>
      <c r="B2021" s="36"/>
      <c r="C2021" s="36"/>
      <c r="D2021" s="36"/>
      <c r="E2021" s="36"/>
      <c r="F2021" s="36"/>
      <c r="G2021" s="36"/>
    </row>
    <row r="2022" spans="1:7" s="34" customFormat="1" x14ac:dyDescent="0.35">
      <c r="A2022" s="36"/>
      <c r="B2022" s="36"/>
      <c r="C2022" s="36"/>
      <c r="D2022" s="36"/>
      <c r="E2022" s="36"/>
      <c r="F2022" s="36"/>
      <c r="G2022" s="36"/>
    </row>
    <row r="2023" spans="1:7" s="34" customFormat="1" x14ac:dyDescent="0.35">
      <c r="A2023" s="36"/>
      <c r="B2023" s="36"/>
      <c r="C2023" s="36"/>
      <c r="D2023" s="36"/>
      <c r="E2023" s="36"/>
      <c r="F2023" s="36"/>
      <c r="G2023" s="36"/>
    </row>
    <row r="2024" spans="1:7" s="34" customFormat="1" x14ac:dyDescent="0.35">
      <c r="A2024" s="36"/>
      <c r="B2024" s="36"/>
      <c r="C2024" s="36"/>
      <c r="D2024" s="36"/>
      <c r="E2024" s="36"/>
      <c r="F2024" s="36"/>
      <c r="G2024" s="36"/>
    </row>
    <row r="2025" spans="1:7" s="34" customFormat="1" x14ac:dyDescent="0.35">
      <c r="A2025" s="36"/>
      <c r="B2025" s="36"/>
      <c r="C2025" s="36"/>
      <c r="D2025" s="36"/>
      <c r="E2025" s="36"/>
      <c r="F2025" s="36"/>
      <c r="G2025" s="36"/>
    </row>
    <row r="2026" spans="1:7" s="34" customFormat="1" x14ac:dyDescent="0.35">
      <c r="A2026" s="36"/>
      <c r="B2026" s="36"/>
      <c r="C2026" s="36"/>
      <c r="D2026" s="36"/>
      <c r="E2026" s="36"/>
      <c r="F2026" s="36"/>
      <c r="G2026" s="36"/>
    </row>
    <row r="2027" spans="1:7" s="34" customFormat="1" x14ac:dyDescent="0.35">
      <c r="A2027" s="36"/>
      <c r="B2027" s="36"/>
      <c r="C2027" s="36"/>
      <c r="D2027" s="36"/>
      <c r="E2027" s="36"/>
      <c r="F2027" s="36"/>
      <c r="G2027" s="36"/>
    </row>
    <row r="2028" spans="1:7" s="34" customFormat="1" x14ac:dyDescent="0.35">
      <c r="A2028" s="36"/>
      <c r="B2028" s="36"/>
      <c r="C2028" s="36"/>
      <c r="D2028" s="36"/>
      <c r="E2028" s="36"/>
      <c r="F2028" s="36"/>
      <c r="G2028" s="36"/>
    </row>
    <row r="2029" spans="1:7" s="34" customFormat="1" x14ac:dyDescent="0.35">
      <c r="A2029" s="36"/>
      <c r="B2029" s="36"/>
      <c r="C2029" s="36"/>
      <c r="D2029" s="36"/>
      <c r="E2029" s="36"/>
      <c r="F2029" s="36"/>
      <c r="G2029" s="36"/>
    </row>
    <row r="2030" spans="1:7" s="34" customFormat="1" x14ac:dyDescent="0.35">
      <c r="A2030" s="36"/>
      <c r="B2030" s="36"/>
      <c r="C2030" s="36"/>
      <c r="D2030" s="36"/>
      <c r="E2030" s="36"/>
      <c r="F2030" s="36"/>
      <c r="G2030" s="36"/>
    </row>
    <row r="2031" spans="1:7" s="34" customFormat="1" x14ac:dyDescent="0.35">
      <c r="A2031" s="36"/>
      <c r="B2031" s="36"/>
      <c r="C2031" s="36"/>
      <c r="D2031" s="36"/>
      <c r="E2031" s="36"/>
      <c r="F2031" s="36"/>
      <c r="G2031" s="36"/>
    </row>
    <row r="2032" spans="1:7" s="34" customFormat="1" x14ac:dyDescent="0.35">
      <c r="A2032" s="36"/>
      <c r="B2032" s="36"/>
      <c r="C2032" s="36"/>
      <c r="D2032" s="36"/>
      <c r="E2032" s="36"/>
      <c r="F2032" s="36"/>
      <c r="G2032" s="36"/>
    </row>
    <row r="2033" spans="1:7" s="34" customFormat="1" x14ac:dyDescent="0.35">
      <c r="A2033" s="36"/>
      <c r="B2033" s="36"/>
      <c r="C2033" s="36"/>
      <c r="D2033" s="36"/>
      <c r="E2033" s="36"/>
      <c r="F2033" s="36"/>
      <c r="G2033" s="36"/>
    </row>
    <row r="2034" spans="1:7" s="34" customFormat="1" x14ac:dyDescent="0.35">
      <c r="A2034" s="36"/>
      <c r="B2034" s="36"/>
      <c r="C2034" s="36"/>
      <c r="D2034" s="36"/>
      <c r="E2034" s="36"/>
      <c r="F2034" s="36"/>
      <c r="G2034" s="36"/>
    </row>
    <row r="2035" spans="1:7" s="34" customFormat="1" x14ac:dyDescent="0.35">
      <c r="A2035" s="36"/>
      <c r="B2035" s="36"/>
      <c r="C2035" s="36"/>
      <c r="D2035" s="36"/>
      <c r="E2035" s="36"/>
      <c r="F2035" s="36"/>
      <c r="G2035" s="36"/>
    </row>
    <row r="2036" spans="1:7" s="34" customFormat="1" x14ac:dyDescent="0.35">
      <c r="A2036" s="36"/>
      <c r="B2036" s="36"/>
      <c r="C2036" s="36"/>
      <c r="D2036" s="36"/>
      <c r="E2036" s="36"/>
      <c r="F2036" s="36"/>
      <c r="G2036" s="36"/>
    </row>
    <row r="2037" spans="1:7" s="34" customFormat="1" x14ac:dyDescent="0.35">
      <c r="A2037" s="36"/>
      <c r="B2037" s="36"/>
      <c r="C2037" s="36"/>
      <c r="D2037" s="36"/>
      <c r="E2037" s="36"/>
      <c r="F2037" s="36"/>
      <c r="G2037" s="36"/>
    </row>
    <row r="2038" spans="1:7" s="34" customFormat="1" x14ac:dyDescent="0.35">
      <c r="A2038" s="36"/>
      <c r="B2038" s="36"/>
      <c r="C2038" s="36"/>
      <c r="D2038" s="36"/>
      <c r="E2038" s="36"/>
      <c r="F2038" s="36"/>
      <c r="G2038" s="36"/>
    </row>
    <row r="2039" spans="1:7" s="34" customFormat="1" x14ac:dyDescent="0.35">
      <c r="A2039" s="36"/>
      <c r="B2039" s="36"/>
      <c r="C2039" s="36"/>
      <c r="D2039" s="36"/>
      <c r="E2039" s="36"/>
      <c r="F2039" s="36"/>
      <c r="G2039" s="36"/>
    </row>
    <row r="2040" spans="1:7" s="34" customFormat="1" x14ac:dyDescent="0.35">
      <c r="A2040" s="36"/>
      <c r="B2040" s="36"/>
      <c r="C2040" s="36"/>
      <c r="D2040" s="36"/>
      <c r="E2040" s="36"/>
      <c r="F2040" s="36"/>
      <c r="G2040" s="36"/>
    </row>
    <row r="2041" spans="1:7" s="34" customFormat="1" x14ac:dyDescent="0.35">
      <c r="A2041" s="36"/>
      <c r="B2041" s="36"/>
      <c r="C2041" s="36"/>
      <c r="D2041" s="36"/>
      <c r="E2041" s="36"/>
      <c r="F2041" s="36"/>
      <c r="G2041" s="36"/>
    </row>
    <row r="2042" spans="1:7" s="34" customFormat="1" x14ac:dyDescent="0.35">
      <c r="A2042" s="36"/>
      <c r="B2042" s="36"/>
      <c r="C2042" s="36"/>
      <c r="D2042" s="36"/>
      <c r="E2042" s="36"/>
      <c r="F2042" s="36"/>
      <c r="G2042" s="36"/>
    </row>
    <row r="2043" spans="1:7" s="34" customFormat="1" x14ac:dyDescent="0.35">
      <c r="A2043" s="36"/>
      <c r="B2043" s="36"/>
      <c r="C2043" s="36"/>
      <c r="D2043" s="36"/>
      <c r="E2043" s="36"/>
      <c r="F2043" s="36"/>
      <c r="G2043" s="36"/>
    </row>
    <row r="2044" spans="1:7" s="34" customFormat="1" x14ac:dyDescent="0.35">
      <c r="A2044" s="36"/>
      <c r="B2044" s="36"/>
      <c r="C2044" s="36"/>
      <c r="D2044" s="36"/>
      <c r="E2044" s="36"/>
      <c r="F2044" s="36"/>
      <c r="G2044" s="36"/>
    </row>
    <row r="2045" spans="1:7" s="34" customFormat="1" x14ac:dyDescent="0.35">
      <c r="A2045" s="36"/>
      <c r="B2045" s="36"/>
      <c r="C2045" s="36"/>
      <c r="D2045" s="36"/>
      <c r="E2045" s="36"/>
      <c r="F2045" s="36"/>
      <c r="G2045" s="36"/>
    </row>
    <row r="2046" spans="1:7" s="34" customFormat="1" x14ac:dyDescent="0.35">
      <c r="A2046" s="36"/>
      <c r="B2046" s="36"/>
      <c r="C2046" s="36"/>
      <c r="D2046" s="36"/>
      <c r="E2046" s="36"/>
      <c r="F2046" s="36"/>
      <c r="G2046" s="36"/>
    </row>
    <row r="2047" spans="1:7" s="34" customFormat="1" x14ac:dyDescent="0.35">
      <c r="A2047" s="36"/>
      <c r="B2047" s="36"/>
      <c r="C2047" s="36"/>
      <c r="D2047" s="36"/>
      <c r="E2047" s="36"/>
      <c r="F2047" s="36"/>
      <c r="G2047" s="36"/>
    </row>
    <row r="2048" spans="1:7" s="34" customFormat="1" x14ac:dyDescent="0.35">
      <c r="A2048" s="36"/>
      <c r="B2048" s="36"/>
      <c r="C2048" s="36"/>
      <c r="D2048" s="36"/>
      <c r="E2048" s="36"/>
      <c r="F2048" s="36"/>
      <c r="G2048" s="36"/>
    </row>
    <row r="2049" spans="1:7" s="34" customFormat="1" x14ac:dyDescent="0.35">
      <c r="A2049" s="36"/>
      <c r="B2049" s="36"/>
      <c r="C2049" s="36"/>
      <c r="D2049" s="36"/>
      <c r="E2049" s="36"/>
      <c r="F2049" s="36"/>
      <c r="G2049" s="36"/>
    </row>
    <row r="2050" spans="1:7" s="34" customFormat="1" x14ac:dyDescent="0.35">
      <c r="A2050" s="36"/>
      <c r="B2050" s="36"/>
      <c r="C2050" s="36"/>
      <c r="D2050" s="36"/>
      <c r="E2050" s="36"/>
      <c r="F2050" s="36"/>
      <c r="G2050" s="36"/>
    </row>
    <row r="2051" spans="1:7" s="34" customFormat="1" x14ac:dyDescent="0.35">
      <c r="A2051" s="36"/>
      <c r="B2051" s="36"/>
      <c r="C2051" s="36"/>
      <c r="D2051" s="36"/>
      <c r="E2051" s="36"/>
      <c r="F2051" s="36"/>
      <c r="G2051" s="36"/>
    </row>
    <row r="2052" spans="1:7" s="34" customFormat="1" x14ac:dyDescent="0.35">
      <c r="A2052" s="36"/>
      <c r="B2052" s="36"/>
      <c r="C2052" s="36"/>
      <c r="D2052" s="36"/>
      <c r="E2052" s="36"/>
      <c r="F2052" s="36"/>
      <c r="G2052" s="36"/>
    </row>
    <row r="2053" spans="1:7" s="34" customFormat="1" x14ac:dyDescent="0.35">
      <c r="A2053" s="36"/>
      <c r="B2053" s="36"/>
      <c r="C2053" s="36"/>
      <c r="D2053" s="36"/>
      <c r="E2053" s="36"/>
      <c r="F2053" s="36"/>
      <c r="G2053" s="36"/>
    </row>
    <row r="2054" spans="1:7" s="34" customFormat="1" x14ac:dyDescent="0.35">
      <c r="A2054" s="36"/>
      <c r="B2054" s="36"/>
      <c r="C2054" s="36"/>
      <c r="D2054" s="36"/>
      <c r="E2054" s="36"/>
      <c r="F2054" s="36"/>
      <c r="G2054" s="36"/>
    </row>
    <row r="2055" spans="1:7" s="34" customFormat="1" x14ac:dyDescent="0.35">
      <c r="A2055" s="36"/>
      <c r="B2055" s="36"/>
      <c r="C2055" s="36"/>
      <c r="D2055" s="36"/>
      <c r="E2055" s="36"/>
      <c r="F2055" s="36"/>
      <c r="G2055" s="36"/>
    </row>
    <row r="2056" spans="1:7" s="34" customFormat="1" x14ac:dyDescent="0.35">
      <c r="A2056" s="36"/>
      <c r="B2056" s="36"/>
      <c r="C2056" s="36"/>
      <c r="D2056" s="36"/>
      <c r="E2056" s="36"/>
      <c r="F2056" s="36"/>
      <c r="G2056" s="36"/>
    </row>
    <row r="2057" spans="1:7" s="34" customFormat="1" x14ac:dyDescent="0.35">
      <c r="A2057" s="36"/>
      <c r="B2057" s="36"/>
      <c r="C2057" s="36"/>
      <c r="D2057" s="36"/>
      <c r="E2057" s="36"/>
      <c r="F2057" s="36"/>
      <c r="G2057" s="36"/>
    </row>
    <row r="2058" spans="1:7" s="34" customFormat="1" x14ac:dyDescent="0.35">
      <c r="A2058" s="36"/>
      <c r="B2058" s="36"/>
      <c r="C2058" s="36"/>
      <c r="D2058" s="36"/>
      <c r="E2058" s="36"/>
      <c r="F2058" s="36"/>
      <c r="G2058" s="36"/>
    </row>
    <row r="2059" spans="1:7" s="34" customFormat="1" x14ac:dyDescent="0.35">
      <c r="A2059" s="36"/>
      <c r="B2059" s="36"/>
      <c r="C2059" s="36"/>
      <c r="D2059" s="36"/>
      <c r="E2059" s="36"/>
      <c r="F2059" s="36"/>
      <c r="G2059" s="36"/>
    </row>
    <row r="2060" spans="1:7" s="34" customFormat="1" x14ac:dyDescent="0.35">
      <c r="A2060" s="36"/>
      <c r="B2060" s="36"/>
      <c r="C2060" s="36"/>
      <c r="D2060" s="36"/>
      <c r="E2060" s="36"/>
      <c r="F2060" s="36"/>
      <c r="G2060" s="36"/>
    </row>
    <row r="2061" spans="1:7" s="34" customFormat="1" x14ac:dyDescent="0.35">
      <c r="A2061" s="36"/>
      <c r="B2061" s="36"/>
      <c r="C2061" s="36"/>
      <c r="D2061" s="36"/>
      <c r="E2061" s="36"/>
      <c r="F2061" s="36"/>
      <c r="G2061" s="36"/>
    </row>
    <row r="2062" spans="1:7" s="34" customFormat="1" x14ac:dyDescent="0.35">
      <c r="A2062" s="36"/>
      <c r="B2062" s="36"/>
      <c r="C2062" s="36"/>
      <c r="D2062" s="36"/>
      <c r="E2062" s="36"/>
      <c r="F2062" s="36"/>
      <c r="G2062" s="36"/>
    </row>
    <row r="2063" spans="1:7" s="34" customFormat="1" x14ac:dyDescent="0.35">
      <c r="A2063" s="36"/>
      <c r="B2063" s="36"/>
      <c r="C2063" s="36"/>
      <c r="D2063" s="36"/>
      <c r="E2063" s="36"/>
      <c r="F2063" s="36"/>
      <c r="G2063" s="36"/>
    </row>
    <row r="2064" spans="1:7" s="34" customFormat="1" x14ac:dyDescent="0.35">
      <c r="A2064" s="36"/>
      <c r="B2064" s="36"/>
      <c r="C2064" s="36"/>
      <c r="D2064" s="36"/>
      <c r="E2064" s="36"/>
      <c r="F2064" s="36"/>
      <c r="G2064" s="36"/>
    </row>
    <row r="2065" spans="1:7" s="34" customFormat="1" x14ac:dyDescent="0.35">
      <c r="A2065" s="36"/>
      <c r="B2065" s="36"/>
      <c r="C2065" s="36"/>
      <c r="D2065" s="36"/>
      <c r="E2065" s="36"/>
      <c r="F2065" s="36"/>
      <c r="G2065" s="36"/>
    </row>
    <row r="2066" spans="1:7" s="34" customFormat="1" x14ac:dyDescent="0.35">
      <c r="A2066" s="36"/>
      <c r="B2066" s="36"/>
      <c r="C2066" s="36"/>
      <c r="D2066" s="36"/>
      <c r="E2066" s="36"/>
      <c r="F2066" s="36"/>
      <c r="G2066" s="36"/>
    </row>
    <row r="2067" spans="1:7" s="34" customFormat="1" x14ac:dyDescent="0.35">
      <c r="A2067" s="36"/>
      <c r="B2067" s="36"/>
      <c r="C2067" s="36"/>
      <c r="D2067" s="36"/>
      <c r="E2067" s="36"/>
      <c r="F2067" s="36"/>
      <c r="G2067" s="36"/>
    </row>
    <row r="2068" spans="1:7" s="34" customFormat="1" x14ac:dyDescent="0.35">
      <c r="A2068" s="36"/>
      <c r="B2068" s="36"/>
      <c r="C2068" s="36"/>
      <c r="D2068" s="36"/>
      <c r="E2068" s="36"/>
      <c r="F2068" s="36"/>
      <c r="G2068" s="36"/>
    </row>
    <row r="2069" spans="1:7" s="34" customFormat="1" x14ac:dyDescent="0.35">
      <c r="A2069" s="36"/>
      <c r="B2069" s="36"/>
      <c r="C2069" s="36"/>
      <c r="D2069" s="36"/>
      <c r="E2069" s="36"/>
      <c r="F2069" s="36"/>
      <c r="G2069" s="36"/>
    </row>
    <row r="2070" spans="1:7" s="34" customFormat="1" x14ac:dyDescent="0.35">
      <c r="A2070" s="36"/>
      <c r="B2070" s="36"/>
      <c r="C2070" s="36"/>
      <c r="D2070" s="36"/>
      <c r="E2070" s="36"/>
      <c r="F2070" s="36"/>
      <c r="G2070" s="36"/>
    </row>
    <row r="2071" spans="1:7" s="34" customFormat="1" x14ac:dyDescent="0.35">
      <c r="A2071" s="36"/>
      <c r="B2071" s="36"/>
      <c r="C2071" s="36"/>
      <c r="D2071" s="36"/>
      <c r="E2071" s="36"/>
      <c r="F2071" s="36"/>
      <c r="G2071" s="36"/>
    </row>
    <row r="2072" spans="1:7" s="34" customFormat="1" x14ac:dyDescent="0.35">
      <c r="A2072" s="36"/>
      <c r="B2072" s="36"/>
      <c r="C2072" s="36"/>
      <c r="D2072" s="36"/>
      <c r="E2072" s="36"/>
      <c r="F2072" s="36"/>
      <c r="G2072" s="36"/>
    </row>
    <row r="2073" spans="1:7" s="34" customFormat="1" x14ac:dyDescent="0.35">
      <c r="A2073" s="36"/>
      <c r="B2073" s="36"/>
      <c r="C2073" s="36"/>
      <c r="D2073" s="36"/>
      <c r="E2073" s="36"/>
      <c r="F2073" s="36"/>
      <c r="G2073" s="36"/>
    </row>
    <row r="2074" spans="1:7" s="34" customFormat="1" x14ac:dyDescent="0.35">
      <c r="A2074" s="36"/>
      <c r="B2074" s="36"/>
      <c r="C2074" s="36"/>
      <c r="D2074" s="36"/>
      <c r="E2074" s="36"/>
      <c r="F2074" s="36"/>
      <c r="G2074" s="36"/>
    </row>
    <row r="2075" spans="1:7" s="34" customFormat="1" x14ac:dyDescent="0.35">
      <c r="A2075" s="36"/>
      <c r="B2075" s="36"/>
      <c r="C2075" s="36"/>
      <c r="D2075" s="36"/>
      <c r="E2075" s="36"/>
      <c r="F2075" s="36"/>
      <c r="G2075" s="36"/>
    </row>
    <row r="2076" spans="1:7" s="34" customFormat="1" x14ac:dyDescent="0.35">
      <c r="A2076" s="36"/>
      <c r="B2076" s="36"/>
      <c r="C2076" s="36"/>
      <c r="D2076" s="36"/>
      <c r="E2076" s="36"/>
      <c r="F2076" s="36"/>
      <c r="G2076" s="36"/>
    </row>
    <row r="2077" spans="1:7" s="34" customFormat="1" x14ac:dyDescent="0.35">
      <c r="A2077" s="36"/>
      <c r="B2077" s="36"/>
      <c r="C2077" s="36"/>
      <c r="D2077" s="36"/>
      <c r="E2077" s="36"/>
      <c r="F2077" s="36"/>
      <c r="G2077" s="36"/>
    </row>
    <row r="2078" spans="1:7" s="34" customFormat="1" x14ac:dyDescent="0.35">
      <c r="A2078" s="36"/>
      <c r="B2078" s="36"/>
      <c r="C2078" s="36"/>
      <c r="D2078" s="36"/>
      <c r="E2078" s="36"/>
      <c r="F2078" s="36"/>
      <c r="G2078" s="36"/>
    </row>
    <row r="2079" spans="1:7" s="34" customFormat="1" x14ac:dyDescent="0.35">
      <c r="A2079" s="36"/>
      <c r="B2079" s="36"/>
      <c r="C2079" s="36"/>
      <c r="D2079" s="36"/>
      <c r="E2079" s="36"/>
      <c r="F2079" s="36"/>
      <c r="G2079" s="36"/>
    </row>
    <row r="2080" spans="1:7" s="34" customFormat="1" x14ac:dyDescent="0.35">
      <c r="A2080" s="36"/>
      <c r="B2080" s="36"/>
      <c r="C2080" s="36"/>
      <c r="D2080" s="36"/>
      <c r="E2080" s="36"/>
      <c r="F2080" s="36"/>
      <c r="G2080" s="36"/>
    </row>
    <row r="2081" spans="1:7" s="34" customFormat="1" x14ac:dyDescent="0.35">
      <c r="A2081" s="36"/>
      <c r="B2081" s="36"/>
      <c r="C2081" s="36"/>
      <c r="D2081" s="36"/>
      <c r="E2081" s="36"/>
      <c r="F2081" s="36"/>
      <c r="G2081" s="36"/>
    </row>
    <row r="2082" spans="1:7" s="34" customFormat="1" x14ac:dyDescent="0.35">
      <c r="A2082" s="36"/>
      <c r="B2082" s="36"/>
      <c r="C2082" s="36"/>
      <c r="D2082" s="36"/>
      <c r="E2082" s="36"/>
      <c r="F2082" s="36"/>
      <c r="G2082" s="36"/>
    </row>
    <row r="2083" spans="1:7" s="34" customFormat="1" x14ac:dyDescent="0.35">
      <c r="A2083" s="36"/>
      <c r="B2083" s="36"/>
      <c r="C2083" s="36"/>
      <c r="D2083" s="36"/>
      <c r="E2083" s="36"/>
      <c r="F2083" s="36"/>
      <c r="G2083" s="36"/>
    </row>
    <row r="2084" spans="1:7" s="34" customFormat="1" x14ac:dyDescent="0.35">
      <c r="A2084" s="36"/>
      <c r="B2084" s="36"/>
      <c r="C2084" s="36"/>
      <c r="D2084" s="36"/>
      <c r="E2084" s="36"/>
      <c r="F2084" s="36"/>
      <c r="G2084" s="36"/>
    </row>
    <row r="2085" spans="1:7" s="34" customFormat="1" x14ac:dyDescent="0.35">
      <c r="A2085" s="36"/>
      <c r="B2085" s="36"/>
      <c r="C2085" s="36"/>
      <c r="D2085" s="36"/>
      <c r="E2085" s="36"/>
      <c r="F2085" s="36"/>
      <c r="G2085" s="36"/>
    </row>
    <row r="2086" spans="1:7" s="34" customFormat="1" x14ac:dyDescent="0.35">
      <c r="A2086" s="36"/>
      <c r="B2086" s="36"/>
      <c r="C2086" s="36"/>
      <c r="D2086" s="36"/>
      <c r="E2086" s="36"/>
      <c r="F2086" s="36"/>
      <c r="G2086" s="36"/>
    </row>
    <row r="2087" spans="1:7" s="34" customFormat="1" x14ac:dyDescent="0.35">
      <c r="A2087" s="36"/>
      <c r="B2087" s="36"/>
      <c r="C2087" s="36"/>
      <c r="D2087" s="36"/>
      <c r="E2087" s="36"/>
      <c r="F2087" s="36"/>
      <c r="G2087" s="36"/>
    </row>
    <row r="2088" spans="1:7" s="34" customFormat="1" x14ac:dyDescent="0.35">
      <c r="A2088" s="36"/>
      <c r="B2088" s="36"/>
      <c r="C2088" s="36"/>
      <c r="D2088" s="36"/>
      <c r="E2088" s="36"/>
      <c r="F2088" s="36"/>
      <c r="G2088" s="36"/>
    </row>
    <row r="2089" spans="1:7" s="34" customFormat="1" x14ac:dyDescent="0.35">
      <c r="A2089" s="36"/>
      <c r="B2089" s="36"/>
      <c r="C2089" s="36"/>
      <c r="D2089" s="36"/>
      <c r="E2089" s="36"/>
      <c r="F2089" s="36"/>
      <c r="G2089" s="36"/>
    </row>
    <row r="2090" spans="1:7" s="34" customFormat="1" x14ac:dyDescent="0.35">
      <c r="A2090" s="36"/>
      <c r="B2090" s="36"/>
      <c r="C2090" s="36"/>
      <c r="D2090" s="36"/>
      <c r="E2090" s="36"/>
      <c r="F2090" s="36"/>
      <c r="G2090" s="36"/>
    </row>
    <row r="2091" spans="1:7" s="34" customFormat="1" x14ac:dyDescent="0.35">
      <c r="A2091" s="36"/>
      <c r="B2091" s="36"/>
      <c r="C2091" s="36"/>
      <c r="D2091" s="36"/>
      <c r="E2091" s="36"/>
      <c r="F2091" s="36"/>
      <c r="G2091" s="36"/>
    </row>
    <row r="2092" spans="1:7" s="34" customFormat="1" x14ac:dyDescent="0.35">
      <c r="A2092" s="36"/>
      <c r="B2092" s="36"/>
      <c r="C2092" s="36"/>
      <c r="D2092" s="36"/>
      <c r="E2092" s="36"/>
      <c r="F2092" s="36"/>
      <c r="G2092" s="36"/>
    </row>
    <row r="2093" spans="1:7" s="34" customFormat="1" x14ac:dyDescent="0.35">
      <c r="A2093" s="36"/>
      <c r="B2093" s="36"/>
      <c r="C2093" s="36"/>
      <c r="D2093" s="36"/>
      <c r="E2093" s="36"/>
      <c r="F2093" s="36"/>
      <c r="G2093" s="36"/>
    </row>
    <row r="2094" spans="1:7" s="34" customFormat="1" x14ac:dyDescent="0.35">
      <c r="A2094" s="36"/>
      <c r="B2094" s="36"/>
      <c r="C2094" s="36"/>
      <c r="D2094" s="36"/>
      <c r="E2094" s="36"/>
      <c r="F2094" s="36"/>
      <c r="G2094" s="36"/>
    </row>
    <row r="2095" spans="1:7" s="34" customFormat="1" x14ac:dyDescent="0.35">
      <c r="A2095" s="36"/>
      <c r="B2095" s="36"/>
      <c r="C2095" s="36"/>
      <c r="D2095" s="36"/>
      <c r="E2095" s="36"/>
      <c r="F2095" s="36"/>
      <c r="G2095" s="36"/>
    </row>
    <row r="2096" spans="1:7" s="34" customFormat="1" x14ac:dyDescent="0.35">
      <c r="A2096" s="36"/>
      <c r="B2096" s="36"/>
      <c r="C2096" s="36"/>
      <c r="D2096" s="36"/>
      <c r="E2096" s="36"/>
      <c r="F2096" s="36"/>
      <c r="G2096" s="36"/>
    </row>
    <row r="2097" spans="1:7" s="34" customFormat="1" x14ac:dyDescent="0.35">
      <c r="A2097" s="36"/>
      <c r="B2097" s="36"/>
      <c r="C2097" s="36"/>
      <c r="D2097" s="36"/>
      <c r="E2097" s="36"/>
      <c r="F2097" s="36"/>
      <c r="G2097" s="36"/>
    </row>
    <row r="2098" spans="1:7" s="34" customFormat="1" x14ac:dyDescent="0.35">
      <c r="A2098" s="36"/>
      <c r="B2098" s="36"/>
      <c r="C2098" s="36"/>
      <c r="D2098" s="36"/>
      <c r="E2098" s="36"/>
      <c r="F2098" s="36"/>
      <c r="G2098" s="36"/>
    </row>
    <row r="2099" spans="1:7" s="34" customFormat="1" x14ac:dyDescent="0.35">
      <c r="A2099" s="36"/>
      <c r="B2099" s="36"/>
      <c r="C2099" s="36"/>
      <c r="D2099" s="36"/>
      <c r="E2099" s="36"/>
      <c r="F2099" s="36"/>
      <c r="G2099" s="36"/>
    </row>
    <row r="2100" spans="1:7" s="34" customFormat="1" x14ac:dyDescent="0.35">
      <c r="A2100" s="36"/>
      <c r="B2100" s="36"/>
      <c r="C2100" s="36"/>
      <c r="D2100" s="36"/>
      <c r="E2100" s="36"/>
      <c r="F2100" s="36"/>
      <c r="G2100" s="36"/>
    </row>
    <row r="2101" spans="1:7" s="34" customFormat="1" x14ac:dyDescent="0.35">
      <c r="A2101" s="36"/>
      <c r="B2101" s="36"/>
      <c r="C2101" s="36"/>
      <c r="D2101" s="36"/>
      <c r="E2101" s="36"/>
      <c r="F2101" s="36"/>
      <c r="G2101" s="36"/>
    </row>
    <row r="2102" spans="1:7" s="34" customFormat="1" x14ac:dyDescent="0.35">
      <c r="A2102" s="36"/>
      <c r="B2102" s="36"/>
      <c r="C2102" s="36"/>
      <c r="D2102" s="36"/>
      <c r="E2102" s="36"/>
      <c r="F2102" s="36"/>
      <c r="G2102" s="36"/>
    </row>
    <row r="2103" spans="1:7" s="34" customFormat="1" x14ac:dyDescent="0.35">
      <c r="A2103" s="36"/>
      <c r="B2103" s="36"/>
      <c r="C2103" s="36"/>
      <c r="D2103" s="36"/>
      <c r="E2103" s="36"/>
      <c r="F2103" s="36"/>
      <c r="G2103" s="36"/>
    </row>
    <row r="2104" spans="1:7" s="34" customFormat="1" x14ac:dyDescent="0.35">
      <c r="A2104" s="36"/>
      <c r="B2104" s="36"/>
      <c r="C2104" s="36"/>
      <c r="D2104" s="36"/>
      <c r="E2104" s="36"/>
      <c r="F2104" s="36"/>
      <c r="G2104" s="36"/>
    </row>
    <row r="2105" spans="1:7" s="34" customFormat="1" x14ac:dyDescent="0.35">
      <c r="A2105" s="36"/>
      <c r="B2105" s="36"/>
      <c r="C2105" s="36"/>
      <c r="D2105" s="36"/>
      <c r="E2105" s="36"/>
      <c r="F2105" s="36"/>
      <c r="G2105" s="36"/>
    </row>
    <row r="2106" spans="1:7" s="34" customFormat="1" x14ac:dyDescent="0.35">
      <c r="A2106" s="36"/>
      <c r="B2106" s="36"/>
      <c r="C2106" s="36"/>
      <c r="D2106" s="36"/>
      <c r="E2106" s="36"/>
      <c r="F2106" s="36"/>
      <c r="G2106" s="36"/>
    </row>
    <row r="2107" spans="1:7" s="34" customFormat="1" x14ac:dyDescent="0.35">
      <c r="A2107" s="36"/>
      <c r="B2107" s="36"/>
      <c r="C2107" s="36"/>
      <c r="D2107" s="36"/>
      <c r="E2107" s="36"/>
      <c r="F2107" s="36"/>
      <c r="G2107" s="36"/>
    </row>
    <row r="2108" spans="1:7" s="34" customFormat="1" x14ac:dyDescent="0.35">
      <c r="A2108" s="36"/>
      <c r="B2108" s="36"/>
      <c r="C2108" s="36"/>
      <c r="D2108" s="36"/>
      <c r="E2108" s="36"/>
      <c r="F2108" s="36"/>
      <c r="G2108" s="36"/>
    </row>
    <row r="2109" spans="1:7" s="34" customFormat="1" x14ac:dyDescent="0.35">
      <c r="A2109" s="36"/>
      <c r="B2109" s="36"/>
      <c r="C2109" s="36"/>
      <c r="D2109" s="36"/>
      <c r="E2109" s="36"/>
      <c r="F2109" s="36"/>
      <c r="G2109" s="36"/>
    </row>
    <row r="2110" spans="1:7" s="34" customFormat="1" x14ac:dyDescent="0.35">
      <c r="A2110" s="36"/>
      <c r="B2110" s="36"/>
      <c r="C2110" s="36"/>
      <c r="D2110" s="36"/>
      <c r="E2110" s="36"/>
      <c r="F2110" s="36"/>
      <c r="G2110" s="36"/>
    </row>
    <row r="2111" spans="1:7" s="34" customFormat="1" x14ac:dyDescent="0.35">
      <c r="A2111" s="36"/>
      <c r="B2111" s="36"/>
      <c r="C2111" s="36"/>
      <c r="D2111" s="36"/>
      <c r="E2111" s="36"/>
      <c r="F2111" s="36"/>
      <c r="G2111" s="36"/>
    </row>
    <row r="2112" spans="1:7" s="34" customFormat="1" x14ac:dyDescent="0.35">
      <c r="A2112" s="36"/>
      <c r="B2112" s="36"/>
      <c r="C2112" s="36"/>
      <c r="D2112" s="36"/>
      <c r="E2112" s="36"/>
      <c r="F2112" s="36"/>
      <c r="G2112" s="36"/>
    </row>
    <row r="2113" spans="1:7" s="34" customFormat="1" x14ac:dyDescent="0.35">
      <c r="A2113" s="36"/>
      <c r="B2113" s="36"/>
      <c r="C2113" s="36"/>
      <c r="D2113" s="36"/>
      <c r="E2113" s="36"/>
      <c r="F2113" s="36"/>
      <c r="G2113" s="36"/>
    </row>
    <row r="2114" spans="1:7" s="34" customFormat="1" x14ac:dyDescent="0.35">
      <c r="A2114" s="36"/>
      <c r="B2114" s="36"/>
      <c r="C2114" s="36"/>
      <c r="D2114" s="36"/>
      <c r="E2114" s="36"/>
      <c r="F2114" s="36"/>
      <c r="G2114" s="36"/>
    </row>
    <row r="2115" spans="1:7" s="34" customFormat="1" x14ac:dyDescent="0.35">
      <c r="A2115" s="36"/>
      <c r="B2115" s="36"/>
      <c r="C2115" s="36"/>
      <c r="D2115" s="36"/>
      <c r="E2115" s="36"/>
      <c r="F2115" s="36"/>
      <c r="G2115" s="36"/>
    </row>
    <row r="2116" spans="1:7" s="34" customFormat="1" x14ac:dyDescent="0.35">
      <c r="A2116" s="36"/>
      <c r="B2116" s="36"/>
      <c r="C2116" s="36"/>
      <c r="D2116" s="36"/>
      <c r="E2116" s="36"/>
      <c r="F2116" s="36"/>
      <c r="G2116" s="36"/>
    </row>
    <row r="2117" spans="1:7" s="34" customFormat="1" x14ac:dyDescent="0.35">
      <c r="A2117" s="36"/>
      <c r="B2117" s="36"/>
      <c r="C2117" s="36"/>
      <c r="D2117" s="36"/>
      <c r="E2117" s="36"/>
      <c r="F2117" s="36"/>
      <c r="G2117" s="36"/>
    </row>
    <row r="2118" spans="1:7" s="34" customFormat="1" x14ac:dyDescent="0.35">
      <c r="A2118" s="36"/>
      <c r="B2118" s="36"/>
      <c r="C2118" s="36"/>
      <c r="D2118" s="36"/>
      <c r="E2118" s="36"/>
      <c r="F2118" s="36"/>
      <c r="G2118" s="36"/>
    </row>
    <row r="2119" spans="1:7" s="34" customFormat="1" x14ac:dyDescent="0.35">
      <c r="A2119" s="36"/>
      <c r="B2119" s="36"/>
      <c r="C2119" s="36"/>
      <c r="D2119" s="36"/>
      <c r="E2119" s="36"/>
      <c r="F2119" s="36"/>
      <c r="G2119" s="36"/>
    </row>
    <row r="2120" spans="1:7" s="34" customFormat="1" x14ac:dyDescent="0.35">
      <c r="A2120" s="36"/>
      <c r="B2120" s="36"/>
      <c r="C2120" s="36"/>
      <c r="D2120" s="36"/>
      <c r="E2120" s="36"/>
      <c r="F2120" s="36"/>
      <c r="G2120" s="36"/>
    </row>
    <row r="2121" spans="1:7" s="34" customFormat="1" x14ac:dyDescent="0.35">
      <c r="A2121" s="36"/>
      <c r="B2121" s="36"/>
      <c r="C2121" s="36"/>
      <c r="D2121" s="36"/>
      <c r="E2121" s="36"/>
      <c r="F2121" s="36"/>
      <c r="G2121" s="36"/>
    </row>
    <row r="2122" spans="1:7" s="34" customFormat="1" x14ac:dyDescent="0.35">
      <c r="A2122" s="36"/>
      <c r="B2122" s="36"/>
      <c r="C2122" s="36"/>
      <c r="D2122" s="36"/>
      <c r="E2122" s="36"/>
      <c r="F2122" s="36"/>
      <c r="G2122" s="36"/>
    </row>
    <row r="2123" spans="1:7" s="34" customFormat="1" x14ac:dyDescent="0.35">
      <c r="A2123" s="36"/>
      <c r="B2123" s="36"/>
      <c r="C2123" s="36"/>
      <c r="D2123" s="36"/>
      <c r="E2123" s="36"/>
      <c r="F2123" s="36"/>
      <c r="G2123" s="36"/>
    </row>
    <row r="2124" spans="1:7" s="34" customFormat="1" x14ac:dyDescent="0.35">
      <c r="A2124" s="36"/>
      <c r="B2124" s="36"/>
      <c r="C2124" s="36"/>
      <c r="D2124" s="36"/>
      <c r="E2124" s="36"/>
      <c r="F2124" s="36"/>
      <c r="G2124" s="36"/>
    </row>
    <row r="2125" spans="1:7" s="34" customFormat="1" x14ac:dyDescent="0.35">
      <c r="A2125" s="36"/>
      <c r="B2125" s="36"/>
      <c r="C2125" s="36"/>
      <c r="D2125" s="36"/>
      <c r="E2125" s="36"/>
      <c r="F2125" s="36"/>
      <c r="G2125" s="36"/>
    </row>
    <row r="2126" spans="1:7" s="34" customFormat="1" x14ac:dyDescent="0.35">
      <c r="A2126" s="36"/>
      <c r="B2126" s="36"/>
      <c r="C2126" s="36"/>
      <c r="D2126" s="36"/>
      <c r="E2126" s="36"/>
      <c r="F2126" s="36"/>
      <c r="G2126" s="36"/>
    </row>
    <row r="2127" spans="1:7" s="34" customFormat="1" x14ac:dyDescent="0.35">
      <c r="A2127" s="36"/>
      <c r="B2127" s="36"/>
      <c r="C2127" s="36"/>
      <c r="D2127" s="36"/>
      <c r="E2127" s="36"/>
      <c r="F2127" s="36"/>
      <c r="G2127" s="36"/>
    </row>
    <row r="2128" spans="1:7" s="34" customFormat="1" x14ac:dyDescent="0.35">
      <c r="A2128" s="36"/>
      <c r="B2128" s="36"/>
      <c r="C2128" s="36"/>
      <c r="D2128" s="36"/>
      <c r="E2128" s="36"/>
      <c r="F2128" s="36"/>
      <c r="G2128" s="36"/>
    </row>
    <row r="2129" spans="1:7" s="34" customFormat="1" x14ac:dyDescent="0.35">
      <c r="A2129" s="36"/>
      <c r="B2129" s="36"/>
      <c r="C2129" s="36"/>
      <c r="D2129" s="36"/>
      <c r="E2129" s="36"/>
      <c r="F2129" s="36"/>
      <c r="G2129" s="36"/>
    </row>
    <row r="2130" spans="1:7" s="34" customFormat="1" x14ac:dyDescent="0.35">
      <c r="A2130" s="36"/>
      <c r="B2130" s="36"/>
      <c r="C2130" s="36"/>
      <c r="D2130" s="36"/>
      <c r="E2130" s="36"/>
      <c r="F2130" s="36"/>
      <c r="G2130" s="36"/>
    </row>
    <row r="2131" spans="1:7" s="34" customFormat="1" x14ac:dyDescent="0.35">
      <c r="A2131" s="36"/>
      <c r="B2131" s="36"/>
      <c r="C2131" s="36"/>
      <c r="D2131" s="36"/>
      <c r="E2131" s="36"/>
      <c r="F2131" s="36"/>
      <c r="G2131" s="36"/>
    </row>
    <row r="2132" spans="1:7" s="34" customFormat="1" x14ac:dyDescent="0.35">
      <c r="A2132" s="36"/>
      <c r="B2132" s="36"/>
      <c r="C2132" s="36"/>
      <c r="D2132" s="36"/>
      <c r="E2132" s="36"/>
      <c r="F2132" s="36"/>
      <c r="G2132" s="36"/>
    </row>
    <row r="2133" spans="1:7" s="34" customFormat="1" x14ac:dyDescent="0.35">
      <c r="A2133" s="36"/>
      <c r="B2133" s="36"/>
      <c r="C2133" s="36"/>
      <c r="D2133" s="36"/>
      <c r="E2133" s="36"/>
      <c r="F2133" s="36"/>
      <c r="G2133" s="36"/>
    </row>
    <row r="2134" spans="1:7" s="34" customFormat="1" x14ac:dyDescent="0.35">
      <c r="A2134" s="36"/>
      <c r="B2134" s="36"/>
      <c r="C2134" s="36"/>
      <c r="D2134" s="36"/>
      <c r="E2134" s="36"/>
      <c r="F2134" s="36"/>
      <c r="G2134" s="36"/>
    </row>
    <row r="2135" spans="1:7" s="34" customFormat="1" x14ac:dyDescent="0.35">
      <c r="A2135" s="36"/>
      <c r="B2135" s="36"/>
      <c r="C2135" s="36"/>
      <c r="D2135" s="36"/>
      <c r="E2135" s="36"/>
      <c r="F2135" s="36"/>
      <c r="G2135" s="36"/>
    </row>
    <row r="2136" spans="1:7" s="34" customFormat="1" x14ac:dyDescent="0.35">
      <c r="A2136" s="36"/>
      <c r="B2136" s="36"/>
      <c r="C2136" s="36"/>
      <c r="D2136" s="36"/>
      <c r="E2136" s="36"/>
      <c r="F2136" s="36"/>
      <c r="G2136" s="36"/>
    </row>
    <row r="2137" spans="1:7" s="34" customFormat="1" x14ac:dyDescent="0.35">
      <c r="A2137" s="36"/>
      <c r="B2137" s="36"/>
      <c r="C2137" s="36"/>
      <c r="D2137" s="36"/>
      <c r="E2137" s="36"/>
      <c r="F2137" s="36"/>
      <c r="G2137" s="36"/>
    </row>
    <row r="2138" spans="1:7" s="34" customFormat="1" x14ac:dyDescent="0.35">
      <c r="A2138" s="36"/>
      <c r="B2138" s="36"/>
      <c r="C2138" s="36"/>
      <c r="D2138" s="36"/>
      <c r="E2138" s="36"/>
      <c r="F2138" s="36"/>
      <c r="G2138" s="36"/>
    </row>
    <row r="2139" spans="1:7" s="34" customFormat="1" x14ac:dyDescent="0.35">
      <c r="A2139" s="36"/>
      <c r="B2139" s="36"/>
      <c r="C2139" s="36"/>
      <c r="D2139" s="36"/>
      <c r="E2139" s="36"/>
      <c r="F2139" s="36"/>
      <c r="G2139" s="36"/>
    </row>
    <row r="2140" spans="1:7" s="34" customFormat="1" x14ac:dyDescent="0.35">
      <c r="A2140" s="36"/>
      <c r="B2140" s="36"/>
      <c r="C2140" s="36"/>
      <c r="D2140" s="36"/>
      <c r="E2140" s="36"/>
      <c r="F2140" s="36"/>
      <c r="G2140" s="36"/>
    </row>
    <row r="2141" spans="1:7" s="34" customFormat="1" x14ac:dyDescent="0.35">
      <c r="A2141" s="36"/>
      <c r="B2141" s="36"/>
      <c r="C2141" s="36"/>
      <c r="D2141" s="36"/>
      <c r="E2141" s="36"/>
      <c r="F2141" s="36"/>
      <c r="G2141" s="36"/>
    </row>
    <row r="2142" spans="1:7" s="34" customFormat="1" x14ac:dyDescent="0.35">
      <c r="A2142" s="36"/>
      <c r="B2142" s="36"/>
      <c r="C2142" s="36"/>
      <c r="D2142" s="36"/>
      <c r="E2142" s="36"/>
      <c r="F2142" s="36"/>
      <c r="G2142" s="36"/>
    </row>
    <row r="2143" spans="1:7" s="34" customFormat="1" x14ac:dyDescent="0.35">
      <c r="A2143" s="36"/>
      <c r="B2143" s="36"/>
      <c r="C2143" s="36"/>
      <c r="D2143" s="36"/>
      <c r="E2143" s="36"/>
      <c r="F2143" s="36"/>
      <c r="G2143" s="36"/>
    </row>
    <row r="2144" spans="1:7" s="34" customFormat="1" x14ac:dyDescent="0.35">
      <c r="A2144" s="36"/>
      <c r="B2144" s="36"/>
      <c r="C2144" s="36"/>
      <c r="D2144" s="36"/>
      <c r="E2144" s="36"/>
      <c r="F2144" s="36"/>
      <c r="G2144" s="36"/>
    </row>
    <row r="2145" spans="1:7" s="34" customFormat="1" x14ac:dyDescent="0.35">
      <c r="A2145" s="36"/>
      <c r="B2145" s="36"/>
      <c r="C2145" s="36"/>
      <c r="D2145" s="36"/>
      <c r="E2145" s="36"/>
      <c r="F2145" s="36"/>
      <c r="G2145" s="36"/>
    </row>
    <row r="2146" spans="1:7" s="34" customFormat="1" x14ac:dyDescent="0.35">
      <c r="A2146" s="36"/>
      <c r="B2146" s="36"/>
      <c r="C2146" s="36"/>
      <c r="D2146" s="36"/>
      <c r="E2146" s="36"/>
      <c r="F2146" s="36"/>
      <c r="G2146" s="36"/>
    </row>
    <row r="2147" spans="1:7" s="34" customFormat="1" x14ac:dyDescent="0.35">
      <c r="A2147" s="36"/>
      <c r="B2147" s="36"/>
      <c r="C2147" s="36"/>
      <c r="D2147" s="36"/>
      <c r="E2147" s="36"/>
      <c r="F2147" s="36"/>
      <c r="G2147" s="36"/>
    </row>
    <row r="2148" spans="1:7" s="34" customFormat="1" x14ac:dyDescent="0.35">
      <c r="A2148" s="36"/>
      <c r="B2148" s="36"/>
      <c r="C2148" s="36"/>
      <c r="D2148" s="36"/>
      <c r="E2148" s="36"/>
      <c r="F2148" s="36"/>
      <c r="G2148" s="36"/>
    </row>
    <row r="2149" spans="1:7" s="34" customFormat="1" x14ac:dyDescent="0.35">
      <c r="A2149" s="36"/>
      <c r="B2149" s="36"/>
      <c r="C2149" s="36"/>
      <c r="D2149" s="36"/>
      <c r="E2149" s="36"/>
      <c r="F2149" s="36"/>
      <c r="G2149" s="36"/>
    </row>
    <row r="2150" spans="1:7" s="34" customFormat="1" x14ac:dyDescent="0.35">
      <c r="A2150" s="36"/>
      <c r="B2150" s="36"/>
      <c r="C2150" s="36"/>
      <c r="D2150" s="36"/>
      <c r="E2150" s="36"/>
      <c r="F2150" s="36"/>
      <c r="G2150" s="36"/>
    </row>
    <row r="2151" spans="1:7" s="34" customFormat="1" x14ac:dyDescent="0.35">
      <c r="A2151" s="36"/>
      <c r="B2151" s="36"/>
      <c r="C2151" s="36"/>
      <c r="D2151" s="36"/>
      <c r="E2151" s="36"/>
      <c r="F2151" s="36"/>
      <c r="G2151" s="36"/>
    </row>
    <row r="2152" spans="1:7" s="34" customFormat="1" x14ac:dyDescent="0.35">
      <c r="A2152" s="36"/>
      <c r="B2152" s="36"/>
      <c r="C2152" s="36"/>
      <c r="D2152" s="36"/>
      <c r="E2152" s="36"/>
      <c r="F2152" s="36"/>
      <c r="G2152" s="36"/>
    </row>
    <row r="2153" spans="1:7" s="34" customFormat="1" x14ac:dyDescent="0.35">
      <c r="A2153" s="36"/>
      <c r="B2153" s="36"/>
      <c r="C2153" s="36"/>
      <c r="D2153" s="36"/>
      <c r="E2153" s="36"/>
      <c r="F2153" s="36"/>
      <c r="G2153" s="36"/>
    </row>
    <row r="2154" spans="1:7" s="34" customFormat="1" x14ac:dyDescent="0.35">
      <c r="A2154" s="36"/>
      <c r="B2154" s="36"/>
      <c r="C2154" s="36"/>
      <c r="D2154" s="36"/>
      <c r="E2154" s="36"/>
      <c r="F2154" s="36"/>
      <c r="G2154" s="36"/>
    </row>
    <row r="2155" spans="1:7" s="34" customFormat="1" x14ac:dyDescent="0.35">
      <c r="A2155" s="36"/>
      <c r="B2155" s="36"/>
      <c r="C2155" s="36"/>
      <c r="D2155" s="36"/>
      <c r="E2155" s="36"/>
      <c r="F2155" s="36"/>
      <c r="G2155" s="36"/>
    </row>
    <row r="2156" spans="1:7" s="34" customFormat="1" x14ac:dyDescent="0.35">
      <c r="A2156" s="36"/>
      <c r="B2156" s="36"/>
      <c r="C2156" s="36"/>
      <c r="D2156" s="36"/>
      <c r="E2156" s="36"/>
      <c r="F2156" s="36"/>
      <c r="G2156" s="36"/>
    </row>
    <row r="2157" spans="1:7" s="34" customFormat="1" x14ac:dyDescent="0.35">
      <c r="A2157" s="36"/>
      <c r="B2157" s="36"/>
      <c r="C2157" s="36"/>
      <c r="D2157" s="36"/>
      <c r="E2157" s="36"/>
      <c r="F2157" s="36"/>
      <c r="G2157" s="36"/>
    </row>
    <row r="2158" spans="1:7" s="34" customFormat="1" x14ac:dyDescent="0.35">
      <c r="A2158" s="36"/>
      <c r="B2158" s="36"/>
      <c r="C2158" s="36"/>
      <c r="D2158" s="36"/>
      <c r="E2158" s="36"/>
      <c r="F2158" s="36"/>
      <c r="G2158" s="36"/>
    </row>
    <row r="2159" spans="1:7" s="34" customFormat="1" x14ac:dyDescent="0.35">
      <c r="A2159" s="36"/>
      <c r="B2159" s="36"/>
      <c r="C2159" s="36"/>
      <c r="D2159" s="36"/>
      <c r="E2159" s="36"/>
      <c r="F2159" s="36"/>
      <c r="G2159" s="36"/>
    </row>
    <row r="2160" spans="1:7" s="34" customFormat="1" x14ac:dyDescent="0.35">
      <c r="A2160" s="36"/>
      <c r="B2160" s="36"/>
      <c r="C2160" s="36"/>
      <c r="D2160" s="36"/>
      <c r="E2160" s="36"/>
      <c r="F2160" s="36"/>
      <c r="G2160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EA477-BE15-402D-9F0C-4171F8AAFACF}">
  <dimension ref="A1:AQ1926"/>
  <sheetViews>
    <sheetView workbookViewId="0">
      <selection sqref="A1:G1"/>
    </sheetView>
  </sheetViews>
  <sheetFormatPr baseColWidth="10" defaultRowHeight="14.5" x14ac:dyDescent="0.35"/>
  <cols>
    <col min="1" max="1" width="10.90625" style="5"/>
    <col min="2" max="2" width="10.90625" style="9"/>
    <col min="3" max="7" width="10.90625" style="10"/>
    <col min="8" max="43" width="10.90625" style="34"/>
  </cols>
  <sheetData>
    <row r="1" spans="1:7" x14ac:dyDescent="0.35">
      <c r="A1" s="56" t="s">
        <v>2600</v>
      </c>
      <c r="B1" s="56" t="s">
        <v>2601</v>
      </c>
      <c r="C1" s="56" t="s">
        <v>2602</v>
      </c>
      <c r="D1" s="56" t="s">
        <v>2603</v>
      </c>
      <c r="E1" s="56" t="s">
        <v>2604</v>
      </c>
      <c r="F1" s="56" t="s">
        <v>0</v>
      </c>
      <c r="G1" s="56" t="s">
        <v>1</v>
      </c>
    </row>
    <row r="2" spans="1:7" x14ac:dyDescent="0.35">
      <c r="A2" s="5" t="s">
        <v>2</v>
      </c>
      <c r="B2" s="6">
        <v>18.045999999999999</v>
      </c>
      <c r="C2" s="7">
        <v>17.905000000000001</v>
      </c>
      <c r="D2" s="7">
        <v>17.829999999999998</v>
      </c>
      <c r="E2" s="7">
        <v>17.829999999999998</v>
      </c>
      <c r="F2" s="7" t="s">
        <v>2605</v>
      </c>
      <c r="G2" s="8">
        <v>7.0000000000000001E-3</v>
      </c>
    </row>
    <row r="3" spans="1:7" x14ac:dyDescent="0.35">
      <c r="A3" s="5" t="s">
        <v>6</v>
      </c>
      <c r="B3" s="9">
        <v>18.178999999999998</v>
      </c>
      <c r="C3" s="10">
        <v>18.170000000000002</v>
      </c>
      <c r="D3" s="10">
        <v>18.045000000000002</v>
      </c>
      <c r="E3" s="10">
        <v>18.045000000000002</v>
      </c>
      <c r="F3" s="10" t="s">
        <v>2606</v>
      </c>
      <c r="G3" s="11">
        <v>7.4000000000000003E-3</v>
      </c>
    </row>
    <row r="4" spans="1:7" x14ac:dyDescent="0.35">
      <c r="A4" s="5" t="s">
        <v>8</v>
      </c>
      <c r="B4" s="9">
        <v>18.393000000000001</v>
      </c>
      <c r="C4" s="10">
        <v>18.184999999999999</v>
      </c>
      <c r="D4" s="10">
        <v>17.975000000000001</v>
      </c>
      <c r="E4" s="10">
        <v>17.975000000000001</v>
      </c>
      <c r="F4" s="10" t="s">
        <v>2607</v>
      </c>
      <c r="G4" s="11">
        <v>1.18E-2</v>
      </c>
    </row>
    <row r="5" spans="1:7" x14ac:dyDescent="0.35">
      <c r="A5" s="5" t="s">
        <v>10</v>
      </c>
      <c r="B5" s="9">
        <v>18.167000000000002</v>
      </c>
      <c r="C5" s="10">
        <v>18.45</v>
      </c>
      <c r="D5" s="10">
        <v>18.085000000000001</v>
      </c>
      <c r="E5" s="10">
        <v>18.085000000000001</v>
      </c>
      <c r="F5" s="10" t="s">
        <v>2608</v>
      </c>
      <c r="G5" s="11">
        <v>-1.23E-2</v>
      </c>
    </row>
    <row r="6" spans="1:7" x14ac:dyDescent="0.35">
      <c r="A6" s="5" t="s">
        <v>12</v>
      </c>
      <c r="B6" s="9">
        <v>17.936</v>
      </c>
      <c r="C6" s="10">
        <v>18.12</v>
      </c>
      <c r="D6" s="10">
        <v>17.815000000000001</v>
      </c>
      <c r="E6" s="10">
        <v>17.815000000000001</v>
      </c>
      <c r="F6" s="10" t="s">
        <v>2609</v>
      </c>
      <c r="G6" s="11">
        <v>-1.2699999999999999E-2</v>
      </c>
    </row>
    <row r="7" spans="1:7" x14ac:dyDescent="0.35">
      <c r="A7" s="5" t="s">
        <v>16</v>
      </c>
      <c r="B7" s="9">
        <v>17.995999999999999</v>
      </c>
      <c r="C7" s="10">
        <v>18.13</v>
      </c>
      <c r="D7" s="10">
        <v>17.934999999999999</v>
      </c>
      <c r="E7" s="10">
        <v>17.934999999999999</v>
      </c>
      <c r="F7" s="10" t="s">
        <v>2610</v>
      </c>
      <c r="G7" s="11">
        <v>3.3E-3</v>
      </c>
    </row>
    <row r="8" spans="1:7" x14ac:dyDescent="0.35">
      <c r="A8" s="5" t="s">
        <v>18</v>
      </c>
      <c r="B8" s="9">
        <v>17.742000000000001</v>
      </c>
      <c r="C8" s="10">
        <v>17.975000000000001</v>
      </c>
      <c r="D8" s="10">
        <v>17.690000000000001</v>
      </c>
      <c r="E8" s="10">
        <v>17.690000000000001</v>
      </c>
      <c r="F8" s="10" t="s">
        <v>2611</v>
      </c>
      <c r="G8" s="11">
        <v>-1.41E-2</v>
      </c>
    </row>
    <row r="9" spans="1:7" x14ac:dyDescent="0.35">
      <c r="A9" s="5" t="s">
        <v>20</v>
      </c>
      <c r="B9" s="9">
        <v>17.988</v>
      </c>
      <c r="C9" s="10">
        <v>17.8</v>
      </c>
      <c r="D9" s="10">
        <v>17.754999999999999</v>
      </c>
      <c r="E9" s="10">
        <v>17.754999999999999</v>
      </c>
      <c r="F9" s="10" t="s">
        <v>2612</v>
      </c>
      <c r="G9" s="11">
        <v>1.3899999999999999E-2</v>
      </c>
    </row>
    <row r="10" spans="1:7" x14ac:dyDescent="0.35">
      <c r="A10" s="5" t="s">
        <v>22</v>
      </c>
      <c r="B10" s="9">
        <v>17.939</v>
      </c>
      <c r="C10" s="10">
        <v>18.010000000000002</v>
      </c>
      <c r="D10" s="10">
        <v>17.875</v>
      </c>
      <c r="E10" s="10">
        <v>17.875</v>
      </c>
      <c r="F10" s="10" t="s">
        <v>2613</v>
      </c>
      <c r="G10" s="11">
        <v>-2.7000000000000001E-3</v>
      </c>
    </row>
    <row r="11" spans="1:7" x14ac:dyDescent="0.35">
      <c r="A11" s="5" t="s">
        <v>28</v>
      </c>
      <c r="B11" s="9">
        <v>17.808</v>
      </c>
      <c r="C11" s="10">
        <v>18.04</v>
      </c>
      <c r="D11" s="10">
        <v>17.62</v>
      </c>
      <c r="E11" s="10">
        <v>17.62</v>
      </c>
      <c r="F11" s="10" t="s">
        <v>2614</v>
      </c>
      <c r="G11" s="11">
        <v>-7.3000000000000001E-3</v>
      </c>
    </row>
    <row r="12" spans="1:7" x14ac:dyDescent="0.35">
      <c r="A12" s="5" t="s">
        <v>29</v>
      </c>
      <c r="B12" s="9">
        <v>17.827999999999999</v>
      </c>
      <c r="C12" s="10">
        <v>17.785</v>
      </c>
      <c r="D12" s="10">
        <v>17.675000000000001</v>
      </c>
      <c r="E12" s="10">
        <v>17.675000000000001</v>
      </c>
      <c r="F12" s="10" t="s">
        <v>2615</v>
      </c>
      <c r="G12" s="11">
        <v>1.1000000000000001E-3</v>
      </c>
    </row>
    <row r="13" spans="1:7" x14ac:dyDescent="0.35">
      <c r="A13" s="5" t="s">
        <v>31</v>
      </c>
      <c r="B13" s="9">
        <v>17.829000000000001</v>
      </c>
      <c r="C13" s="10">
        <v>17.835000000000001</v>
      </c>
      <c r="D13" s="10">
        <v>17.59</v>
      </c>
      <c r="E13" s="10">
        <v>17.59</v>
      </c>
      <c r="F13" s="10" t="s">
        <v>2616</v>
      </c>
      <c r="G13" s="11">
        <v>1E-4</v>
      </c>
    </row>
    <row r="14" spans="1:7" x14ac:dyDescent="0.35">
      <c r="A14" s="5" t="s">
        <v>35</v>
      </c>
      <c r="B14" s="9">
        <v>18.056000000000001</v>
      </c>
      <c r="C14" s="10">
        <v>18.260000000000002</v>
      </c>
      <c r="D14" s="10">
        <v>18.04</v>
      </c>
      <c r="E14" s="10">
        <v>18.04</v>
      </c>
      <c r="F14" s="10" t="s">
        <v>2617</v>
      </c>
      <c r="G14" s="11">
        <v>1.2699999999999999E-2</v>
      </c>
    </row>
    <row r="15" spans="1:7" x14ac:dyDescent="0.35">
      <c r="A15" s="5" t="s">
        <v>37</v>
      </c>
      <c r="B15" s="9">
        <v>17.457999999999998</v>
      </c>
      <c r="C15" s="10">
        <v>18.094999999999999</v>
      </c>
      <c r="D15" s="10">
        <v>17.420000000000002</v>
      </c>
      <c r="E15" s="10">
        <v>17.420000000000002</v>
      </c>
      <c r="F15" s="10" t="s">
        <v>2618</v>
      </c>
      <c r="G15" s="11">
        <v>-3.3099999999999997E-2</v>
      </c>
    </row>
    <row r="16" spans="1:7" x14ac:dyDescent="0.35">
      <c r="A16" s="5" t="s">
        <v>39</v>
      </c>
      <c r="B16" s="9">
        <v>17.486999999999998</v>
      </c>
      <c r="C16" s="10">
        <v>17.440000000000001</v>
      </c>
      <c r="D16" s="10">
        <v>17.28</v>
      </c>
      <c r="E16" s="10">
        <v>17.28</v>
      </c>
      <c r="F16" s="10" t="s">
        <v>2619</v>
      </c>
      <c r="G16" s="11">
        <v>1.6999999999999999E-3</v>
      </c>
    </row>
    <row r="17" spans="1:7" x14ac:dyDescent="0.35">
      <c r="A17" s="5" t="s">
        <v>41</v>
      </c>
      <c r="B17" s="9">
        <v>18.032</v>
      </c>
      <c r="C17" s="10">
        <v>17.62</v>
      </c>
      <c r="D17" s="10">
        <v>17.62</v>
      </c>
      <c r="E17" s="10">
        <v>17.62</v>
      </c>
      <c r="F17" s="10" t="s">
        <v>2620</v>
      </c>
      <c r="G17" s="11">
        <v>3.1199999999999999E-2</v>
      </c>
    </row>
    <row r="18" spans="1:7" x14ac:dyDescent="0.35">
      <c r="A18" s="5" t="s">
        <v>45</v>
      </c>
      <c r="B18" s="9">
        <v>17.712</v>
      </c>
      <c r="C18" s="10">
        <v>18.135000000000002</v>
      </c>
      <c r="D18" s="10">
        <v>17.64</v>
      </c>
      <c r="E18" s="10">
        <v>17.64</v>
      </c>
      <c r="F18" s="10" t="s">
        <v>2621</v>
      </c>
      <c r="G18" s="11">
        <v>-1.77E-2</v>
      </c>
    </row>
    <row r="19" spans="1:7" x14ac:dyDescent="0.35">
      <c r="A19" s="5" t="s">
        <v>47</v>
      </c>
      <c r="B19" s="9">
        <v>17.600000000000001</v>
      </c>
      <c r="C19" s="10">
        <v>17.745000000000001</v>
      </c>
      <c r="D19" s="10">
        <v>17.585000000000001</v>
      </c>
      <c r="E19" s="10">
        <v>17.585000000000001</v>
      </c>
      <c r="F19" s="10" t="s">
        <v>2622</v>
      </c>
      <c r="G19" s="11">
        <v>-6.3E-3</v>
      </c>
    </row>
    <row r="20" spans="1:7" x14ac:dyDescent="0.35">
      <c r="A20" s="5" t="s">
        <v>49</v>
      </c>
      <c r="B20" s="9">
        <v>17.643000000000001</v>
      </c>
      <c r="C20" s="10">
        <v>17.585000000000001</v>
      </c>
      <c r="D20" s="10">
        <v>17.559999999999999</v>
      </c>
      <c r="E20" s="10">
        <v>17.559999999999999</v>
      </c>
      <c r="F20" s="10" t="s">
        <v>2623</v>
      </c>
      <c r="G20" s="11">
        <v>2.3999999999999998E-3</v>
      </c>
    </row>
    <row r="21" spans="1:7" x14ac:dyDescent="0.35">
      <c r="A21" s="5" t="s">
        <v>51</v>
      </c>
      <c r="B21" s="9">
        <v>17.856999999999999</v>
      </c>
      <c r="C21" s="10">
        <v>17.635000000000002</v>
      </c>
      <c r="D21" s="10">
        <v>17.635000000000002</v>
      </c>
      <c r="E21" s="10">
        <v>17.635000000000002</v>
      </c>
      <c r="F21" s="10" t="s">
        <v>2624</v>
      </c>
      <c r="G21" s="11">
        <v>1.21E-2</v>
      </c>
    </row>
    <row r="22" spans="1:7" x14ac:dyDescent="0.35">
      <c r="A22" s="5" t="s">
        <v>55</v>
      </c>
      <c r="B22" s="9">
        <v>17.826000000000001</v>
      </c>
      <c r="C22" s="10">
        <v>17.765000000000001</v>
      </c>
      <c r="D22" s="10">
        <v>17.725000000000001</v>
      </c>
      <c r="E22" s="10">
        <v>17.725000000000001</v>
      </c>
      <c r="F22" s="10" t="s">
        <v>2625</v>
      </c>
      <c r="G22" s="11">
        <v>-1.6999999999999999E-3</v>
      </c>
    </row>
    <row r="23" spans="1:7" x14ac:dyDescent="0.35">
      <c r="A23" s="5" t="s">
        <v>57</v>
      </c>
      <c r="B23" s="9">
        <v>17.638000000000002</v>
      </c>
      <c r="C23" s="10">
        <v>17.77</v>
      </c>
      <c r="D23" s="10">
        <v>17.594999999999999</v>
      </c>
      <c r="E23" s="10">
        <v>17.594999999999999</v>
      </c>
      <c r="F23" s="10" t="s">
        <v>2626</v>
      </c>
      <c r="G23" s="11">
        <v>-1.0500000000000001E-2</v>
      </c>
    </row>
    <row r="24" spans="1:7" x14ac:dyDescent="0.35">
      <c r="A24" s="5" t="s">
        <v>59</v>
      </c>
      <c r="B24" s="9">
        <v>17.536999999999999</v>
      </c>
      <c r="C24" s="10">
        <v>17.62</v>
      </c>
      <c r="D24" s="10">
        <v>17.48</v>
      </c>
      <c r="E24" s="10">
        <v>17.48</v>
      </c>
      <c r="F24" s="10" t="s">
        <v>2627</v>
      </c>
      <c r="G24" s="11">
        <v>-5.7000000000000002E-3</v>
      </c>
    </row>
    <row r="25" spans="1:7" x14ac:dyDescent="0.35">
      <c r="A25" s="5" t="s">
        <v>61</v>
      </c>
      <c r="B25" s="9">
        <v>17.66</v>
      </c>
      <c r="C25" s="10">
        <v>17.574999999999999</v>
      </c>
      <c r="D25" s="10">
        <v>17.574999999999999</v>
      </c>
      <c r="E25" s="10">
        <v>17.574999999999999</v>
      </c>
      <c r="F25" s="10" t="s">
        <v>2628</v>
      </c>
      <c r="G25" s="11">
        <v>7.0000000000000001E-3</v>
      </c>
    </row>
    <row r="26" spans="1:7" x14ac:dyDescent="0.35">
      <c r="A26" s="5" t="s">
        <v>67</v>
      </c>
      <c r="B26" s="9">
        <v>18.192</v>
      </c>
      <c r="C26" s="10">
        <v>17.760000000000002</v>
      </c>
      <c r="D26" s="10">
        <v>17.760000000000002</v>
      </c>
      <c r="E26" s="10">
        <v>17.760000000000002</v>
      </c>
      <c r="F26" s="10" t="s">
        <v>2629</v>
      </c>
      <c r="G26" s="11">
        <v>3.0099999999999998E-2</v>
      </c>
    </row>
    <row r="27" spans="1:7" x14ac:dyDescent="0.35">
      <c r="A27" s="5" t="s">
        <v>68</v>
      </c>
      <c r="B27" s="9">
        <v>18.359000000000002</v>
      </c>
      <c r="C27" s="10">
        <v>18.2</v>
      </c>
      <c r="D27" s="10">
        <v>18.2</v>
      </c>
      <c r="E27" s="10">
        <v>18.2</v>
      </c>
      <c r="F27" s="10" t="s">
        <v>2630</v>
      </c>
      <c r="G27" s="11">
        <v>9.1999999999999998E-3</v>
      </c>
    </row>
    <row r="28" spans="1:7" x14ac:dyDescent="0.35">
      <c r="A28" s="5" t="s">
        <v>70</v>
      </c>
      <c r="B28" s="9">
        <v>18.367000000000001</v>
      </c>
      <c r="C28" s="10">
        <v>18.414999999999999</v>
      </c>
      <c r="D28" s="10">
        <v>18.254999999999999</v>
      </c>
      <c r="E28" s="10">
        <v>18.254999999999999</v>
      </c>
      <c r="F28" s="10" t="s">
        <v>2631</v>
      </c>
      <c r="G28" s="11">
        <v>4.0000000000000002E-4</v>
      </c>
    </row>
    <row r="29" spans="1:7" x14ac:dyDescent="0.35">
      <c r="A29" s="5" t="s">
        <v>74</v>
      </c>
      <c r="B29" s="9">
        <v>18.922999999999998</v>
      </c>
      <c r="C29" s="10">
        <v>18.675000000000001</v>
      </c>
      <c r="D29" s="10">
        <v>18.585000000000001</v>
      </c>
      <c r="E29" s="10">
        <v>18.585000000000001</v>
      </c>
      <c r="F29" s="10" t="s">
        <v>2632</v>
      </c>
      <c r="G29" s="11">
        <v>3.0300000000000001E-2</v>
      </c>
    </row>
    <row r="30" spans="1:7" x14ac:dyDescent="0.35">
      <c r="A30" s="5" t="s">
        <v>76</v>
      </c>
      <c r="B30" s="9">
        <v>18.228999999999999</v>
      </c>
      <c r="C30" s="10">
        <v>18.664999999999999</v>
      </c>
      <c r="D30" s="10">
        <v>17.91</v>
      </c>
      <c r="E30" s="10">
        <v>17.91</v>
      </c>
      <c r="F30" s="10" t="s">
        <v>2633</v>
      </c>
      <c r="G30" s="11">
        <v>-3.6700000000000003E-2</v>
      </c>
    </row>
    <row r="31" spans="1:7" x14ac:dyDescent="0.35">
      <c r="A31" s="5" t="s">
        <v>78</v>
      </c>
      <c r="B31" s="9">
        <v>17.873999999999999</v>
      </c>
      <c r="C31" s="10">
        <v>18.035</v>
      </c>
      <c r="D31" s="10">
        <v>17.785</v>
      </c>
      <c r="E31" s="10">
        <v>17.785</v>
      </c>
      <c r="F31" s="10" t="s">
        <v>2634</v>
      </c>
      <c r="G31" s="11">
        <v>-1.95E-2</v>
      </c>
    </row>
    <row r="32" spans="1:7" x14ac:dyDescent="0.35">
      <c r="A32" s="5" t="s">
        <v>80</v>
      </c>
      <c r="B32" s="9">
        <v>17.734999999999999</v>
      </c>
      <c r="C32" s="10">
        <v>17.945</v>
      </c>
      <c r="D32" s="10">
        <v>17.63</v>
      </c>
      <c r="E32" s="10">
        <v>17.63</v>
      </c>
      <c r="F32" s="10" t="s">
        <v>2635</v>
      </c>
      <c r="G32" s="11">
        <v>-7.7999999999999996E-3</v>
      </c>
    </row>
    <row r="33" spans="1:7" x14ac:dyDescent="0.35">
      <c r="A33" s="5" t="s">
        <v>84</v>
      </c>
      <c r="B33" s="9">
        <v>16.739000000000001</v>
      </c>
      <c r="C33" s="10">
        <v>16.5</v>
      </c>
      <c r="D33" s="10">
        <v>16.445</v>
      </c>
      <c r="E33" s="10">
        <v>16.445</v>
      </c>
      <c r="F33" s="10" t="s">
        <v>2636</v>
      </c>
      <c r="G33" s="11">
        <v>-5.62E-2</v>
      </c>
    </row>
    <row r="34" spans="1:7" x14ac:dyDescent="0.35">
      <c r="A34" s="5" t="s">
        <v>86</v>
      </c>
      <c r="B34" s="9">
        <v>17.187999999999999</v>
      </c>
      <c r="C34" s="10">
        <v>16.664999999999999</v>
      </c>
      <c r="D34" s="10">
        <v>16.664999999999999</v>
      </c>
      <c r="E34" s="10">
        <v>16.664999999999999</v>
      </c>
      <c r="F34" s="10" t="s">
        <v>2637</v>
      </c>
      <c r="G34" s="11">
        <v>2.6800000000000001E-2</v>
      </c>
    </row>
    <row r="35" spans="1:7" x14ac:dyDescent="0.35">
      <c r="A35" s="5" t="s">
        <v>88</v>
      </c>
      <c r="B35" s="9">
        <v>17.245999999999999</v>
      </c>
      <c r="C35" s="10">
        <v>17.204999999999998</v>
      </c>
      <c r="D35" s="10">
        <v>17.074999999999999</v>
      </c>
      <c r="E35" s="10">
        <v>17.074999999999999</v>
      </c>
      <c r="F35" s="10" t="s">
        <v>2638</v>
      </c>
      <c r="G35" s="11">
        <v>3.3999999999999998E-3</v>
      </c>
    </row>
    <row r="36" spans="1:7" x14ac:dyDescent="0.35">
      <c r="A36" s="5" t="s">
        <v>90</v>
      </c>
      <c r="B36" s="9">
        <v>17.393000000000001</v>
      </c>
      <c r="C36" s="10">
        <v>17.23</v>
      </c>
      <c r="D36" s="10">
        <v>17.149999999999999</v>
      </c>
      <c r="E36" s="10">
        <v>17.149999999999999</v>
      </c>
      <c r="F36" s="10" t="s">
        <v>2639</v>
      </c>
      <c r="G36" s="11">
        <v>8.5000000000000006E-3</v>
      </c>
    </row>
    <row r="37" spans="1:7" x14ac:dyDescent="0.35">
      <c r="A37" s="5" t="s">
        <v>94</v>
      </c>
      <c r="B37" s="9">
        <v>17.053999999999998</v>
      </c>
      <c r="C37" s="10">
        <v>17.489999999999998</v>
      </c>
      <c r="D37" s="10">
        <v>16.55</v>
      </c>
      <c r="E37" s="10">
        <v>16.55</v>
      </c>
      <c r="F37" s="10" t="s">
        <v>2640</v>
      </c>
      <c r="G37" s="11">
        <v>-1.95E-2</v>
      </c>
    </row>
    <row r="38" spans="1:7" x14ac:dyDescent="0.35">
      <c r="A38" s="5" t="s">
        <v>96</v>
      </c>
      <c r="B38" s="9">
        <v>16.954999999999998</v>
      </c>
      <c r="C38" s="10">
        <v>17.02</v>
      </c>
      <c r="D38" s="10">
        <v>16.79</v>
      </c>
      <c r="E38" s="10">
        <v>16.79</v>
      </c>
      <c r="F38" s="10" t="s">
        <v>2641</v>
      </c>
      <c r="G38" s="11">
        <v>-5.7999999999999996E-3</v>
      </c>
    </row>
    <row r="39" spans="1:7" x14ac:dyDescent="0.35">
      <c r="A39" s="5" t="s">
        <v>98</v>
      </c>
      <c r="B39" s="9">
        <v>16.776</v>
      </c>
      <c r="C39" s="10">
        <v>16.875</v>
      </c>
      <c r="D39" s="10">
        <v>16.66</v>
      </c>
      <c r="E39" s="10">
        <v>16.66</v>
      </c>
      <c r="F39" s="10" t="s">
        <v>1146</v>
      </c>
      <c r="G39" s="11">
        <v>-1.06E-2</v>
      </c>
    </row>
    <row r="40" spans="1:7" x14ac:dyDescent="0.35">
      <c r="A40" s="5" t="s">
        <v>100</v>
      </c>
      <c r="B40" s="9">
        <v>16.004999999999999</v>
      </c>
      <c r="C40" s="10">
        <v>16.72</v>
      </c>
      <c r="D40" s="10">
        <v>15.505000000000001</v>
      </c>
      <c r="E40" s="10">
        <v>15.505000000000001</v>
      </c>
      <c r="F40" s="10" t="s">
        <v>2642</v>
      </c>
      <c r="G40" s="11">
        <v>-4.5999999999999999E-2</v>
      </c>
    </row>
    <row r="41" spans="1:7" x14ac:dyDescent="0.35">
      <c r="A41" s="5" t="s">
        <v>104</v>
      </c>
      <c r="B41" s="9">
        <v>12.816000000000001</v>
      </c>
      <c r="C41" s="10">
        <v>15.1</v>
      </c>
      <c r="D41" s="10">
        <v>11.77</v>
      </c>
      <c r="E41" s="10">
        <v>11.77</v>
      </c>
      <c r="F41" s="10" t="s">
        <v>2643</v>
      </c>
      <c r="G41" s="11">
        <v>-0.1993</v>
      </c>
    </row>
    <row r="42" spans="1:7" x14ac:dyDescent="0.35">
      <c r="A42" s="5" t="s">
        <v>106</v>
      </c>
      <c r="B42" s="9">
        <v>12.494999999999999</v>
      </c>
      <c r="C42" s="10">
        <v>12.86</v>
      </c>
      <c r="D42" s="10">
        <v>12.11</v>
      </c>
      <c r="E42" s="10">
        <v>12.11</v>
      </c>
      <c r="F42" s="10" t="s">
        <v>2644</v>
      </c>
      <c r="G42" s="11">
        <v>-2.5000000000000001E-2</v>
      </c>
    </row>
    <row r="43" spans="1:7" x14ac:dyDescent="0.35">
      <c r="A43" s="5" t="s">
        <v>108</v>
      </c>
      <c r="B43" s="9">
        <v>11.772</v>
      </c>
      <c r="C43" s="10">
        <v>12.61</v>
      </c>
      <c r="D43" s="10">
        <v>11.64</v>
      </c>
      <c r="E43" s="10">
        <v>11.64</v>
      </c>
      <c r="F43" s="10" t="s">
        <v>2645</v>
      </c>
      <c r="G43" s="11">
        <v>-5.79E-2</v>
      </c>
    </row>
    <row r="44" spans="1:7" x14ac:dyDescent="0.35">
      <c r="A44" s="5" t="s">
        <v>110</v>
      </c>
      <c r="B44" s="9">
        <v>12.134</v>
      </c>
      <c r="C44" s="10">
        <v>11.975</v>
      </c>
      <c r="D44" s="10">
        <v>11.76</v>
      </c>
      <c r="E44" s="10">
        <v>11.76</v>
      </c>
      <c r="F44" s="10" t="s">
        <v>2646</v>
      </c>
      <c r="G44" s="11">
        <v>3.0800000000000001E-2</v>
      </c>
    </row>
    <row r="45" spans="1:7" x14ac:dyDescent="0.35">
      <c r="A45" s="5" t="s">
        <v>114</v>
      </c>
      <c r="B45" s="9">
        <v>13.260999999999999</v>
      </c>
      <c r="C45" s="10">
        <v>12.615</v>
      </c>
      <c r="D45" s="10">
        <v>12.29</v>
      </c>
      <c r="E45" s="10">
        <v>12.29</v>
      </c>
      <c r="F45" s="10" t="s">
        <v>2647</v>
      </c>
      <c r="G45" s="11">
        <v>9.2899999999999996E-2</v>
      </c>
    </row>
    <row r="46" spans="1:7" x14ac:dyDescent="0.35">
      <c r="A46" s="5" t="s">
        <v>116</v>
      </c>
      <c r="B46" s="9">
        <v>14.257</v>
      </c>
      <c r="C46" s="10">
        <v>13.32</v>
      </c>
      <c r="D46" s="10">
        <v>13.22</v>
      </c>
      <c r="E46" s="10">
        <v>13.22</v>
      </c>
      <c r="F46" s="10" t="s">
        <v>2648</v>
      </c>
      <c r="G46" s="11">
        <v>7.51E-2</v>
      </c>
    </row>
    <row r="47" spans="1:7" x14ac:dyDescent="0.35">
      <c r="A47" s="5" t="s">
        <v>118</v>
      </c>
      <c r="B47" s="9">
        <v>14.872999999999999</v>
      </c>
      <c r="C47" s="10">
        <v>14.414999999999999</v>
      </c>
      <c r="D47" s="10">
        <v>14.205</v>
      </c>
      <c r="E47" s="10">
        <v>14.205</v>
      </c>
      <c r="F47" s="10" t="s">
        <v>2649</v>
      </c>
      <c r="G47" s="11">
        <v>4.3200000000000002E-2</v>
      </c>
    </row>
    <row r="48" spans="1:7" x14ac:dyDescent="0.35">
      <c r="A48" s="5" t="s">
        <v>120</v>
      </c>
      <c r="B48" s="9">
        <v>14.676</v>
      </c>
      <c r="C48" s="10">
        <v>14.77</v>
      </c>
      <c r="D48" s="10">
        <v>14.4</v>
      </c>
      <c r="E48" s="10">
        <v>14.4</v>
      </c>
      <c r="F48" s="10" t="s">
        <v>2650</v>
      </c>
      <c r="G48" s="11">
        <v>-1.32E-2</v>
      </c>
    </row>
    <row r="49" spans="1:7" x14ac:dyDescent="0.35">
      <c r="A49" s="5" t="s">
        <v>124</v>
      </c>
      <c r="B49" s="9">
        <v>14.156000000000001</v>
      </c>
      <c r="C49" s="10">
        <v>14.73</v>
      </c>
      <c r="D49" s="10">
        <v>13.994999999999999</v>
      </c>
      <c r="E49" s="10">
        <v>13.994999999999999</v>
      </c>
      <c r="F49" s="10" t="s">
        <v>2651</v>
      </c>
      <c r="G49" s="11">
        <v>-3.5400000000000001E-2</v>
      </c>
    </row>
    <row r="50" spans="1:7" x14ac:dyDescent="0.35">
      <c r="A50" s="5" t="s">
        <v>126</v>
      </c>
      <c r="B50" s="9">
        <v>14.18</v>
      </c>
      <c r="C50" s="10">
        <v>14.105</v>
      </c>
      <c r="D50" s="10">
        <v>14.105</v>
      </c>
      <c r="E50" s="10">
        <v>14.105</v>
      </c>
      <c r="F50" s="10" t="s">
        <v>2652</v>
      </c>
      <c r="G50" s="11">
        <v>1.6999999999999999E-3</v>
      </c>
    </row>
    <row r="51" spans="1:7" x14ac:dyDescent="0.35">
      <c r="A51" s="5" t="s">
        <v>128</v>
      </c>
      <c r="B51" s="9">
        <v>14.007999999999999</v>
      </c>
      <c r="C51" s="10">
        <v>14.175000000000001</v>
      </c>
      <c r="D51" s="10">
        <v>14.175000000000001</v>
      </c>
      <c r="E51" s="10">
        <v>14.175000000000001</v>
      </c>
      <c r="F51" s="10" t="s">
        <v>2653</v>
      </c>
      <c r="G51" s="11">
        <v>-1.21E-2</v>
      </c>
    </row>
    <row r="52" spans="1:7" x14ac:dyDescent="0.35">
      <c r="A52" s="5" t="s">
        <v>130</v>
      </c>
      <c r="B52" s="9">
        <v>14.678000000000001</v>
      </c>
      <c r="C52" s="10">
        <v>14.585000000000001</v>
      </c>
      <c r="D52" s="10">
        <v>14.574999999999999</v>
      </c>
      <c r="E52" s="10">
        <v>14.574999999999999</v>
      </c>
      <c r="F52" s="10" t="s">
        <v>2654</v>
      </c>
      <c r="G52" s="11">
        <v>4.7800000000000002E-2</v>
      </c>
    </row>
    <row r="53" spans="1:7" x14ac:dyDescent="0.35">
      <c r="A53" s="5" t="s">
        <v>134</v>
      </c>
      <c r="B53" s="9">
        <v>15.193</v>
      </c>
      <c r="C53" s="10">
        <v>14.654999999999999</v>
      </c>
      <c r="D53" s="10">
        <v>14.645</v>
      </c>
      <c r="E53" s="10">
        <v>14.645</v>
      </c>
      <c r="F53" s="10" t="s">
        <v>2655</v>
      </c>
      <c r="G53" s="11">
        <v>3.5099999999999999E-2</v>
      </c>
    </row>
    <row r="54" spans="1:7" x14ac:dyDescent="0.35">
      <c r="A54" s="5" t="s">
        <v>136</v>
      </c>
      <c r="B54" s="9">
        <v>15.504</v>
      </c>
      <c r="C54" s="10">
        <v>15.65</v>
      </c>
      <c r="D54" s="10">
        <v>15.265000000000001</v>
      </c>
      <c r="E54" s="10">
        <v>15.265000000000001</v>
      </c>
      <c r="F54" s="10" t="s">
        <v>2656</v>
      </c>
      <c r="G54" s="11">
        <v>2.0500000000000001E-2</v>
      </c>
    </row>
    <row r="55" spans="1:7" x14ac:dyDescent="0.35">
      <c r="A55" s="5" t="s">
        <v>138</v>
      </c>
      <c r="B55" s="9">
        <v>15.228999999999999</v>
      </c>
      <c r="C55" s="10">
        <v>15.28</v>
      </c>
      <c r="D55" s="10">
        <v>15.154999999999999</v>
      </c>
      <c r="E55" s="10">
        <v>15.154999999999999</v>
      </c>
      <c r="F55" s="10" t="s">
        <v>2657</v>
      </c>
      <c r="G55" s="11">
        <v>-1.77E-2</v>
      </c>
    </row>
    <row r="56" spans="1:7" x14ac:dyDescent="0.35">
      <c r="A56" s="5" t="s">
        <v>142</v>
      </c>
      <c r="B56" s="9">
        <v>15.561</v>
      </c>
      <c r="C56" s="10">
        <v>16</v>
      </c>
      <c r="D56" s="10">
        <v>15.47</v>
      </c>
      <c r="E56" s="10">
        <v>15.47</v>
      </c>
      <c r="F56" s="10" t="s">
        <v>2658</v>
      </c>
      <c r="G56" s="11">
        <v>2.18E-2</v>
      </c>
    </row>
    <row r="57" spans="1:7" x14ac:dyDescent="0.35">
      <c r="A57" s="5" t="s">
        <v>144</v>
      </c>
      <c r="B57" s="9">
        <v>16.154</v>
      </c>
      <c r="C57" s="10">
        <v>15.81</v>
      </c>
      <c r="D57" s="10">
        <v>15.81</v>
      </c>
      <c r="E57" s="10">
        <v>15.81</v>
      </c>
      <c r="F57" s="10" t="s">
        <v>2659</v>
      </c>
      <c r="G57" s="11">
        <v>3.8100000000000002E-2</v>
      </c>
    </row>
    <row r="58" spans="1:7" x14ac:dyDescent="0.35">
      <c r="A58" s="5" t="s">
        <v>146</v>
      </c>
      <c r="B58" s="9">
        <v>15.529</v>
      </c>
      <c r="C58" s="10">
        <v>16.09</v>
      </c>
      <c r="D58" s="10">
        <v>15.6</v>
      </c>
      <c r="E58" s="10">
        <v>15.6</v>
      </c>
      <c r="F58" s="10" t="s">
        <v>2660</v>
      </c>
      <c r="G58" s="11">
        <v>-3.8699999999999998E-2</v>
      </c>
    </row>
    <row r="59" spans="1:7" x14ac:dyDescent="0.35">
      <c r="A59" s="5" t="s">
        <v>148</v>
      </c>
      <c r="B59" s="9">
        <v>15.646000000000001</v>
      </c>
      <c r="C59" s="10">
        <v>15.625</v>
      </c>
      <c r="D59" s="10">
        <v>15.625</v>
      </c>
      <c r="E59" s="10">
        <v>15.625</v>
      </c>
      <c r="F59" s="10" t="s">
        <v>2661</v>
      </c>
      <c r="G59" s="11">
        <v>7.4999999999999997E-3</v>
      </c>
    </row>
    <row r="60" spans="1:7" x14ac:dyDescent="0.35">
      <c r="A60" s="5" t="s">
        <v>152</v>
      </c>
      <c r="B60" s="9">
        <v>15.638</v>
      </c>
      <c r="C60" s="10">
        <v>15.38</v>
      </c>
      <c r="D60" s="10">
        <v>15.38</v>
      </c>
      <c r="E60" s="10">
        <v>15.38</v>
      </c>
      <c r="F60" s="10" t="s">
        <v>2662</v>
      </c>
      <c r="G60" s="11">
        <v>-5.0000000000000001E-4</v>
      </c>
    </row>
    <row r="61" spans="1:7" x14ac:dyDescent="0.35">
      <c r="A61" s="5" t="s">
        <v>154</v>
      </c>
      <c r="B61" s="9">
        <v>14.9</v>
      </c>
      <c r="C61" s="10">
        <v>15.61</v>
      </c>
      <c r="D61" s="10">
        <v>14.7</v>
      </c>
      <c r="E61" s="10">
        <v>14.7</v>
      </c>
      <c r="F61" s="10" t="s">
        <v>2663</v>
      </c>
      <c r="G61" s="11">
        <v>-4.7199999999999999E-2</v>
      </c>
    </row>
    <row r="62" spans="1:7" x14ac:dyDescent="0.35">
      <c r="A62" s="5" t="s">
        <v>156</v>
      </c>
      <c r="B62" s="9">
        <v>15.359</v>
      </c>
      <c r="C62" s="10">
        <v>15.085000000000001</v>
      </c>
      <c r="D62" s="10">
        <v>14.875</v>
      </c>
      <c r="E62" s="10">
        <v>14.875</v>
      </c>
      <c r="F62" s="10" t="s">
        <v>2664</v>
      </c>
      <c r="G62" s="11">
        <v>3.0800000000000001E-2</v>
      </c>
    </row>
    <row r="63" spans="1:7" x14ac:dyDescent="0.35">
      <c r="A63" s="5" t="s">
        <v>158</v>
      </c>
      <c r="B63" s="9">
        <v>15.381</v>
      </c>
      <c r="C63" s="10">
        <v>15.35</v>
      </c>
      <c r="D63" s="10">
        <v>15.31</v>
      </c>
      <c r="E63" s="10">
        <v>15.31</v>
      </c>
      <c r="F63" s="10" t="s">
        <v>2665</v>
      </c>
      <c r="G63" s="11">
        <v>1.4E-3</v>
      </c>
    </row>
    <row r="64" spans="1:7" x14ac:dyDescent="0.35">
      <c r="A64" s="5" t="s">
        <v>162</v>
      </c>
      <c r="B64" s="9">
        <v>15.298999999999999</v>
      </c>
      <c r="C64" s="10">
        <v>15.475</v>
      </c>
      <c r="D64" s="10">
        <v>15.24</v>
      </c>
      <c r="E64" s="10">
        <v>15.24</v>
      </c>
      <c r="F64" s="10" t="s">
        <v>2666</v>
      </c>
      <c r="G64" s="11">
        <v>-5.3E-3</v>
      </c>
    </row>
    <row r="65" spans="1:7" x14ac:dyDescent="0.35">
      <c r="A65" s="5" t="s">
        <v>164</v>
      </c>
      <c r="B65" s="9">
        <v>15.26</v>
      </c>
      <c r="C65" s="10">
        <v>15.375</v>
      </c>
      <c r="D65" s="10">
        <v>15.025</v>
      </c>
      <c r="E65" s="10">
        <v>15.025</v>
      </c>
      <c r="F65" s="10" t="s">
        <v>2667</v>
      </c>
      <c r="G65" s="11">
        <v>-2.5000000000000001E-3</v>
      </c>
    </row>
    <row r="66" spans="1:7" x14ac:dyDescent="0.35">
      <c r="A66" s="5" t="s">
        <v>166</v>
      </c>
      <c r="B66" s="9">
        <v>15.315</v>
      </c>
      <c r="C66" s="10">
        <v>15.33</v>
      </c>
      <c r="D66" s="10">
        <v>15.234999999999999</v>
      </c>
      <c r="E66" s="10">
        <v>15.234999999999999</v>
      </c>
      <c r="F66" s="10" t="s">
        <v>2668</v>
      </c>
      <c r="G66" s="11">
        <v>3.5999999999999999E-3</v>
      </c>
    </row>
    <row r="67" spans="1:7" x14ac:dyDescent="0.35">
      <c r="A67" s="5" t="s">
        <v>168</v>
      </c>
      <c r="B67" s="9">
        <v>14.973000000000001</v>
      </c>
      <c r="C67" s="10">
        <v>15.53</v>
      </c>
      <c r="D67" s="10">
        <v>14.85</v>
      </c>
      <c r="E67" s="10">
        <v>14.85</v>
      </c>
      <c r="F67" s="10" t="s">
        <v>2669</v>
      </c>
      <c r="G67" s="11">
        <v>-2.23E-2</v>
      </c>
    </row>
    <row r="68" spans="1:7" x14ac:dyDescent="0.35">
      <c r="A68" s="5" t="s">
        <v>172</v>
      </c>
      <c r="B68" s="9">
        <v>14.795999999999999</v>
      </c>
      <c r="C68" s="10">
        <v>15.074999999999999</v>
      </c>
      <c r="D68" s="10">
        <v>14.76</v>
      </c>
      <c r="E68" s="10">
        <v>14.76</v>
      </c>
      <c r="F68" s="10" t="s">
        <v>2670</v>
      </c>
      <c r="G68" s="11">
        <v>-1.18E-2</v>
      </c>
    </row>
    <row r="69" spans="1:7" x14ac:dyDescent="0.35">
      <c r="A69" s="5" t="s">
        <v>174</v>
      </c>
      <c r="B69" s="9">
        <v>15.11</v>
      </c>
      <c r="C69" s="10">
        <v>14.845000000000001</v>
      </c>
      <c r="D69" s="10">
        <v>14.76</v>
      </c>
      <c r="E69" s="10">
        <v>14.76</v>
      </c>
      <c r="F69" s="10" t="s">
        <v>2671</v>
      </c>
      <c r="G69" s="11">
        <v>2.12E-2</v>
      </c>
    </row>
    <row r="70" spans="1:7" x14ac:dyDescent="0.35">
      <c r="A70" s="5" t="s">
        <v>176</v>
      </c>
      <c r="B70" s="9">
        <v>15.015000000000001</v>
      </c>
      <c r="C70" s="10">
        <v>15.115</v>
      </c>
      <c r="D70" s="10">
        <v>14.84</v>
      </c>
      <c r="E70" s="10">
        <v>14.84</v>
      </c>
      <c r="F70" s="10" t="s">
        <v>2672</v>
      </c>
      <c r="G70" s="11">
        <v>-6.3E-3</v>
      </c>
    </row>
    <row r="71" spans="1:7" x14ac:dyDescent="0.35">
      <c r="A71" s="5" t="s">
        <v>178</v>
      </c>
      <c r="B71" s="9">
        <v>15.59</v>
      </c>
      <c r="C71" s="10">
        <v>14.92</v>
      </c>
      <c r="D71" s="10">
        <v>14.92</v>
      </c>
      <c r="E71" s="10">
        <v>14.92</v>
      </c>
      <c r="F71" s="10" t="s">
        <v>2673</v>
      </c>
      <c r="G71" s="11">
        <v>3.8300000000000001E-2</v>
      </c>
    </row>
    <row r="72" spans="1:7" x14ac:dyDescent="0.35">
      <c r="A72" s="5" t="s">
        <v>182</v>
      </c>
      <c r="B72" s="9">
        <v>15.68</v>
      </c>
      <c r="C72" s="10">
        <v>15.755000000000001</v>
      </c>
      <c r="D72" s="10">
        <v>15.51</v>
      </c>
      <c r="E72" s="10">
        <v>15.51</v>
      </c>
      <c r="F72" s="10" t="s">
        <v>2674</v>
      </c>
      <c r="G72" s="11">
        <v>5.7999999999999996E-3</v>
      </c>
    </row>
    <row r="73" spans="1:7" x14ac:dyDescent="0.35">
      <c r="A73" s="5" t="s">
        <v>184</v>
      </c>
      <c r="B73" s="9">
        <v>15.709</v>
      </c>
      <c r="C73" s="10">
        <v>15.7</v>
      </c>
      <c r="D73" s="10">
        <v>15.525</v>
      </c>
      <c r="E73" s="10">
        <v>15.525</v>
      </c>
      <c r="F73" s="10" t="s">
        <v>2675</v>
      </c>
      <c r="G73" s="11">
        <v>1.8E-3</v>
      </c>
    </row>
    <row r="74" spans="1:7" x14ac:dyDescent="0.35">
      <c r="A74" s="5" t="s">
        <v>186</v>
      </c>
      <c r="B74" s="9">
        <v>15.670999999999999</v>
      </c>
      <c r="C74" s="10">
        <v>15.625</v>
      </c>
      <c r="D74" s="10">
        <v>15.545</v>
      </c>
      <c r="E74" s="10">
        <v>15.545</v>
      </c>
      <c r="F74" s="10" t="s">
        <v>2676</v>
      </c>
      <c r="G74" s="11">
        <v>-2.3999999999999998E-3</v>
      </c>
    </row>
    <row r="75" spans="1:7" x14ac:dyDescent="0.35">
      <c r="A75" s="5" t="s">
        <v>188</v>
      </c>
      <c r="B75" s="9">
        <v>16.155999999999999</v>
      </c>
      <c r="C75" s="10">
        <v>15.755000000000001</v>
      </c>
      <c r="D75" s="10">
        <v>15.66</v>
      </c>
      <c r="E75" s="10">
        <v>15.66</v>
      </c>
      <c r="F75" s="10" t="s">
        <v>2677</v>
      </c>
      <c r="G75" s="11">
        <v>3.09E-2</v>
      </c>
    </row>
    <row r="76" spans="1:7" x14ac:dyDescent="0.35">
      <c r="A76" s="5" t="s">
        <v>192</v>
      </c>
      <c r="B76" s="9">
        <v>17.468</v>
      </c>
      <c r="C76" s="10">
        <v>17.225000000000001</v>
      </c>
      <c r="D76" s="10">
        <v>17.125</v>
      </c>
      <c r="E76" s="10">
        <v>17.125</v>
      </c>
      <c r="F76" s="10" t="s">
        <v>2678</v>
      </c>
      <c r="G76" s="11">
        <v>8.1199999999999994E-2</v>
      </c>
    </row>
    <row r="77" spans="1:7" x14ac:dyDescent="0.35">
      <c r="A77" s="5" t="s">
        <v>194</v>
      </c>
      <c r="B77" s="9">
        <v>17.901</v>
      </c>
      <c r="C77" s="10">
        <v>17.37</v>
      </c>
      <c r="D77" s="10">
        <v>17.34</v>
      </c>
      <c r="E77" s="10">
        <v>17.34</v>
      </c>
      <c r="F77" s="10" t="s">
        <v>2679</v>
      </c>
      <c r="G77" s="11">
        <v>2.4799999999999999E-2</v>
      </c>
    </row>
    <row r="78" spans="1:7" x14ac:dyDescent="0.35">
      <c r="A78" s="5" t="s">
        <v>196</v>
      </c>
      <c r="B78" s="9">
        <v>18.030999999999999</v>
      </c>
      <c r="C78" s="10">
        <v>17.875</v>
      </c>
      <c r="D78" s="10">
        <v>17.754999999999999</v>
      </c>
      <c r="E78" s="10">
        <v>17.754999999999999</v>
      </c>
      <c r="F78" s="10" t="s">
        <v>2680</v>
      </c>
      <c r="G78" s="11">
        <v>7.3000000000000001E-3</v>
      </c>
    </row>
    <row r="79" spans="1:7" x14ac:dyDescent="0.35">
      <c r="A79" s="5" t="s">
        <v>198</v>
      </c>
      <c r="B79" s="9">
        <v>17.364000000000001</v>
      </c>
      <c r="C79" s="10">
        <v>18.055</v>
      </c>
      <c r="D79" s="10">
        <v>17.260000000000002</v>
      </c>
      <c r="E79" s="10">
        <v>17.260000000000002</v>
      </c>
      <c r="F79" s="10" t="s">
        <v>2681</v>
      </c>
      <c r="G79" s="11">
        <v>-3.6999999999999998E-2</v>
      </c>
    </row>
    <row r="80" spans="1:7" x14ac:dyDescent="0.35">
      <c r="A80" s="5" t="s">
        <v>204</v>
      </c>
      <c r="B80" s="9">
        <v>17.594999999999999</v>
      </c>
      <c r="C80" s="10">
        <v>17.63</v>
      </c>
      <c r="D80" s="10">
        <v>17.37</v>
      </c>
      <c r="E80" s="10">
        <v>17.37</v>
      </c>
      <c r="F80" s="10" t="s">
        <v>2682</v>
      </c>
      <c r="G80" s="11">
        <v>1.3299999999999999E-2</v>
      </c>
    </row>
    <row r="81" spans="1:7" x14ac:dyDescent="0.35">
      <c r="A81" s="5" t="s">
        <v>205</v>
      </c>
      <c r="B81" s="9">
        <v>17.757000000000001</v>
      </c>
      <c r="C81" s="10">
        <v>17.559999999999999</v>
      </c>
      <c r="D81" s="10">
        <v>17.225000000000001</v>
      </c>
      <c r="E81" s="10">
        <v>17.225000000000001</v>
      </c>
      <c r="F81" s="10" t="s">
        <v>2683</v>
      </c>
      <c r="G81" s="11">
        <v>9.1999999999999998E-3</v>
      </c>
    </row>
    <row r="82" spans="1:7" x14ac:dyDescent="0.35">
      <c r="A82" s="5" t="s">
        <v>207</v>
      </c>
      <c r="B82" s="9">
        <v>18.009</v>
      </c>
      <c r="C82" s="10">
        <v>17.855</v>
      </c>
      <c r="D82" s="10">
        <v>17.774999999999999</v>
      </c>
      <c r="E82" s="10">
        <v>17.774999999999999</v>
      </c>
      <c r="F82" s="10" t="s">
        <v>2684</v>
      </c>
      <c r="G82" s="11">
        <v>1.4200000000000001E-2</v>
      </c>
    </row>
    <row r="83" spans="1:7" x14ac:dyDescent="0.35">
      <c r="A83" s="5" t="s">
        <v>211</v>
      </c>
      <c r="B83" s="9">
        <v>18.869</v>
      </c>
      <c r="C83" s="10">
        <v>18.739999999999998</v>
      </c>
      <c r="D83" s="10">
        <v>18.684999999999999</v>
      </c>
      <c r="E83" s="10">
        <v>18.684999999999999</v>
      </c>
      <c r="F83" s="10" t="s">
        <v>2685</v>
      </c>
      <c r="G83" s="11">
        <v>4.7800000000000002E-2</v>
      </c>
    </row>
    <row r="84" spans="1:7" x14ac:dyDescent="0.35">
      <c r="A84" s="5" t="s">
        <v>213</v>
      </c>
      <c r="B84" s="9">
        <v>18.315000000000001</v>
      </c>
      <c r="C84" s="10">
        <v>18.850000000000001</v>
      </c>
      <c r="D84" s="10">
        <v>18.399999999999999</v>
      </c>
      <c r="E84" s="10">
        <v>18.399999999999999</v>
      </c>
      <c r="F84" s="10" t="s">
        <v>2686</v>
      </c>
      <c r="G84" s="11">
        <v>-2.9399999999999999E-2</v>
      </c>
    </row>
    <row r="85" spans="1:7" x14ac:dyDescent="0.35">
      <c r="A85" s="5" t="s">
        <v>215</v>
      </c>
      <c r="B85" s="9">
        <v>18.013000000000002</v>
      </c>
      <c r="C85" s="10">
        <v>18.295000000000002</v>
      </c>
      <c r="D85" s="10">
        <v>17.765000000000001</v>
      </c>
      <c r="E85" s="10">
        <v>17.765000000000001</v>
      </c>
      <c r="F85" s="10" t="s">
        <v>2687</v>
      </c>
      <c r="G85" s="11">
        <v>-1.6500000000000001E-2</v>
      </c>
    </row>
    <row r="86" spans="1:7" x14ac:dyDescent="0.35">
      <c r="A86" s="5" t="s">
        <v>217</v>
      </c>
      <c r="B86" s="9">
        <v>18.116</v>
      </c>
      <c r="C86" s="10">
        <v>17.86</v>
      </c>
      <c r="D86" s="10">
        <v>17.86</v>
      </c>
      <c r="E86" s="10">
        <v>17.86</v>
      </c>
      <c r="F86" s="10" t="s">
        <v>2688</v>
      </c>
      <c r="G86" s="11">
        <v>5.7000000000000002E-3</v>
      </c>
    </row>
    <row r="87" spans="1:7" x14ac:dyDescent="0.35">
      <c r="A87" s="5" t="s">
        <v>221</v>
      </c>
      <c r="B87" s="9">
        <v>17.995000000000001</v>
      </c>
      <c r="C87" s="10">
        <v>17.635000000000002</v>
      </c>
      <c r="D87" s="10">
        <v>17.635000000000002</v>
      </c>
      <c r="E87" s="10">
        <v>17.635000000000002</v>
      </c>
      <c r="F87" s="10" t="s">
        <v>2689</v>
      </c>
      <c r="G87" s="11">
        <v>-6.7000000000000002E-3</v>
      </c>
    </row>
    <row r="88" spans="1:7" x14ac:dyDescent="0.35">
      <c r="A88" s="5" t="s">
        <v>223</v>
      </c>
      <c r="B88" s="9">
        <v>17.896000000000001</v>
      </c>
      <c r="C88" s="10">
        <v>17.920000000000002</v>
      </c>
      <c r="D88" s="10">
        <v>17.829999999999998</v>
      </c>
      <c r="E88" s="10">
        <v>17.829999999999998</v>
      </c>
      <c r="F88" s="10" t="s">
        <v>2690</v>
      </c>
      <c r="G88" s="11">
        <v>-5.4999999999999997E-3</v>
      </c>
    </row>
    <row r="89" spans="1:7" x14ac:dyDescent="0.35">
      <c r="A89" s="5" t="s">
        <v>225</v>
      </c>
      <c r="B89" s="9">
        <v>17.884</v>
      </c>
      <c r="C89" s="10">
        <v>18.03</v>
      </c>
      <c r="D89" s="10">
        <v>17.844999999999999</v>
      </c>
      <c r="E89" s="10">
        <v>17.844999999999999</v>
      </c>
      <c r="F89" s="10" t="s">
        <v>2691</v>
      </c>
      <c r="G89" s="11">
        <v>-6.9999999999999999E-4</v>
      </c>
    </row>
    <row r="90" spans="1:7" x14ac:dyDescent="0.35">
      <c r="A90" s="5" t="s">
        <v>227</v>
      </c>
      <c r="B90" s="9">
        <v>17.97</v>
      </c>
      <c r="C90" s="10">
        <v>18.36</v>
      </c>
      <c r="D90" s="10">
        <v>17.829999999999998</v>
      </c>
      <c r="E90" s="10">
        <v>17.829999999999998</v>
      </c>
      <c r="F90" s="10" t="s">
        <v>2692</v>
      </c>
      <c r="G90" s="11">
        <v>4.7999999999999996E-3</v>
      </c>
    </row>
    <row r="91" spans="1:7" x14ac:dyDescent="0.35">
      <c r="A91" s="5" t="s">
        <v>231</v>
      </c>
      <c r="B91" s="9">
        <v>17.484000000000002</v>
      </c>
      <c r="C91" s="10">
        <v>17.635000000000002</v>
      </c>
      <c r="D91" s="10">
        <v>17.125</v>
      </c>
      <c r="E91" s="10">
        <v>17.125</v>
      </c>
      <c r="F91" s="10" t="s">
        <v>2693</v>
      </c>
      <c r="G91" s="11">
        <v>-2.7E-2</v>
      </c>
    </row>
    <row r="92" spans="1:7" x14ac:dyDescent="0.35">
      <c r="A92" s="5" t="s">
        <v>233</v>
      </c>
      <c r="B92" s="9">
        <v>17.734999999999999</v>
      </c>
      <c r="C92" s="10">
        <v>17.664999999999999</v>
      </c>
      <c r="D92" s="10">
        <v>17.55</v>
      </c>
      <c r="E92" s="10">
        <v>17.55</v>
      </c>
      <c r="F92" s="10" t="s">
        <v>2694</v>
      </c>
      <c r="G92" s="11">
        <v>1.44E-2</v>
      </c>
    </row>
    <row r="93" spans="1:7" x14ac:dyDescent="0.35">
      <c r="A93" s="5" t="s">
        <v>235</v>
      </c>
      <c r="B93" s="9">
        <v>17.86</v>
      </c>
      <c r="C93" s="10">
        <v>17.8</v>
      </c>
      <c r="D93" s="10">
        <v>17.725000000000001</v>
      </c>
      <c r="E93" s="10">
        <v>17.725000000000001</v>
      </c>
      <c r="F93" s="10" t="s">
        <v>2695</v>
      </c>
      <c r="G93" s="11">
        <v>7.0000000000000001E-3</v>
      </c>
    </row>
    <row r="94" spans="1:7" x14ac:dyDescent="0.35">
      <c r="A94" s="5" t="s">
        <v>237</v>
      </c>
      <c r="B94" s="9">
        <v>17.600999999999999</v>
      </c>
      <c r="C94" s="10">
        <v>17.75</v>
      </c>
      <c r="D94" s="10">
        <v>17.57</v>
      </c>
      <c r="E94" s="10">
        <v>17.57</v>
      </c>
      <c r="F94" s="10" t="s">
        <v>2696</v>
      </c>
      <c r="G94" s="11">
        <v>-1.4500000000000001E-2</v>
      </c>
    </row>
    <row r="95" spans="1:7" x14ac:dyDescent="0.35">
      <c r="A95" s="5" t="s">
        <v>241</v>
      </c>
      <c r="B95" s="9">
        <v>17.992000000000001</v>
      </c>
      <c r="C95" s="10">
        <v>18.04</v>
      </c>
      <c r="D95" s="10">
        <v>17.88</v>
      </c>
      <c r="E95" s="10">
        <v>17.88</v>
      </c>
      <c r="F95" s="10" t="s">
        <v>2697</v>
      </c>
      <c r="G95" s="11">
        <v>2.2200000000000001E-2</v>
      </c>
    </row>
    <row r="96" spans="1:7" x14ac:dyDescent="0.35">
      <c r="A96" s="5" t="s">
        <v>243</v>
      </c>
      <c r="B96" s="9">
        <v>18.155000000000001</v>
      </c>
      <c r="C96" s="10">
        <v>17.940000000000001</v>
      </c>
      <c r="D96" s="10">
        <v>17.899999999999999</v>
      </c>
      <c r="E96" s="10">
        <v>17.899999999999999</v>
      </c>
      <c r="F96" s="10" t="s">
        <v>2698</v>
      </c>
      <c r="G96" s="11">
        <v>9.1000000000000004E-3</v>
      </c>
    </row>
    <row r="97" spans="1:7" x14ac:dyDescent="0.35">
      <c r="A97" s="5" t="s">
        <v>245</v>
      </c>
      <c r="B97" s="9">
        <v>17.734000000000002</v>
      </c>
      <c r="C97" s="10">
        <v>18.23</v>
      </c>
      <c r="D97" s="10">
        <v>17.600000000000001</v>
      </c>
      <c r="E97" s="10">
        <v>17.600000000000001</v>
      </c>
      <c r="F97" s="10" t="s">
        <v>2699</v>
      </c>
      <c r="G97" s="11">
        <v>-2.3199999999999998E-2</v>
      </c>
    </row>
    <row r="98" spans="1:7" x14ac:dyDescent="0.35">
      <c r="A98" s="5" t="s">
        <v>247</v>
      </c>
      <c r="B98" s="9">
        <v>17.968</v>
      </c>
      <c r="C98" s="10">
        <v>17.635000000000002</v>
      </c>
      <c r="D98" s="10">
        <v>17.559999999999999</v>
      </c>
      <c r="E98" s="10">
        <v>17.559999999999999</v>
      </c>
      <c r="F98" s="10" t="s">
        <v>2700</v>
      </c>
      <c r="G98" s="11">
        <v>1.32E-2</v>
      </c>
    </row>
    <row r="99" spans="1:7" x14ac:dyDescent="0.35">
      <c r="A99" s="5" t="s">
        <v>251</v>
      </c>
      <c r="B99" s="9">
        <v>18.064</v>
      </c>
      <c r="C99" s="10">
        <v>18.11</v>
      </c>
      <c r="D99" s="10">
        <v>17.934999999999999</v>
      </c>
      <c r="E99" s="10">
        <v>17.934999999999999</v>
      </c>
      <c r="F99" s="10" t="s">
        <v>2701</v>
      </c>
      <c r="G99" s="11">
        <v>5.3E-3</v>
      </c>
    </row>
    <row r="100" spans="1:7" x14ac:dyDescent="0.35">
      <c r="A100" s="5" t="s">
        <v>253</v>
      </c>
      <c r="B100" s="9">
        <v>18.637</v>
      </c>
      <c r="C100" s="10">
        <v>18.094999999999999</v>
      </c>
      <c r="D100" s="10">
        <v>18.02</v>
      </c>
      <c r="E100" s="10">
        <v>18.02</v>
      </c>
      <c r="F100" s="10" t="s">
        <v>2702</v>
      </c>
      <c r="G100" s="11">
        <v>3.1699999999999999E-2</v>
      </c>
    </row>
    <row r="101" spans="1:7" x14ac:dyDescent="0.35">
      <c r="A101" s="5" t="s">
        <v>255</v>
      </c>
      <c r="B101" s="9">
        <v>18.218</v>
      </c>
      <c r="C101" s="10">
        <v>18.579999999999998</v>
      </c>
      <c r="D101" s="10">
        <v>18.094999999999999</v>
      </c>
      <c r="E101" s="10">
        <v>18.094999999999999</v>
      </c>
      <c r="F101" s="10" t="s">
        <v>2703</v>
      </c>
      <c r="G101" s="11">
        <v>-2.2499999999999999E-2</v>
      </c>
    </row>
    <row r="102" spans="1:7" x14ac:dyDescent="0.35">
      <c r="A102" s="5" t="s">
        <v>257</v>
      </c>
      <c r="B102" s="9">
        <v>18.321999999999999</v>
      </c>
      <c r="C102" s="10">
        <v>18.285</v>
      </c>
      <c r="D102" s="10">
        <v>17.995000000000001</v>
      </c>
      <c r="E102" s="10">
        <v>17.995000000000001</v>
      </c>
      <c r="F102" s="10" t="s">
        <v>2704</v>
      </c>
      <c r="G102" s="11">
        <v>5.7000000000000002E-3</v>
      </c>
    </row>
    <row r="103" spans="1:7" x14ac:dyDescent="0.35">
      <c r="A103" s="5" t="s">
        <v>261</v>
      </c>
      <c r="B103" s="9">
        <v>18.582000000000001</v>
      </c>
      <c r="C103" s="10">
        <v>18.27</v>
      </c>
      <c r="D103" s="10">
        <v>18.245000000000001</v>
      </c>
      <c r="E103" s="10">
        <v>18.245000000000001</v>
      </c>
      <c r="F103" s="10" t="s">
        <v>2705</v>
      </c>
      <c r="G103" s="11">
        <v>1.4200000000000001E-2</v>
      </c>
    </row>
    <row r="104" spans="1:7" x14ac:dyDescent="0.35">
      <c r="A104" s="5" t="s">
        <v>262</v>
      </c>
      <c r="B104" s="9">
        <v>18.699000000000002</v>
      </c>
      <c r="C104" s="10">
        <v>18.585000000000001</v>
      </c>
      <c r="D104" s="10">
        <v>18.234999999999999</v>
      </c>
      <c r="E104" s="10">
        <v>18.234999999999999</v>
      </c>
      <c r="F104" s="10" t="s">
        <v>1013</v>
      </c>
      <c r="G104" s="11">
        <v>6.3E-3</v>
      </c>
    </row>
    <row r="105" spans="1:7" x14ac:dyDescent="0.35">
      <c r="A105" s="5" t="s">
        <v>264</v>
      </c>
      <c r="B105" s="9">
        <v>19.161000000000001</v>
      </c>
      <c r="C105" s="10">
        <v>18.625</v>
      </c>
      <c r="D105" s="10">
        <v>18.585000000000001</v>
      </c>
      <c r="E105" s="10">
        <v>18.585000000000001</v>
      </c>
      <c r="F105" s="10" t="s">
        <v>2706</v>
      </c>
      <c r="G105" s="11">
        <v>2.47E-2</v>
      </c>
    </row>
    <row r="106" spans="1:7" x14ac:dyDescent="0.35">
      <c r="A106" s="5" t="s">
        <v>266</v>
      </c>
      <c r="B106" s="9">
        <v>18.962</v>
      </c>
      <c r="C106" s="10">
        <v>19.149999999999999</v>
      </c>
      <c r="D106" s="10">
        <v>18.829999999999998</v>
      </c>
      <c r="E106" s="10">
        <v>18.829999999999998</v>
      </c>
      <c r="F106" s="10" t="s">
        <v>2707</v>
      </c>
      <c r="G106" s="11">
        <v>-1.04E-2</v>
      </c>
    </row>
    <row r="107" spans="1:7" x14ac:dyDescent="0.35">
      <c r="A107" s="5" t="s">
        <v>270</v>
      </c>
      <c r="B107" s="9">
        <v>19.788</v>
      </c>
      <c r="C107" s="10">
        <v>19.079999999999998</v>
      </c>
      <c r="D107" s="10">
        <v>19.079999999999998</v>
      </c>
      <c r="E107" s="10">
        <v>19.079999999999998</v>
      </c>
      <c r="F107" s="10" t="s">
        <v>2708</v>
      </c>
      <c r="G107" s="11">
        <v>4.36E-2</v>
      </c>
    </row>
    <row r="108" spans="1:7" x14ac:dyDescent="0.35">
      <c r="A108" s="5" t="s">
        <v>272</v>
      </c>
      <c r="B108" s="9">
        <v>19.53</v>
      </c>
      <c r="C108" s="10">
        <v>19.454999999999998</v>
      </c>
      <c r="D108" s="10">
        <v>19.239999999999998</v>
      </c>
      <c r="E108" s="10">
        <v>19.239999999999998</v>
      </c>
      <c r="F108" s="10" t="s">
        <v>2709</v>
      </c>
      <c r="G108" s="11">
        <v>-1.2999999999999999E-2</v>
      </c>
    </row>
    <row r="109" spans="1:7" x14ac:dyDescent="0.35">
      <c r="A109" s="5" t="s">
        <v>274</v>
      </c>
      <c r="B109" s="9">
        <v>19.760999999999999</v>
      </c>
      <c r="C109" s="10">
        <v>19.645</v>
      </c>
      <c r="D109" s="10">
        <v>19.524999999999999</v>
      </c>
      <c r="E109" s="10">
        <v>19.524999999999999</v>
      </c>
      <c r="F109" s="10" t="s">
        <v>2710</v>
      </c>
      <c r="G109" s="11">
        <v>1.18E-2</v>
      </c>
    </row>
    <row r="110" spans="1:7" x14ac:dyDescent="0.35">
      <c r="A110" s="5" t="s">
        <v>276</v>
      </c>
      <c r="B110" s="9">
        <v>19.573</v>
      </c>
      <c r="C110" s="10">
        <v>19.82</v>
      </c>
      <c r="D110" s="10">
        <v>19.475000000000001</v>
      </c>
      <c r="E110" s="10">
        <v>19.475000000000001</v>
      </c>
      <c r="F110" s="10" t="s">
        <v>2711</v>
      </c>
      <c r="G110" s="11">
        <v>-9.4999999999999998E-3</v>
      </c>
    </row>
    <row r="111" spans="1:7" x14ac:dyDescent="0.35">
      <c r="A111" s="5" t="s">
        <v>280</v>
      </c>
      <c r="B111" s="9">
        <v>20.192</v>
      </c>
      <c r="C111" s="10">
        <v>19.765000000000001</v>
      </c>
      <c r="D111" s="10">
        <v>19.655000000000001</v>
      </c>
      <c r="E111" s="10">
        <v>19.655000000000001</v>
      </c>
      <c r="F111" s="10" t="s">
        <v>2712</v>
      </c>
      <c r="G111" s="11">
        <v>3.1600000000000003E-2</v>
      </c>
    </row>
    <row r="112" spans="1:7" x14ac:dyDescent="0.35">
      <c r="A112" s="5" t="s">
        <v>282</v>
      </c>
      <c r="B112" s="9">
        <v>21.556999999999999</v>
      </c>
      <c r="C112" s="10">
        <v>20.34</v>
      </c>
      <c r="D112" s="10">
        <v>20.315000000000001</v>
      </c>
      <c r="E112" s="10">
        <v>20.315000000000001</v>
      </c>
      <c r="F112" s="10" t="s">
        <v>2713</v>
      </c>
      <c r="G112" s="11">
        <v>6.7599999999999993E-2</v>
      </c>
    </row>
    <row r="113" spans="1:7" x14ac:dyDescent="0.35">
      <c r="A113" s="5" t="s">
        <v>284</v>
      </c>
      <c r="B113" s="9">
        <v>23.143999999999998</v>
      </c>
      <c r="C113" s="10">
        <v>21.7</v>
      </c>
      <c r="D113" s="10">
        <v>21.68</v>
      </c>
      <c r="E113" s="10">
        <v>21.68</v>
      </c>
      <c r="F113" s="10" t="s">
        <v>2714</v>
      </c>
      <c r="G113" s="11">
        <v>7.3599999999999999E-2</v>
      </c>
    </row>
    <row r="114" spans="1:7" x14ac:dyDescent="0.35">
      <c r="A114" s="5" t="s">
        <v>286</v>
      </c>
      <c r="B114" s="9">
        <v>22.988</v>
      </c>
      <c r="C114" s="10">
        <v>23.405000000000001</v>
      </c>
      <c r="D114" s="10">
        <v>22.475000000000001</v>
      </c>
      <c r="E114" s="10">
        <v>22.475000000000001</v>
      </c>
      <c r="F114" s="10" t="s">
        <v>2715</v>
      </c>
      <c r="G114" s="11">
        <v>-6.7000000000000002E-3</v>
      </c>
    </row>
    <row r="115" spans="1:7" x14ac:dyDescent="0.35">
      <c r="A115" s="5" t="s">
        <v>290</v>
      </c>
      <c r="B115" s="9">
        <v>24.501000000000001</v>
      </c>
      <c r="C115" s="10">
        <v>22.97</v>
      </c>
      <c r="D115" s="10">
        <v>22.94</v>
      </c>
      <c r="E115" s="10">
        <v>22.94</v>
      </c>
      <c r="F115" s="10" t="s">
        <v>2716</v>
      </c>
      <c r="G115" s="11">
        <v>6.5799999999999997E-2</v>
      </c>
    </row>
    <row r="116" spans="1:7" x14ac:dyDescent="0.35">
      <c r="A116" s="5" t="s">
        <v>292</v>
      </c>
      <c r="B116" s="9">
        <v>24.3</v>
      </c>
      <c r="C116" s="10">
        <v>24.7</v>
      </c>
      <c r="D116" s="10">
        <v>22.46</v>
      </c>
      <c r="E116" s="10">
        <v>22.46</v>
      </c>
      <c r="F116" s="10" t="s">
        <v>2717</v>
      </c>
      <c r="G116" s="11">
        <v>-8.2000000000000007E-3</v>
      </c>
    </row>
    <row r="117" spans="1:7" x14ac:dyDescent="0.35">
      <c r="A117" s="5" t="s">
        <v>294</v>
      </c>
      <c r="B117" s="9">
        <v>24.321000000000002</v>
      </c>
      <c r="C117" s="10">
        <v>24.58</v>
      </c>
      <c r="D117" s="10">
        <v>23.434999999999999</v>
      </c>
      <c r="E117" s="10">
        <v>23.434999999999999</v>
      </c>
      <c r="F117" s="10" t="s">
        <v>2718</v>
      </c>
      <c r="G117" s="11">
        <v>8.9999999999999998E-4</v>
      </c>
    </row>
    <row r="118" spans="1:7" x14ac:dyDescent="0.35">
      <c r="A118" s="5" t="s">
        <v>296</v>
      </c>
      <c r="B118" s="9">
        <v>23.45</v>
      </c>
      <c r="C118" s="10">
        <v>24.734999999999999</v>
      </c>
      <c r="D118" s="10">
        <v>23.28</v>
      </c>
      <c r="E118" s="10">
        <v>23.28</v>
      </c>
      <c r="F118" s="10" t="s">
        <v>2719</v>
      </c>
      <c r="G118" s="11">
        <v>-3.5799999999999998E-2</v>
      </c>
    </row>
    <row r="119" spans="1:7" x14ac:dyDescent="0.35">
      <c r="A119" s="5" t="s">
        <v>300</v>
      </c>
      <c r="B119" s="9">
        <v>24.504999999999999</v>
      </c>
      <c r="C119" s="10">
        <v>24.48</v>
      </c>
      <c r="D119" s="10">
        <v>24.3</v>
      </c>
      <c r="E119" s="10">
        <v>24.3</v>
      </c>
      <c r="F119" s="10" t="s">
        <v>2720</v>
      </c>
      <c r="G119" s="11">
        <v>4.4999999999999998E-2</v>
      </c>
    </row>
    <row r="120" spans="1:7" x14ac:dyDescent="0.35">
      <c r="A120" s="5" t="s">
        <v>302</v>
      </c>
      <c r="B120" s="9">
        <v>26.091000000000001</v>
      </c>
      <c r="C120" s="10">
        <v>24.57</v>
      </c>
      <c r="D120" s="10">
        <v>24.57</v>
      </c>
      <c r="E120" s="10">
        <v>24.57</v>
      </c>
      <c r="F120" s="10" t="s">
        <v>2721</v>
      </c>
      <c r="G120" s="11">
        <v>6.4699999999999994E-2</v>
      </c>
    </row>
    <row r="121" spans="1:7" x14ac:dyDescent="0.35">
      <c r="A121" s="5" t="s">
        <v>304</v>
      </c>
      <c r="B121" s="9">
        <v>26.952999999999999</v>
      </c>
      <c r="C121" s="10">
        <v>26.53</v>
      </c>
      <c r="D121" s="10">
        <v>25.925000000000001</v>
      </c>
      <c r="E121" s="10">
        <v>25.925000000000001</v>
      </c>
      <c r="F121" s="10" t="s">
        <v>2722</v>
      </c>
      <c r="G121" s="11">
        <v>3.3000000000000002E-2</v>
      </c>
    </row>
    <row r="122" spans="1:7" x14ac:dyDescent="0.35">
      <c r="A122" s="5" t="s">
        <v>306</v>
      </c>
      <c r="B122" s="9">
        <v>28.47</v>
      </c>
      <c r="C122" s="10">
        <v>27.15</v>
      </c>
      <c r="D122" s="10">
        <v>27.145</v>
      </c>
      <c r="E122" s="10">
        <v>27.145</v>
      </c>
      <c r="F122" s="10" t="s">
        <v>2723</v>
      </c>
      <c r="G122" s="11">
        <v>5.6300000000000003E-2</v>
      </c>
    </row>
    <row r="123" spans="1:7" x14ac:dyDescent="0.35">
      <c r="A123" s="5" t="s">
        <v>310</v>
      </c>
      <c r="B123" s="9">
        <v>29.311</v>
      </c>
      <c r="C123" s="10">
        <v>28.26</v>
      </c>
      <c r="D123" s="10">
        <v>28.175000000000001</v>
      </c>
      <c r="E123" s="10">
        <v>28.175000000000001</v>
      </c>
      <c r="F123" s="10" t="s">
        <v>2724</v>
      </c>
      <c r="G123" s="11">
        <v>2.9499999999999998E-2</v>
      </c>
    </row>
    <row r="124" spans="1:7" x14ac:dyDescent="0.35">
      <c r="A124" s="5" t="s">
        <v>312</v>
      </c>
      <c r="B124" s="9">
        <v>26.1</v>
      </c>
      <c r="C124" s="10">
        <v>29.274999999999999</v>
      </c>
      <c r="D124" s="10">
        <v>24.725000000000001</v>
      </c>
      <c r="E124" s="10">
        <v>24.725000000000001</v>
      </c>
      <c r="F124" s="10" t="s">
        <v>2725</v>
      </c>
      <c r="G124" s="11">
        <v>-0.1095</v>
      </c>
    </row>
    <row r="125" spans="1:7" x14ac:dyDescent="0.35">
      <c r="A125" s="5" t="s">
        <v>314</v>
      </c>
      <c r="B125" s="9">
        <v>26.023</v>
      </c>
      <c r="C125" s="10">
        <v>25.2</v>
      </c>
      <c r="D125" s="10">
        <v>23.664999999999999</v>
      </c>
      <c r="E125" s="10">
        <v>23.664999999999999</v>
      </c>
      <c r="F125" s="10" t="s">
        <v>2726</v>
      </c>
      <c r="G125" s="11">
        <v>-3.0000000000000001E-3</v>
      </c>
    </row>
    <row r="126" spans="1:7" x14ac:dyDescent="0.35">
      <c r="A126" s="5" t="s">
        <v>316</v>
      </c>
      <c r="B126" s="9">
        <v>27.762</v>
      </c>
      <c r="C126" s="10">
        <v>25.715</v>
      </c>
      <c r="D126" s="10">
        <v>25.715</v>
      </c>
      <c r="E126" s="10">
        <v>25.715</v>
      </c>
      <c r="F126" s="10" t="s">
        <v>2727</v>
      </c>
      <c r="G126" s="11">
        <v>6.6799999999999998E-2</v>
      </c>
    </row>
    <row r="127" spans="1:7" x14ac:dyDescent="0.35">
      <c r="A127" s="5" t="s">
        <v>320</v>
      </c>
      <c r="B127" s="9">
        <v>27.716999999999999</v>
      </c>
      <c r="C127" s="10">
        <v>26.76</v>
      </c>
      <c r="D127" s="10">
        <v>26.114999999999998</v>
      </c>
      <c r="E127" s="10">
        <v>26.114999999999998</v>
      </c>
      <c r="F127" s="10" t="s">
        <v>2728</v>
      </c>
      <c r="G127" s="11">
        <v>-1.6000000000000001E-3</v>
      </c>
    </row>
    <row r="128" spans="1:7" x14ac:dyDescent="0.35">
      <c r="A128" s="5" t="s">
        <v>322</v>
      </c>
      <c r="B128" s="9">
        <v>28.114999999999998</v>
      </c>
      <c r="C128" s="10">
        <v>27.57</v>
      </c>
      <c r="D128" s="10">
        <v>27.375</v>
      </c>
      <c r="E128" s="10">
        <v>27.375</v>
      </c>
      <c r="F128" s="10" t="s">
        <v>1722</v>
      </c>
      <c r="G128" s="11">
        <v>1.44E-2</v>
      </c>
    </row>
    <row r="129" spans="1:7" x14ac:dyDescent="0.35">
      <c r="A129" s="5" t="s">
        <v>324</v>
      </c>
      <c r="B129" s="9">
        <v>27.385000000000002</v>
      </c>
      <c r="C129" s="10">
        <v>28.074999999999999</v>
      </c>
      <c r="D129" s="10">
        <v>26.585000000000001</v>
      </c>
      <c r="E129" s="10">
        <v>26.585000000000001</v>
      </c>
      <c r="F129" s="10" t="s">
        <v>2729</v>
      </c>
      <c r="G129" s="11">
        <v>-2.5999999999999999E-2</v>
      </c>
    </row>
    <row r="130" spans="1:7" x14ac:dyDescent="0.35">
      <c r="A130" s="5" t="s">
        <v>326</v>
      </c>
      <c r="B130" s="9">
        <v>27.192</v>
      </c>
      <c r="C130" s="10">
        <v>26.805</v>
      </c>
      <c r="D130" s="10">
        <v>26.725000000000001</v>
      </c>
      <c r="E130" s="10">
        <v>26.725000000000001</v>
      </c>
      <c r="F130" s="10" t="s">
        <v>2730</v>
      </c>
      <c r="G130" s="11">
        <v>-7.0000000000000001E-3</v>
      </c>
    </row>
    <row r="131" spans="1:7" x14ac:dyDescent="0.35">
      <c r="A131" s="5" t="s">
        <v>330</v>
      </c>
      <c r="B131" s="9">
        <v>26.661000000000001</v>
      </c>
      <c r="C131" s="10">
        <v>26.864999999999998</v>
      </c>
      <c r="D131" s="10">
        <v>26.41</v>
      </c>
      <c r="E131" s="10">
        <v>26.41</v>
      </c>
      <c r="F131" s="10" t="s">
        <v>2731</v>
      </c>
      <c r="G131" s="11">
        <v>-1.95E-2</v>
      </c>
    </row>
    <row r="132" spans="1:7" x14ac:dyDescent="0.35">
      <c r="A132" s="5" t="s">
        <v>332</v>
      </c>
      <c r="B132" s="9">
        <v>26.327999999999999</v>
      </c>
      <c r="C132" s="10">
        <v>26.844999999999999</v>
      </c>
      <c r="D132" s="10">
        <v>26.23</v>
      </c>
      <c r="E132" s="10">
        <v>26.23</v>
      </c>
      <c r="F132" s="10" t="s">
        <v>2732</v>
      </c>
      <c r="G132" s="11">
        <v>-1.2500000000000001E-2</v>
      </c>
    </row>
    <row r="133" spans="1:7" x14ac:dyDescent="0.35">
      <c r="A133" s="5" t="s">
        <v>334</v>
      </c>
      <c r="B133" s="9">
        <v>27.513999999999999</v>
      </c>
      <c r="C133" s="10">
        <v>26.614999999999998</v>
      </c>
      <c r="D133" s="10">
        <v>26.225000000000001</v>
      </c>
      <c r="E133" s="10">
        <v>26.225000000000001</v>
      </c>
      <c r="F133" s="10" t="s">
        <v>2733</v>
      </c>
      <c r="G133" s="11">
        <v>4.4999999999999998E-2</v>
      </c>
    </row>
    <row r="134" spans="1:7" x14ac:dyDescent="0.35">
      <c r="A134" s="5" t="s">
        <v>336</v>
      </c>
      <c r="B134" s="9">
        <v>27.09</v>
      </c>
      <c r="C134" s="10">
        <v>27.695</v>
      </c>
      <c r="D134" s="10">
        <v>26.63</v>
      </c>
      <c r="E134" s="10">
        <v>26.63</v>
      </c>
      <c r="F134" s="10" t="s">
        <v>2734</v>
      </c>
      <c r="G134" s="11">
        <v>-1.54E-2</v>
      </c>
    </row>
    <row r="135" spans="1:7" x14ac:dyDescent="0.35">
      <c r="A135" s="5" t="s">
        <v>340</v>
      </c>
      <c r="B135" s="9">
        <v>28.53</v>
      </c>
      <c r="C135" s="10">
        <v>28.23</v>
      </c>
      <c r="D135" s="10">
        <v>28.23</v>
      </c>
      <c r="E135" s="10">
        <v>28.23</v>
      </c>
      <c r="F135" s="10" t="s">
        <v>2735</v>
      </c>
      <c r="G135" s="11">
        <v>5.3199999999999997E-2</v>
      </c>
    </row>
    <row r="136" spans="1:7" x14ac:dyDescent="0.35">
      <c r="A136" s="5" t="s">
        <v>342</v>
      </c>
      <c r="B136" s="9">
        <v>28.574999999999999</v>
      </c>
      <c r="C136" s="10">
        <v>28.75</v>
      </c>
      <c r="D136" s="10">
        <v>28.155000000000001</v>
      </c>
      <c r="E136" s="10">
        <v>28.155000000000001</v>
      </c>
      <c r="F136" s="10" t="s">
        <v>2736</v>
      </c>
      <c r="G136" s="11">
        <v>1.6000000000000001E-3</v>
      </c>
    </row>
    <row r="137" spans="1:7" x14ac:dyDescent="0.35">
      <c r="A137" s="5" t="s">
        <v>344</v>
      </c>
      <c r="B137" s="9">
        <v>27.343</v>
      </c>
      <c r="C137" s="10">
        <v>28.3</v>
      </c>
      <c r="D137" s="10">
        <v>27.41</v>
      </c>
      <c r="E137" s="10">
        <v>27.41</v>
      </c>
      <c r="F137" s="10" t="s">
        <v>2737</v>
      </c>
      <c r="G137" s="11">
        <v>-4.3099999999999999E-2</v>
      </c>
    </row>
    <row r="138" spans="1:7" x14ac:dyDescent="0.35">
      <c r="A138" s="5" t="s">
        <v>346</v>
      </c>
      <c r="B138" s="9">
        <v>26.827999999999999</v>
      </c>
      <c r="C138" s="10">
        <v>27.19</v>
      </c>
      <c r="D138" s="10">
        <v>26.635000000000002</v>
      </c>
      <c r="E138" s="10">
        <v>26.635000000000002</v>
      </c>
      <c r="F138" s="10" t="s">
        <v>2738</v>
      </c>
      <c r="G138" s="11">
        <v>-1.8800000000000001E-2</v>
      </c>
    </row>
    <row r="139" spans="1:7" x14ac:dyDescent="0.35">
      <c r="A139" s="5" t="s">
        <v>352</v>
      </c>
      <c r="B139" s="9">
        <v>26.946999999999999</v>
      </c>
      <c r="C139" s="10">
        <v>27.04</v>
      </c>
      <c r="D139" s="10">
        <v>25.984999999999999</v>
      </c>
      <c r="E139" s="10">
        <v>25.984999999999999</v>
      </c>
      <c r="F139" s="10" t="s">
        <v>2739</v>
      </c>
      <c r="G139" s="11">
        <v>4.4000000000000003E-3</v>
      </c>
    </row>
    <row r="140" spans="1:7" x14ac:dyDescent="0.35">
      <c r="A140" s="5" t="s">
        <v>353</v>
      </c>
      <c r="B140" s="9">
        <v>27.041</v>
      </c>
      <c r="C140" s="10">
        <v>27.15</v>
      </c>
      <c r="D140" s="10">
        <v>27.15</v>
      </c>
      <c r="E140" s="10">
        <v>27.15</v>
      </c>
      <c r="F140" s="10" t="s">
        <v>2740</v>
      </c>
      <c r="G140" s="11">
        <v>3.5000000000000001E-3</v>
      </c>
    </row>
    <row r="141" spans="1:7" x14ac:dyDescent="0.35">
      <c r="A141" s="5" t="s">
        <v>355</v>
      </c>
      <c r="B141" s="9">
        <v>27.248999999999999</v>
      </c>
      <c r="C141" s="10">
        <v>27.19</v>
      </c>
      <c r="D141" s="10">
        <v>27.19</v>
      </c>
      <c r="E141" s="10">
        <v>27.19</v>
      </c>
      <c r="F141" s="10" t="s">
        <v>2741</v>
      </c>
      <c r="G141" s="11">
        <v>7.7000000000000002E-3</v>
      </c>
    </row>
    <row r="142" spans="1:7" x14ac:dyDescent="0.35">
      <c r="A142" s="5" t="s">
        <v>359</v>
      </c>
      <c r="B142" s="9">
        <v>27.31</v>
      </c>
      <c r="C142" s="10">
        <v>27.114999999999998</v>
      </c>
      <c r="D142" s="10">
        <v>27.114999999999998</v>
      </c>
      <c r="E142" s="10">
        <v>27.114999999999998</v>
      </c>
      <c r="F142" s="10" t="s">
        <v>2742</v>
      </c>
      <c r="G142" s="11">
        <v>2.2000000000000001E-3</v>
      </c>
    </row>
    <row r="143" spans="1:7" x14ac:dyDescent="0.35">
      <c r="A143" s="5" t="s">
        <v>361</v>
      </c>
      <c r="B143" s="9">
        <v>27.428999999999998</v>
      </c>
      <c r="C143" s="10">
        <v>27.22</v>
      </c>
      <c r="D143" s="10">
        <v>27.22</v>
      </c>
      <c r="E143" s="10">
        <v>27.22</v>
      </c>
      <c r="F143" s="10" t="s">
        <v>2743</v>
      </c>
      <c r="G143" s="11">
        <v>4.4000000000000003E-3</v>
      </c>
    </row>
    <row r="144" spans="1:7" x14ac:dyDescent="0.35">
      <c r="A144" s="5" t="s">
        <v>363</v>
      </c>
      <c r="B144" s="9">
        <v>27.443000000000001</v>
      </c>
      <c r="C144" s="10">
        <v>27.454999999999998</v>
      </c>
      <c r="D144" s="10">
        <v>27.454999999999998</v>
      </c>
      <c r="E144" s="10">
        <v>27.454999999999998</v>
      </c>
      <c r="F144" s="10" t="s">
        <v>2744</v>
      </c>
      <c r="G144" s="11">
        <v>5.0000000000000001E-4</v>
      </c>
    </row>
    <row r="145" spans="1:7" x14ac:dyDescent="0.35">
      <c r="A145" s="5" t="s">
        <v>365</v>
      </c>
      <c r="B145" s="9">
        <v>27.065999999999999</v>
      </c>
      <c r="C145" s="10">
        <v>27</v>
      </c>
      <c r="D145" s="10">
        <v>26.61</v>
      </c>
      <c r="E145" s="10">
        <v>26.61</v>
      </c>
      <c r="F145" s="10" t="s">
        <v>2745</v>
      </c>
      <c r="G145" s="11">
        <v>-1.37E-2</v>
      </c>
    </row>
    <row r="146" spans="1:7" x14ac:dyDescent="0.35">
      <c r="A146" s="5" t="s">
        <v>369</v>
      </c>
      <c r="B146" s="9">
        <v>24.356000000000002</v>
      </c>
      <c r="C146" s="10">
        <v>26.79</v>
      </c>
      <c r="D146" s="10">
        <v>24.385000000000002</v>
      </c>
      <c r="E146" s="10">
        <v>24.385000000000002</v>
      </c>
      <c r="F146" s="10" t="s">
        <v>2746</v>
      </c>
      <c r="G146" s="11">
        <v>-0.10009999999999999</v>
      </c>
    </row>
    <row r="147" spans="1:7" x14ac:dyDescent="0.35">
      <c r="A147" s="5" t="s">
        <v>371</v>
      </c>
      <c r="B147" s="9">
        <v>24.488</v>
      </c>
      <c r="C147" s="10">
        <v>25.145</v>
      </c>
      <c r="D147" s="10">
        <v>24.15</v>
      </c>
      <c r="E147" s="10">
        <v>24.15</v>
      </c>
      <c r="F147" s="10" t="s">
        <v>2747</v>
      </c>
      <c r="G147" s="11">
        <v>5.4000000000000003E-3</v>
      </c>
    </row>
    <row r="148" spans="1:7" x14ac:dyDescent="0.35">
      <c r="A148" s="5" t="s">
        <v>373</v>
      </c>
      <c r="B148" s="9">
        <v>23.068999999999999</v>
      </c>
      <c r="C148" s="10">
        <v>24.15</v>
      </c>
      <c r="D148" s="10">
        <v>22.745000000000001</v>
      </c>
      <c r="E148" s="10">
        <v>22.745000000000001</v>
      </c>
      <c r="F148" s="10" t="s">
        <v>2748</v>
      </c>
      <c r="G148" s="11">
        <v>-5.79E-2</v>
      </c>
    </row>
    <row r="149" spans="1:7" x14ac:dyDescent="0.35">
      <c r="A149" s="5" t="s">
        <v>375</v>
      </c>
      <c r="B149" s="9">
        <v>23.161999999999999</v>
      </c>
      <c r="C149" s="10">
        <v>22.94</v>
      </c>
      <c r="D149" s="10">
        <v>21.82</v>
      </c>
      <c r="E149" s="10">
        <v>21.82</v>
      </c>
      <c r="F149" s="10" t="s">
        <v>2749</v>
      </c>
      <c r="G149" s="11">
        <v>4.0000000000000001E-3</v>
      </c>
    </row>
    <row r="150" spans="1:7" x14ac:dyDescent="0.35">
      <c r="A150" s="5" t="s">
        <v>379</v>
      </c>
      <c r="B150" s="9">
        <v>23.571999999999999</v>
      </c>
      <c r="C150" s="10">
        <v>23.14</v>
      </c>
      <c r="D150" s="10">
        <v>22.79</v>
      </c>
      <c r="E150" s="10">
        <v>22.79</v>
      </c>
      <c r="F150" s="10" t="s">
        <v>2750</v>
      </c>
      <c r="G150" s="11">
        <v>1.77E-2</v>
      </c>
    </row>
    <row r="151" spans="1:7" x14ac:dyDescent="0.35">
      <c r="A151" s="5" t="s">
        <v>381</v>
      </c>
      <c r="B151" s="9">
        <v>24.445</v>
      </c>
      <c r="C151" s="10">
        <v>23.805</v>
      </c>
      <c r="D151" s="10">
        <v>23.51</v>
      </c>
      <c r="E151" s="10">
        <v>23.51</v>
      </c>
      <c r="F151" s="10" t="s">
        <v>2751</v>
      </c>
      <c r="G151" s="11">
        <v>3.6999999999999998E-2</v>
      </c>
    </row>
    <row r="152" spans="1:7" x14ac:dyDescent="0.35">
      <c r="A152" s="5" t="s">
        <v>383</v>
      </c>
      <c r="B152" s="9">
        <v>23.494</v>
      </c>
      <c r="C152" s="10">
        <v>24.504999999999999</v>
      </c>
      <c r="D152" s="10">
        <v>23.234999999999999</v>
      </c>
      <c r="E152" s="10">
        <v>23.234999999999999</v>
      </c>
      <c r="F152" s="10" t="s">
        <v>2752</v>
      </c>
      <c r="G152" s="11">
        <v>-3.8899999999999997E-2</v>
      </c>
    </row>
    <row r="153" spans="1:7" x14ac:dyDescent="0.35">
      <c r="A153" s="5" t="s">
        <v>385</v>
      </c>
      <c r="B153" s="9">
        <v>24.254000000000001</v>
      </c>
      <c r="C153" s="10">
        <v>23.355</v>
      </c>
      <c r="D153" s="10">
        <v>23.324999999999999</v>
      </c>
      <c r="E153" s="10">
        <v>23.324999999999999</v>
      </c>
      <c r="F153" s="10" t="s">
        <v>2753</v>
      </c>
      <c r="G153" s="11">
        <v>3.2300000000000002E-2</v>
      </c>
    </row>
    <row r="154" spans="1:7" x14ac:dyDescent="0.35">
      <c r="A154" s="5" t="s">
        <v>389</v>
      </c>
      <c r="B154" s="9">
        <v>24.56</v>
      </c>
      <c r="C154" s="10">
        <v>24.074999999999999</v>
      </c>
      <c r="D154" s="10">
        <v>23.805</v>
      </c>
      <c r="E154" s="10">
        <v>23.805</v>
      </c>
      <c r="F154" s="10" t="s">
        <v>2754</v>
      </c>
      <c r="G154" s="11">
        <v>1.26E-2</v>
      </c>
    </row>
    <row r="155" spans="1:7" x14ac:dyDescent="0.35">
      <c r="A155" s="5" t="s">
        <v>391</v>
      </c>
      <c r="B155" s="9">
        <v>23.920999999999999</v>
      </c>
      <c r="C155" s="10">
        <v>24.52</v>
      </c>
      <c r="D155" s="10">
        <v>22.965</v>
      </c>
      <c r="E155" s="10">
        <v>22.965</v>
      </c>
      <c r="F155" s="10" t="s">
        <v>2755</v>
      </c>
      <c r="G155" s="11">
        <v>-2.5999999999999999E-2</v>
      </c>
    </row>
    <row r="156" spans="1:7" x14ac:dyDescent="0.35">
      <c r="A156" s="5" t="s">
        <v>393</v>
      </c>
      <c r="B156" s="9">
        <v>23.896000000000001</v>
      </c>
      <c r="C156" s="10">
        <v>23.16</v>
      </c>
      <c r="D156" s="10">
        <v>23.09</v>
      </c>
      <c r="E156" s="10">
        <v>23.09</v>
      </c>
      <c r="F156" s="10" t="s">
        <v>2756</v>
      </c>
      <c r="G156" s="11">
        <v>-1E-3</v>
      </c>
    </row>
    <row r="157" spans="1:7" x14ac:dyDescent="0.35">
      <c r="A157" s="5" t="s">
        <v>395</v>
      </c>
      <c r="B157" s="9">
        <v>23.876000000000001</v>
      </c>
      <c r="C157" s="10">
        <v>23.925000000000001</v>
      </c>
      <c r="D157" s="10">
        <v>23.774999999999999</v>
      </c>
      <c r="E157" s="10">
        <v>23.774999999999999</v>
      </c>
      <c r="F157" s="10" t="s">
        <v>2757</v>
      </c>
      <c r="G157" s="11">
        <v>-8.0000000000000004E-4</v>
      </c>
    </row>
    <row r="158" spans="1:7" x14ac:dyDescent="0.35">
      <c r="A158" s="5" t="s">
        <v>399</v>
      </c>
      <c r="B158" s="9">
        <v>25.271000000000001</v>
      </c>
      <c r="C158" s="10">
        <v>25.28</v>
      </c>
      <c r="D158" s="10">
        <v>24.905000000000001</v>
      </c>
      <c r="E158" s="10">
        <v>24.905000000000001</v>
      </c>
      <c r="F158" s="10" t="s">
        <v>2758</v>
      </c>
      <c r="G158" s="11">
        <v>5.8400000000000001E-2</v>
      </c>
    </row>
    <row r="159" spans="1:7" x14ac:dyDescent="0.35">
      <c r="A159" s="5" t="s">
        <v>401</v>
      </c>
      <c r="B159" s="9">
        <v>24.129000000000001</v>
      </c>
      <c r="C159" s="10">
        <v>25.24</v>
      </c>
      <c r="D159" s="10">
        <v>24.015000000000001</v>
      </c>
      <c r="E159" s="10">
        <v>24.015000000000001</v>
      </c>
      <c r="F159" s="10" t="s">
        <v>2759</v>
      </c>
      <c r="G159" s="11">
        <v>-4.5199999999999997E-2</v>
      </c>
    </row>
    <row r="160" spans="1:7" x14ac:dyDescent="0.35">
      <c r="A160" s="5" t="s">
        <v>403</v>
      </c>
      <c r="B160" s="9">
        <v>24.395</v>
      </c>
      <c r="C160" s="10">
        <v>24.24</v>
      </c>
      <c r="D160" s="10">
        <v>23.93</v>
      </c>
      <c r="E160" s="10">
        <v>23.93</v>
      </c>
      <c r="F160" s="10" t="s">
        <v>2760</v>
      </c>
      <c r="G160" s="11">
        <v>1.0999999999999999E-2</v>
      </c>
    </row>
    <row r="161" spans="1:7" x14ac:dyDescent="0.35">
      <c r="A161" s="5" t="s">
        <v>405</v>
      </c>
      <c r="B161" s="9">
        <v>24.224</v>
      </c>
      <c r="C161" s="10">
        <v>24.37</v>
      </c>
      <c r="D161" s="10">
        <v>23.65</v>
      </c>
      <c r="E161" s="10">
        <v>23.65</v>
      </c>
      <c r="F161" s="10" t="s">
        <v>2761</v>
      </c>
      <c r="G161" s="11">
        <v>-7.0000000000000001E-3</v>
      </c>
    </row>
    <row r="162" spans="1:7" x14ac:dyDescent="0.35">
      <c r="A162" s="5" t="s">
        <v>409</v>
      </c>
      <c r="B162" s="9">
        <v>24.698</v>
      </c>
      <c r="C162" s="10">
        <v>24.29</v>
      </c>
      <c r="D162" s="10">
        <v>24.215</v>
      </c>
      <c r="E162" s="10">
        <v>24.215</v>
      </c>
      <c r="F162" s="10" t="s">
        <v>2762</v>
      </c>
      <c r="G162" s="11">
        <v>1.9599999999999999E-2</v>
      </c>
    </row>
    <row r="163" spans="1:7" x14ac:dyDescent="0.35">
      <c r="A163" s="5" t="s">
        <v>411</v>
      </c>
      <c r="B163" s="9">
        <v>24.98</v>
      </c>
      <c r="C163" s="10">
        <v>24.484999999999999</v>
      </c>
      <c r="D163" s="10">
        <v>24.405000000000001</v>
      </c>
      <c r="E163" s="10">
        <v>24.405000000000001</v>
      </c>
      <c r="F163" s="10" t="s">
        <v>2763</v>
      </c>
      <c r="G163" s="11">
        <v>1.14E-2</v>
      </c>
    </row>
    <row r="164" spans="1:7" x14ac:dyDescent="0.35">
      <c r="A164" s="5" t="s">
        <v>413</v>
      </c>
      <c r="B164" s="9">
        <v>25.241</v>
      </c>
      <c r="C164" s="10">
        <v>24.795000000000002</v>
      </c>
      <c r="D164" s="10">
        <v>24.774999999999999</v>
      </c>
      <c r="E164" s="10">
        <v>24.774999999999999</v>
      </c>
      <c r="F164" s="10" t="s">
        <v>2764</v>
      </c>
      <c r="G164" s="11">
        <v>1.04E-2</v>
      </c>
    </row>
    <row r="165" spans="1:7" x14ac:dyDescent="0.35">
      <c r="A165" s="5" t="s">
        <v>415</v>
      </c>
      <c r="B165" s="9">
        <v>24.709</v>
      </c>
      <c r="C165" s="10">
        <v>25.18</v>
      </c>
      <c r="D165" s="10">
        <v>24.46</v>
      </c>
      <c r="E165" s="10">
        <v>24.46</v>
      </c>
      <c r="F165" s="10" t="s">
        <v>2765</v>
      </c>
      <c r="G165" s="11">
        <v>-2.1100000000000001E-2</v>
      </c>
    </row>
    <row r="166" spans="1:7" x14ac:dyDescent="0.35">
      <c r="A166" s="5" t="s">
        <v>419</v>
      </c>
      <c r="B166" s="9">
        <v>24.42</v>
      </c>
      <c r="C166" s="10">
        <v>24.75</v>
      </c>
      <c r="D166" s="10">
        <v>24.145</v>
      </c>
      <c r="E166" s="10">
        <v>24.145</v>
      </c>
      <c r="F166" s="10" t="s">
        <v>2766</v>
      </c>
      <c r="G166" s="11">
        <v>-1.17E-2</v>
      </c>
    </row>
    <row r="167" spans="1:7" x14ac:dyDescent="0.35">
      <c r="A167" s="5" t="s">
        <v>421</v>
      </c>
      <c r="B167" s="9">
        <v>24.57</v>
      </c>
      <c r="C167" s="10">
        <v>24.385000000000002</v>
      </c>
      <c r="D167" s="10">
        <v>24.265000000000001</v>
      </c>
      <c r="E167" s="10">
        <v>24.265000000000001</v>
      </c>
      <c r="F167" s="10" t="s">
        <v>1257</v>
      </c>
      <c r="G167" s="11">
        <v>6.1000000000000004E-3</v>
      </c>
    </row>
    <row r="168" spans="1:7" x14ac:dyDescent="0.35">
      <c r="A168" s="5" t="s">
        <v>423</v>
      </c>
      <c r="B168" s="9">
        <v>23.359000000000002</v>
      </c>
      <c r="C168" s="10">
        <v>24.495000000000001</v>
      </c>
      <c r="D168" s="10">
        <v>23.06</v>
      </c>
      <c r="E168" s="10">
        <v>23.06</v>
      </c>
      <c r="F168" s="10" t="s">
        <v>2767</v>
      </c>
      <c r="G168" s="11">
        <v>-4.9299999999999997E-2</v>
      </c>
    </row>
    <row r="169" spans="1:7" x14ac:dyDescent="0.35">
      <c r="A169" s="5" t="s">
        <v>425</v>
      </c>
      <c r="B169" s="9">
        <v>23.408000000000001</v>
      </c>
      <c r="C169" s="10">
        <v>23.555</v>
      </c>
      <c r="D169" s="10">
        <v>22.864999999999998</v>
      </c>
      <c r="E169" s="10">
        <v>22.864999999999998</v>
      </c>
      <c r="F169" s="10" t="s">
        <v>2768</v>
      </c>
      <c r="G169" s="11">
        <v>2.0999999999999999E-3</v>
      </c>
    </row>
    <row r="170" spans="1:7" x14ac:dyDescent="0.35">
      <c r="A170" s="5" t="s">
        <v>429</v>
      </c>
      <c r="B170" s="9">
        <v>24.073</v>
      </c>
      <c r="C170" s="10">
        <v>23.71</v>
      </c>
      <c r="D170" s="10">
        <v>23.71</v>
      </c>
      <c r="E170" s="10">
        <v>23.71</v>
      </c>
      <c r="F170" s="10" t="s">
        <v>2769</v>
      </c>
      <c r="G170" s="11">
        <v>2.8400000000000002E-2</v>
      </c>
    </row>
    <row r="171" spans="1:7" x14ac:dyDescent="0.35">
      <c r="A171" s="5" t="s">
        <v>431</v>
      </c>
      <c r="B171" s="9">
        <v>24.373999999999999</v>
      </c>
      <c r="C171" s="10">
        <v>24.245000000000001</v>
      </c>
      <c r="D171" s="10">
        <v>24.024999999999999</v>
      </c>
      <c r="E171" s="10">
        <v>24.024999999999999</v>
      </c>
      <c r="F171" s="10" t="s">
        <v>2770</v>
      </c>
      <c r="G171" s="11">
        <v>1.2500000000000001E-2</v>
      </c>
    </row>
    <row r="172" spans="1:7" x14ac:dyDescent="0.35">
      <c r="A172" s="5" t="s">
        <v>433</v>
      </c>
      <c r="B172" s="9">
        <v>23.933</v>
      </c>
      <c r="C172" s="10">
        <v>24.52</v>
      </c>
      <c r="D172" s="10">
        <v>23.414999999999999</v>
      </c>
      <c r="E172" s="10">
        <v>23.414999999999999</v>
      </c>
      <c r="F172" s="10" t="s">
        <v>2771</v>
      </c>
      <c r="G172" s="11">
        <v>-1.8100000000000002E-2</v>
      </c>
    </row>
    <row r="173" spans="1:7" x14ac:dyDescent="0.35">
      <c r="A173" s="5" t="s">
        <v>435</v>
      </c>
      <c r="B173" s="9">
        <v>25.231999999999999</v>
      </c>
      <c r="C173" s="10">
        <v>24.184999999999999</v>
      </c>
      <c r="D173" s="10">
        <v>24.184999999999999</v>
      </c>
      <c r="E173" s="10">
        <v>24.184999999999999</v>
      </c>
      <c r="F173" s="10" t="s">
        <v>2772</v>
      </c>
      <c r="G173" s="11">
        <v>5.4300000000000001E-2</v>
      </c>
    </row>
    <row r="174" spans="1:7" x14ac:dyDescent="0.35">
      <c r="A174" s="5" t="s">
        <v>439</v>
      </c>
      <c r="B174" s="9">
        <v>23.736000000000001</v>
      </c>
      <c r="C174" s="10">
        <v>26.07</v>
      </c>
      <c r="D174" s="10">
        <v>23.725000000000001</v>
      </c>
      <c r="E174" s="10">
        <v>23.725000000000001</v>
      </c>
      <c r="F174" s="10" t="s">
        <v>2773</v>
      </c>
      <c r="G174" s="11">
        <v>-5.9299999999999999E-2</v>
      </c>
    </row>
    <row r="175" spans="1:7" x14ac:dyDescent="0.35">
      <c r="A175" s="5" t="s">
        <v>441</v>
      </c>
      <c r="B175" s="9">
        <v>24.501999999999999</v>
      </c>
      <c r="C175" s="10">
        <v>24.28</v>
      </c>
      <c r="D175" s="10">
        <v>24.02</v>
      </c>
      <c r="E175" s="10">
        <v>24.02</v>
      </c>
      <c r="F175" s="10" t="s">
        <v>2774</v>
      </c>
      <c r="G175" s="11">
        <v>3.2300000000000002E-2</v>
      </c>
    </row>
    <row r="176" spans="1:7" x14ac:dyDescent="0.35">
      <c r="A176" s="5" t="s">
        <v>443</v>
      </c>
      <c r="B176" s="9">
        <v>24.306000000000001</v>
      </c>
      <c r="C176" s="10">
        <v>24.35</v>
      </c>
      <c r="D176" s="10">
        <v>23.954999999999998</v>
      </c>
      <c r="E176" s="10">
        <v>23.954999999999998</v>
      </c>
      <c r="F176" s="10" t="s">
        <v>2775</v>
      </c>
      <c r="G176" s="11">
        <v>-8.0000000000000002E-3</v>
      </c>
    </row>
    <row r="177" spans="1:7" x14ac:dyDescent="0.35">
      <c r="A177" s="5" t="s">
        <v>445</v>
      </c>
      <c r="B177" s="9">
        <v>24.35</v>
      </c>
      <c r="C177" s="10">
        <v>24.38</v>
      </c>
      <c r="D177" s="10">
        <v>24.2</v>
      </c>
      <c r="E177" s="10">
        <v>24.2</v>
      </c>
      <c r="F177" s="10" t="s">
        <v>2776</v>
      </c>
      <c r="G177" s="11">
        <v>1.8E-3</v>
      </c>
    </row>
    <row r="178" spans="1:7" x14ac:dyDescent="0.35">
      <c r="A178" s="5" t="s">
        <v>449</v>
      </c>
      <c r="B178" s="9">
        <v>24.837</v>
      </c>
      <c r="C178" s="10">
        <v>25.085000000000001</v>
      </c>
      <c r="D178" s="10">
        <v>24.35</v>
      </c>
      <c r="E178" s="10">
        <v>24.35</v>
      </c>
      <c r="F178" s="10" t="s">
        <v>2777</v>
      </c>
      <c r="G178" s="11">
        <v>0.02</v>
      </c>
    </row>
    <row r="179" spans="1:7" x14ac:dyDescent="0.35">
      <c r="A179" s="5" t="s">
        <v>451</v>
      </c>
      <c r="B179" s="9">
        <v>24.686</v>
      </c>
      <c r="C179" s="10">
        <v>24.88</v>
      </c>
      <c r="D179" s="10">
        <v>24.6</v>
      </c>
      <c r="E179" s="10">
        <v>24.6</v>
      </c>
      <c r="F179" s="10" t="s">
        <v>2778</v>
      </c>
      <c r="G179" s="11">
        <v>-6.1000000000000004E-3</v>
      </c>
    </row>
    <row r="180" spans="1:7" x14ac:dyDescent="0.35">
      <c r="A180" s="5" t="s">
        <v>453</v>
      </c>
      <c r="B180" s="9">
        <v>24.48</v>
      </c>
      <c r="C180" s="10">
        <v>24.46</v>
      </c>
      <c r="D180" s="10">
        <v>24.35</v>
      </c>
      <c r="E180" s="10">
        <v>24.35</v>
      </c>
      <c r="F180" s="10" t="s">
        <v>2779</v>
      </c>
      <c r="G180" s="11">
        <v>-8.3000000000000001E-3</v>
      </c>
    </row>
    <row r="181" spans="1:7" x14ac:dyDescent="0.35">
      <c r="A181" s="5" t="s">
        <v>455</v>
      </c>
      <c r="B181" s="9">
        <v>24.085000000000001</v>
      </c>
      <c r="C181" s="10">
        <v>24.385000000000002</v>
      </c>
      <c r="D181" s="10">
        <v>23.745000000000001</v>
      </c>
      <c r="E181" s="10">
        <v>23.745000000000001</v>
      </c>
      <c r="F181" s="10" t="s">
        <v>2780</v>
      </c>
      <c r="G181" s="11">
        <v>-1.61E-2</v>
      </c>
    </row>
    <row r="182" spans="1:7" x14ac:dyDescent="0.35">
      <c r="A182" s="5" t="s">
        <v>459</v>
      </c>
      <c r="B182" s="9">
        <v>23.675000000000001</v>
      </c>
      <c r="C182" s="10">
        <v>24.265000000000001</v>
      </c>
      <c r="D182" s="10">
        <v>23.524999999999999</v>
      </c>
      <c r="E182" s="10">
        <v>23.524999999999999</v>
      </c>
      <c r="F182" s="10" t="s">
        <v>2781</v>
      </c>
      <c r="G182" s="11">
        <v>-1.7000000000000001E-2</v>
      </c>
    </row>
    <row r="183" spans="1:7" x14ac:dyDescent="0.35">
      <c r="A183" s="5" t="s">
        <v>461</v>
      </c>
      <c r="B183" s="9">
        <v>23.33</v>
      </c>
      <c r="C183" s="10">
        <v>23.63</v>
      </c>
      <c r="D183" s="10">
        <v>23</v>
      </c>
      <c r="E183" s="10">
        <v>23</v>
      </c>
      <c r="F183" s="10" t="s">
        <v>2782</v>
      </c>
      <c r="G183" s="11">
        <v>-1.46E-2</v>
      </c>
    </row>
    <row r="184" spans="1:7" x14ac:dyDescent="0.35">
      <c r="A184" s="5" t="s">
        <v>463</v>
      </c>
      <c r="B184" s="9">
        <v>23.387</v>
      </c>
      <c r="C184" s="10">
        <v>23.295000000000002</v>
      </c>
      <c r="D184" s="10">
        <v>23.155000000000001</v>
      </c>
      <c r="E184" s="10">
        <v>23.155000000000001</v>
      </c>
      <c r="F184" s="10" t="s">
        <v>2783</v>
      </c>
      <c r="G184" s="11">
        <v>2.3999999999999998E-3</v>
      </c>
    </row>
    <row r="185" spans="1:7" x14ac:dyDescent="0.35">
      <c r="A185" s="5" t="s">
        <v>468</v>
      </c>
      <c r="B185" s="9">
        <v>22.582999999999998</v>
      </c>
      <c r="C185" s="10">
        <v>22.745000000000001</v>
      </c>
      <c r="D185" s="10">
        <v>22.23</v>
      </c>
      <c r="E185" s="10">
        <v>22.23</v>
      </c>
      <c r="F185" s="10" t="s">
        <v>2784</v>
      </c>
      <c r="G185" s="11">
        <v>-3.44E-2</v>
      </c>
    </row>
    <row r="186" spans="1:7" x14ac:dyDescent="0.35">
      <c r="A186" s="5" t="s">
        <v>470</v>
      </c>
      <c r="B186" s="9">
        <v>24.08</v>
      </c>
      <c r="C186" s="10">
        <v>22.69</v>
      </c>
      <c r="D186" s="10">
        <v>22.69</v>
      </c>
      <c r="E186" s="10">
        <v>22.69</v>
      </c>
      <c r="F186" s="10" t="s">
        <v>2785</v>
      </c>
      <c r="G186" s="11">
        <v>6.6299999999999998E-2</v>
      </c>
    </row>
    <row r="187" spans="1:7" x14ac:dyDescent="0.35">
      <c r="A187" s="5" t="s">
        <v>472</v>
      </c>
      <c r="B187" s="9">
        <v>24.065999999999999</v>
      </c>
      <c r="C187" s="10">
        <v>23.82</v>
      </c>
      <c r="D187" s="10">
        <v>24.42</v>
      </c>
      <c r="E187" s="10">
        <v>23.85</v>
      </c>
      <c r="F187" s="10" t="s">
        <v>2786</v>
      </c>
      <c r="G187" s="11">
        <v>-5.9999999999999995E-4</v>
      </c>
    </row>
    <row r="188" spans="1:7" x14ac:dyDescent="0.35">
      <c r="A188" s="5" t="s">
        <v>474</v>
      </c>
      <c r="B188" s="9">
        <v>24.12</v>
      </c>
      <c r="C188" s="10">
        <v>23.99</v>
      </c>
      <c r="D188" s="10">
        <v>24.585000000000001</v>
      </c>
      <c r="E188" s="10">
        <v>24.065000000000001</v>
      </c>
      <c r="F188" s="10" t="s">
        <v>2787</v>
      </c>
      <c r="G188" s="11">
        <v>2.2000000000000001E-3</v>
      </c>
    </row>
    <row r="189" spans="1:7" x14ac:dyDescent="0.35">
      <c r="A189" s="5" t="s">
        <v>478</v>
      </c>
      <c r="B189" s="9">
        <v>24.776</v>
      </c>
      <c r="C189" s="10">
        <v>24.25</v>
      </c>
      <c r="D189" s="10">
        <v>25.015000000000001</v>
      </c>
      <c r="E189" s="10">
        <v>24.55</v>
      </c>
      <c r="F189" s="10" t="s">
        <v>2788</v>
      </c>
      <c r="G189" s="11">
        <v>2.7199999999999998E-2</v>
      </c>
    </row>
    <row r="190" spans="1:7" x14ac:dyDescent="0.35">
      <c r="A190" s="5" t="s">
        <v>480</v>
      </c>
      <c r="B190" s="9">
        <v>24.710999999999999</v>
      </c>
      <c r="C190" s="10">
        <v>24.81</v>
      </c>
      <c r="D190" s="10">
        <v>24.754999999999999</v>
      </c>
      <c r="E190" s="10">
        <v>23.695</v>
      </c>
      <c r="F190" s="10" t="s">
        <v>2789</v>
      </c>
      <c r="G190" s="11">
        <v>-2.5999999999999999E-3</v>
      </c>
    </row>
    <row r="191" spans="1:7" x14ac:dyDescent="0.35">
      <c r="A191" s="5" t="s">
        <v>482</v>
      </c>
      <c r="B191" s="9">
        <v>23.963000000000001</v>
      </c>
      <c r="C191" s="10">
        <v>24.655000000000001</v>
      </c>
      <c r="D191" s="10">
        <v>24.43</v>
      </c>
      <c r="E191" s="10">
        <v>23.824999999999999</v>
      </c>
      <c r="F191" s="10" t="s">
        <v>2790</v>
      </c>
      <c r="G191" s="11">
        <v>-3.0300000000000001E-2</v>
      </c>
    </row>
    <row r="192" spans="1:7" x14ac:dyDescent="0.35">
      <c r="A192" s="5" t="s">
        <v>484</v>
      </c>
      <c r="B192" s="9">
        <v>24.073</v>
      </c>
      <c r="C192" s="10">
        <v>23.98</v>
      </c>
      <c r="D192" s="10">
        <v>24.245000000000001</v>
      </c>
      <c r="E192" s="10">
        <v>23.69</v>
      </c>
      <c r="F192" s="10" t="s">
        <v>2791</v>
      </c>
      <c r="G192" s="11">
        <v>4.5999999999999999E-3</v>
      </c>
    </row>
    <row r="193" spans="1:7" x14ac:dyDescent="0.35">
      <c r="A193" s="5" t="s">
        <v>488</v>
      </c>
      <c r="B193" s="9">
        <v>24.021999999999998</v>
      </c>
      <c r="C193" s="10">
        <v>24.07</v>
      </c>
      <c r="D193" s="10">
        <v>24.7</v>
      </c>
      <c r="E193" s="10">
        <v>23.94</v>
      </c>
      <c r="F193" s="10" t="s">
        <v>2792</v>
      </c>
      <c r="G193" s="11">
        <v>-2.0999999999999999E-3</v>
      </c>
    </row>
    <row r="194" spans="1:7" x14ac:dyDescent="0.35">
      <c r="A194" s="5" t="s">
        <v>490</v>
      </c>
      <c r="B194" s="9">
        <v>24.614000000000001</v>
      </c>
      <c r="C194" s="10">
        <v>24.04</v>
      </c>
      <c r="D194" s="10">
        <v>25.64</v>
      </c>
      <c r="E194" s="10">
        <v>24.574999999999999</v>
      </c>
      <c r="F194" s="10" t="s">
        <v>2793</v>
      </c>
      <c r="G194" s="11">
        <v>2.46E-2</v>
      </c>
    </row>
    <row r="195" spans="1:7" x14ac:dyDescent="0.35">
      <c r="A195" s="5" t="s">
        <v>492</v>
      </c>
      <c r="B195" s="9">
        <v>25.018000000000001</v>
      </c>
      <c r="C195" s="10">
        <v>24.605</v>
      </c>
      <c r="D195" s="10">
        <v>26.305</v>
      </c>
      <c r="E195" s="10">
        <v>25.335000000000001</v>
      </c>
      <c r="F195" s="10" t="s">
        <v>2794</v>
      </c>
      <c r="G195" s="11">
        <v>1.6400000000000001E-2</v>
      </c>
    </row>
    <row r="196" spans="1:7" x14ac:dyDescent="0.35">
      <c r="A196" s="5" t="s">
        <v>494</v>
      </c>
      <c r="B196" s="9">
        <v>26.15</v>
      </c>
      <c r="C196" s="10">
        <v>25.43</v>
      </c>
      <c r="D196" s="10">
        <v>26.35</v>
      </c>
      <c r="E196" s="10">
        <v>25.864999999999998</v>
      </c>
      <c r="F196" s="10" t="s">
        <v>2795</v>
      </c>
      <c r="G196" s="11">
        <v>4.5199999999999997E-2</v>
      </c>
    </row>
    <row r="197" spans="1:7" x14ac:dyDescent="0.35">
      <c r="A197" s="5" t="s">
        <v>498</v>
      </c>
      <c r="B197" s="9">
        <v>26.34</v>
      </c>
      <c r="C197" s="10">
        <v>26.4</v>
      </c>
      <c r="D197" s="10">
        <v>26.815000000000001</v>
      </c>
      <c r="E197" s="10">
        <v>25.225000000000001</v>
      </c>
      <c r="F197" s="10" t="s">
        <v>2796</v>
      </c>
      <c r="G197" s="11">
        <v>7.3000000000000001E-3</v>
      </c>
    </row>
    <row r="198" spans="1:7" x14ac:dyDescent="0.35">
      <c r="A198" s="5" t="s">
        <v>500</v>
      </c>
      <c r="B198" s="9">
        <v>25.5</v>
      </c>
      <c r="C198" s="10">
        <v>26.53</v>
      </c>
      <c r="D198" s="10">
        <v>25.96</v>
      </c>
      <c r="E198" s="10">
        <v>25.184999999999999</v>
      </c>
      <c r="F198" s="10" t="s">
        <v>2797</v>
      </c>
      <c r="G198" s="11">
        <v>-3.1899999999999998E-2</v>
      </c>
    </row>
    <row r="199" spans="1:7" x14ac:dyDescent="0.35">
      <c r="A199" s="5" t="s">
        <v>502</v>
      </c>
      <c r="B199" s="9">
        <v>25.885000000000002</v>
      </c>
      <c r="C199" s="10">
        <v>25.434999999999999</v>
      </c>
      <c r="D199" s="10">
        <v>26.08</v>
      </c>
      <c r="E199" s="10">
        <v>25.535</v>
      </c>
      <c r="F199" s="10" t="s">
        <v>2798</v>
      </c>
      <c r="G199" s="11">
        <v>1.5100000000000001E-2</v>
      </c>
    </row>
    <row r="200" spans="1:7" x14ac:dyDescent="0.35">
      <c r="A200" s="5" t="s">
        <v>505</v>
      </c>
      <c r="B200" s="9">
        <v>26.51</v>
      </c>
      <c r="C200" s="10">
        <v>26.094999999999999</v>
      </c>
      <c r="D200" s="10">
        <v>26.77</v>
      </c>
      <c r="E200" s="10">
        <v>26.074999999999999</v>
      </c>
      <c r="F200" s="10" t="s">
        <v>2799</v>
      </c>
      <c r="G200" s="11">
        <v>2.41E-2</v>
      </c>
    </row>
    <row r="201" spans="1:7" x14ac:dyDescent="0.35">
      <c r="A201" s="5" t="s">
        <v>507</v>
      </c>
      <c r="B201" s="9">
        <v>26.183</v>
      </c>
      <c r="C201" s="10">
        <v>26.5</v>
      </c>
      <c r="D201" s="10">
        <v>26.835000000000001</v>
      </c>
      <c r="E201" s="10">
        <v>26.26</v>
      </c>
      <c r="F201" s="10" t="s">
        <v>2800</v>
      </c>
      <c r="G201" s="11">
        <v>-1.23E-2</v>
      </c>
    </row>
    <row r="202" spans="1:7" x14ac:dyDescent="0.35">
      <c r="A202" s="5" t="s">
        <v>509</v>
      </c>
      <c r="B202" s="9">
        <v>26.573</v>
      </c>
      <c r="C202" s="10">
        <v>26.324999999999999</v>
      </c>
      <c r="D202" s="10">
        <v>26.88</v>
      </c>
      <c r="E202" s="10">
        <v>26.344999999999999</v>
      </c>
      <c r="F202" s="10" t="s">
        <v>2801</v>
      </c>
      <c r="G202" s="11">
        <v>1.49E-2</v>
      </c>
    </row>
    <row r="203" spans="1:7" x14ac:dyDescent="0.35">
      <c r="A203" s="5" t="s">
        <v>513</v>
      </c>
      <c r="B203" s="9">
        <v>27.364000000000001</v>
      </c>
      <c r="C203" s="10">
        <v>26.77</v>
      </c>
      <c r="D203" s="10">
        <v>27.85</v>
      </c>
      <c r="E203" s="10">
        <v>27.15</v>
      </c>
      <c r="F203" s="10" t="s">
        <v>2802</v>
      </c>
      <c r="G203" s="11">
        <v>2.98E-2</v>
      </c>
    </row>
    <row r="204" spans="1:7" x14ac:dyDescent="0.35">
      <c r="A204" s="5" t="s">
        <v>515</v>
      </c>
      <c r="B204" s="9">
        <v>27.64</v>
      </c>
      <c r="C204" s="10">
        <v>27.355</v>
      </c>
      <c r="D204" s="10">
        <v>28.105</v>
      </c>
      <c r="E204" s="10">
        <v>26.7</v>
      </c>
      <c r="F204" s="10" t="s">
        <v>2803</v>
      </c>
      <c r="G204" s="11">
        <v>1.01E-2</v>
      </c>
    </row>
    <row r="205" spans="1:7" x14ac:dyDescent="0.35">
      <c r="A205" s="5" t="s">
        <v>517</v>
      </c>
      <c r="B205" s="9">
        <v>27.042000000000002</v>
      </c>
      <c r="C205" s="10">
        <v>27.72</v>
      </c>
      <c r="D205" s="10">
        <v>27.495000000000001</v>
      </c>
      <c r="E205" s="10">
        <v>27.02</v>
      </c>
      <c r="F205" s="10" t="s">
        <v>2804</v>
      </c>
      <c r="G205" s="11">
        <v>-2.1600000000000001E-2</v>
      </c>
    </row>
    <row r="206" spans="1:7" x14ac:dyDescent="0.35">
      <c r="A206" s="5" t="s">
        <v>519</v>
      </c>
      <c r="B206" s="9">
        <v>27.260999999999999</v>
      </c>
      <c r="C206" s="10">
        <v>27.41</v>
      </c>
      <c r="D206" s="10">
        <v>27.335000000000001</v>
      </c>
      <c r="E206" s="10">
        <v>24.53</v>
      </c>
      <c r="F206" s="10" t="s">
        <v>2805</v>
      </c>
      <c r="G206" s="11">
        <v>8.0999999999999996E-3</v>
      </c>
    </row>
    <row r="207" spans="1:7" x14ac:dyDescent="0.35">
      <c r="A207" s="5" t="s">
        <v>523</v>
      </c>
      <c r="B207" s="9">
        <v>25.283999999999999</v>
      </c>
      <c r="C207" s="10">
        <v>25.47</v>
      </c>
      <c r="D207" s="10">
        <v>25.745000000000001</v>
      </c>
      <c r="E207" s="10">
        <v>25</v>
      </c>
      <c r="F207" s="10" t="s">
        <v>2806</v>
      </c>
      <c r="G207" s="11">
        <v>-7.2499999999999995E-2</v>
      </c>
    </row>
    <row r="208" spans="1:7" x14ac:dyDescent="0.35">
      <c r="A208" s="5" t="s">
        <v>525</v>
      </c>
      <c r="B208" s="9">
        <v>25.434999999999999</v>
      </c>
      <c r="C208" s="10">
        <v>25.015000000000001</v>
      </c>
      <c r="D208" s="10">
        <v>25.785</v>
      </c>
      <c r="E208" s="10">
        <v>25.17</v>
      </c>
      <c r="F208" s="10" t="s">
        <v>2807</v>
      </c>
      <c r="G208" s="11">
        <v>6.0000000000000001E-3</v>
      </c>
    </row>
    <row r="209" spans="1:7" x14ac:dyDescent="0.35">
      <c r="A209" s="5" t="s">
        <v>527</v>
      </c>
      <c r="B209" s="9">
        <v>25.571999999999999</v>
      </c>
      <c r="C209" s="10">
        <v>25.655000000000001</v>
      </c>
      <c r="D209" s="10">
        <v>25.99</v>
      </c>
      <c r="E209" s="10">
        <v>25.094999999999999</v>
      </c>
      <c r="F209" s="10" t="s">
        <v>2808</v>
      </c>
      <c r="G209" s="11">
        <v>5.4000000000000003E-3</v>
      </c>
    </row>
    <row r="210" spans="1:7" x14ac:dyDescent="0.35">
      <c r="A210" s="5" t="s">
        <v>529</v>
      </c>
      <c r="B210" s="9">
        <v>25.802</v>
      </c>
      <c r="C210" s="10">
        <v>25.29</v>
      </c>
      <c r="D210" s="10">
        <v>25.864999999999998</v>
      </c>
      <c r="E210" s="10">
        <v>24.61</v>
      </c>
      <c r="F210" s="10" t="s">
        <v>2809</v>
      </c>
      <c r="G210" s="11">
        <v>8.9999999999999993E-3</v>
      </c>
    </row>
    <row r="211" spans="1:7" x14ac:dyDescent="0.35">
      <c r="A211" s="5" t="s">
        <v>535</v>
      </c>
      <c r="B211" s="9">
        <v>25.32</v>
      </c>
      <c r="C211" s="10">
        <v>24.835000000000001</v>
      </c>
      <c r="D211" s="10">
        <v>25.96</v>
      </c>
      <c r="E211" s="10">
        <v>25.06</v>
      </c>
      <c r="F211" s="10" t="s">
        <v>2810</v>
      </c>
      <c r="G211" s="11">
        <v>-1.8700000000000001E-2</v>
      </c>
    </row>
    <row r="212" spans="1:7" x14ac:dyDescent="0.35">
      <c r="A212" s="5" t="s">
        <v>536</v>
      </c>
      <c r="B212" s="9">
        <v>25.765999999999998</v>
      </c>
      <c r="C212" s="10">
        <v>25.29</v>
      </c>
      <c r="D212" s="10">
        <v>26.13</v>
      </c>
      <c r="E212" s="10">
        <v>25.7</v>
      </c>
      <c r="F212" s="10" t="s">
        <v>2811</v>
      </c>
      <c r="G212" s="11">
        <v>1.7600000000000001E-2</v>
      </c>
    </row>
    <row r="213" spans="1:7" x14ac:dyDescent="0.35">
      <c r="A213" s="5" t="s">
        <v>538</v>
      </c>
      <c r="B213" s="9">
        <v>25.853999999999999</v>
      </c>
      <c r="C213" s="10">
        <v>25.91</v>
      </c>
      <c r="D213" s="10">
        <v>26.045000000000002</v>
      </c>
      <c r="E213" s="10">
        <v>25.05</v>
      </c>
      <c r="F213" s="10" t="s">
        <v>2812</v>
      </c>
      <c r="G213" s="11">
        <v>3.3999999999999998E-3</v>
      </c>
    </row>
    <row r="214" spans="1:7" x14ac:dyDescent="0.35">
      <c r="A214" s="5" t="s">
        <v>542</v>
      </c>
      <c r="B214" s="9">
        <v>25.484000000000002</v>
      </c>
      <c r="C214" s="10">
        <v>25.535</v>
      </c>
      <c r="D214" s="10">
        <v>25.72</v>
      </c>
      <c r="E214" s="10">
        <v>25.23</v>
      </c>
      <c r="F214" s="10" t="s">
        <v>2813</v>
      </c>
      <c r="G214" s="11">
        <v>-1.43E-2</v>
      </c>
    </row>
    <row r="215" spans="1:7" x14ac:dyDescent="0.35">
      <c r="A215" s="5" t="s">
        <v>544</v>
      </c>
      <c r="B215" s="9">
        <v>25.538</v>
      </c>
      <c r="C215" s="10">
        <v>25.395</v>
      </c>
      <c r="D215" s="10">
        <v>25.545000000000002</v>
      </c>
      <c r="E215" s="10">
        <v>24.715</v>
      </c>
      <c r="F215" s="10" t="s">
        <v>2814</v>
      </c>
      <c r="G215" s="11">
        <v>2.0999999999999999E-3</v>
      </c>
    </row>
    <row r="216" spans="1:7" x14ac:dyDescent="0.35">
      <c r="A216" s="5" t="s">
        <v>546</v>
      </c>
      <c r="B216" s="9">
        <v>25.388999999999999</v>
      </c>
      <c r="C216" s="10">
        <v>25.53</v>
      </c>
      <c r="D216" s="10">
        <v>27.1</v>
      </c>
      <c r="E216" s="10">
        <v>24.895</v>
      </c>
      <c r="F216" s="10" t="s">
        <v>2815</v>
      </c>
      <c r="G216" s="11">
        <v>-5.7999999999999996E-3</v>
      </c>
    </row>
    <row r="217" spans="1:7" x14ac:dyDescent="0.35">
      <c r="A217" s="5" t="s">
        <v>548</v>
      </c>
      <c r="B217" s="9">
        <v>25.945</v>
      </c>
      <c r="C217" s="10">
        <v>25.36</v>
      </c>
      <c r="D217" s="10">
        <v>27.77</v>
      </c>
      <c r="E217" s="10">
        <v>26.15</v>
      </c>
      <c r="F217" s="10" t="s">
        <v>2816</v>
      </c>
      <c r="G217" s="11">
        <v>2.1899999999999999E-2</v>
      </c>
    </row>
    <row r="218" spans="1:7" x14ac:dyDescent="0.35">
      <c r="A218" s="5" t="s">
        <v>552</v>
      </c>
      <c r="B218" s="9">
        <v>29.440999999999999</v>
      </c>
      <c r="C218" s="10">
        <v>28.86</v>
      </c>
      <c r="D218" s="10">
        <v>29.15</v>
      </c>
      <c r="E218" s="10">
        <v>26.35</v>
      </c>
      <c r="F218" s="10" t="s">
        <v>2817</v>
      </c>
      <c r="G218" s="11">
        <v>0.13469999999999999</v>
      </c>
    </row>
    <row r="219" spans="1:7" x14ac:dyDescent="0.35">
      <c r="A219" s="5" t="s">
        <v>554</v>
      </c>
      <c r="B219" s="9">
        <v>26.425999999999998</v>
      </c>
      <c r="C219" s="10">
        <v>29</v>
      </c>
      <c r="D219" s="10">
        <v>27.26</v>
      </c>
      <c r="E219" s="10">
        <v>26.545000000000002</v>
      </c>
      <c r="F219" s="10" t="s">
        <v>2818</v>
      </c>
      <c r="G219" s="11">
        <v>-0.1024</v>
      </c>
    </row>
    <row r="220" spans="1:7" x14ac:dyDescent="0.35">
      <c r="A220" s="5" t="s">
        <v>556</v>
      </c>
      <c r="B220" s="9">
        <v>26.914000000000001</v>
      </c>
      <c r="C220" s="10">
        <v>26.88</v>
      </c>
      <c r="D220" s="10">
        <v>27.015000000000001</v>
      </c>
      <c r="E220" s="10">
        <v>25.934999999999999</v>
      </c>
      <c r="F220" s="10" t="s">
        <v>2819</v>
      </c>
      <c r="G220" s="11">
        <v>1.8499999999999999E-2</v>
      </c>
    </row>
    <row r="221" spans="1:7" x14ac:dyDescent="0.35">
      <c r="A221" s="5" t="s">
        <v>558</v>
      </c>
      <c r="B221" s="9">
        <v>26.260999999999999</v>
      </c>
      <c r="C221" s="10">
        <v>26.645</v>
      </c>
      <c r="D221" s="10">
        <v>27.105</v>
      </c>
      <c r="E221" s="10">
        <v>26.254999999999999</v>
      </c>
      <c r="F221" s="10" t="s">
        <v>2820</v>
      </c>
      <c r="G221" s="11">
        <v>-2.4299999999999999E-2</v>
      </c>
    </row>
    <row r="222" spans="1:7" x14ac:dyDescent="0.35">
      <c r="A222" s="5" t="s">
        <v>562</v>
      </c>
      <c r="B222" s="9">
        <v>27.588999999999999</v>
      </c>
      <c r="C222" s="10">
        <v>27.18</v>
      </c>
      <c r="D222" s="10">
        <v>27.875</v>
      </c>
      <c r="E222" s="10">
        <v>27.13</v>
      </c>
      <c r="F222" s="10" t="s">
        <v>2821</v>
      </c>
      <c r="G222" s="11">
        <v>5.0599999999999999E-2</v>
      </c>
    </row>
    <row r="223" spans="1:7" x14ac:dyDescent="0.35">
      <c r="A223" s="5" t="s">
        <v>564</v>
      </c>
      <c r="B223" s="9">
        <v>27.427</v>
      </c>
      <c r="C223" s="10">
        <v>27.4</v>
      </c>
      <c r="D223" s="10">
        <v>27.594999999999999</v>
      </c>
      <c r="E223" s="10">
        <v>26.88</v>
      </c>
      <c r="F223" s="10" t="s">
        <v>2822</v>
      </c>
      <c r="G223" s="11">
        <v>-5.8999999999999999E-3</v>
      </c>
    </row>
    <row r="224" spans="1:7" x14ac:dyDescent="0.35">
      <c r="A224" s="5" t="s">
        <v>566</v>
      </c>
      <c r="B224" s="9">
        <v>27.108000000000001</v>
      </c>
      <c r="C224" s="10">
        <v>27.46</v>
      </c>
      <c r="D224" s="10">
        <v>27.35</v>
      </c>
      <c r="E224" s="10">
        <v>26.75</v>
      </c>
      <c r="F224" s="10" t="s">
        <v>2823</v>
      </c>
      <c r="G224" s="11">
        <v>-1.1599999999999999E-2</v>
      </c>
    </row>
    <row r="225" spans="1:7" x14ac:dyDescent="0.35">
      <c r="A225" s="5" t="s">
        <v>568</v>
      </c>
      <c r="B225" s="9">
        <v>27.071999999999999</v>
      </c>
      <c r="C225" s="10">
        <v>27.145</v>
      </c>
      <c r="D225" s="10">
        <v>27.5</v>
      </c>
      <c r="E225" s="10">
        <v>26.91</v>
      </c>
      <c r="F225" s="10" t="s">
        <v>2824</v>
      </c>
      <c r="G225" s="11">
        <v>-1.2999999999999999E-3</v>
      </c>
    </row>
    <row r="226" spans="1:7" x14ac:dyDescent="0.35">
      <c r="A226" s="5" t="s">
        <v>574</v>
      </c>
      <c r="B226" s="9">
        <v>27.341000000000001</v>
      </c>
      <c r="C226" s="10">
        <v>27.52</v>
      </c>
      <c r="D226" s="10">
        <v>27.49</v>
      </c>
      <c r="E226" s="10">
        <v>26.914999999999999</v>
      </c>
      <c r="F226" s="10" t="s">
        <v>2825</v>
      </c>
      <c r="G226" s="11">
        <v>9.9000000000000008E-3</v>
      </c>
    </row>
    <row r="227" spans="1:7" x14ac:dyDescent="0.35">
      <c r="A227" s="5" t="s">
        <v>575</v>
      </c>
      <c r="B227" s="9">
        <v>27.335000000000001</v>
      </c>
      <c r="C227" s="10">
        <v>27.22</v>
      </c>
      <c r="D227" s="10">
        <v>27.594999999999999</v>
      </c>
      <c r="E227" s="10">
        <v>26.905000000000001</v>
      </c>
      <c r="F227" s="10" t="s">
        <v>2826</v>
      </c>
      <c r="G227" s="11">
        <v>-2.0000000000000001E-4</v>
      </c>
    </row>
    <row r="228" spans="1:7" x14ac:dyDescent="0.35">
      <c r="A228" s="5" t="s">
        <v>577</v>
      </c>
      <c r="B228" s="9">
        <v>27.097999999999999</v>
      </c>
      <c r="C228" s="10">
        <v>27.45</v>
      </c>
      <c r="D228" s="10">
        <v>27.71</v>
      </c>
      <c r="E228" s="10">
        <v>26.105</v>
      </c>
      <c r="F228" s="10" t="s">
        <v>2827</v>
      </c>
      <c r="G228" s="11">
        <v>-8.6999999999999994E-3</v>
      </c>
    </row>
    <row r="229" spans="1:7" x14ac:dyDescent="0.35">
      <c r="A229" s="5" t="s">
        <v>581</v>
      </c>
      <c r="B229" s="9">
        <v>28.111000000000001</v>
      </c>
      <c r="C229" s="10">
        <v>27.64</v>
      </c>
      <c r="D229" s="10">
        <v>28.425000000000001</v>
      </c>
      <c r="E229" s="10">
        <v>27.285</v>
      </c>
      <c r="F229" s="10" t="s">
        <v>2828</v>
      </c>
      <c r="G229" s="11">
        <v>3.7400000000000003E-2</v>
      </c>
    </row>
    <row r="230" spans="1:7" x14ac:dyDescent="0.35">
      <c r="A230" s="5" t="s">
        <v>583</v>
      </c>
      <c r="B230" s="9">
        <v>27.716999999999999</v>
      </c>
      <c r="C230" s="10">
        <v>28.29</v>
      </c>
      <c r="D230" s="10">
        <v>28.08</v>
      </c>
      <c r="E230" s="10">
        <v>27.364999999999998</v>
      </c>
      <c r="F230" s="10" t="s">
        <v>2829</v>
      </c>
      <c r="G230" s="11">
        <v>-1.4E-2</v>
      </c>
    </row>
    <row r="231" spans="1:7" x14ac:dyDescent="0.35">
      <c r="A231" s="5" t="s">
        <v>585</v>
      </c>
      <c r="B231" s="9">
        <v>27.893999999999998</v>
      </c>
      <c r="C231" s="10">
        <v>27.76</v>
      </c>
      <c r="D231" s="10">
        <v>28.344999999999999</v>
      </c>
      <c r="E231" s="10">
        <v>27.344999999999999</v>
      </c>
      <c r="F231" s="10" t="s">
        <v>989</v>
      </c>
      <c r="G231" s="11">
        <v>6.4000000000000003E-3</v>
      </c>
    </row>
    <row r="232" spans="1:7" x14ac:dyDescent="0.35">
      <c r="A232" s="5" t="s">
        <v>587</v>
      </c>
      <c r="B232" s="9">
        <v>27.684999999999999</v>
      </c>
      <c r="C232" s="10">
        <v>28.08</v>
      </c>
      <c r="D232" s="10">
        <v>27.65</v>
      </c>
      <c r="E232" s="10">
        <v>26.16</v>
      </c>
      <c r="F232" s="10" t="s">
        <v>2830</v>
      </c>
      <c r="G232" s="11">
        <v>-7.4999999999999997E-3</v>
      </c>
    </row>
    <row r="233" spans="1:7" x14ac:dyDescent="0.35">
      <c r="A233" s="5" t="s">
        <v>591</v>
      </c>
      <c r="B233" s="9">
        <v>26.678000000000001</v>
      </c>
      <c r="C233" s="10">
        <v>26.7</v>
      </c>
      <c r="D233" s="10">
        <v>26.984999999999999</v>
      </c>
      <c r="E233" s="10">
        <v>25.82</v>
      </c>
      <c r="F233" s="10" t="s">
        <v>2831</v>
      </c>
      <c r="G233" s="11">
        <v>-3.6400000000000002E-2</v>
      </c>
    </row>
    <row r="234" spans="1:7" x14ac:dyDescent="0.35">
      <c r="A234" s="5" t="s">
        <v>593</v>
      </c>
      <c r="B234" s="9">
        <v>26.879000000000001</v>
      </c>
      <c r="C234" s="10">
        <v>26.63</v>
      </c>
      <c r="D234" s="10">
        <v>26.914999999999999</v>
      </c>
      <c r="E234" s="10">
        <v>25.875</v>
      </c>
      <c r="F234" s="10" t="s">
        <v>2832</v>
      </c>
      <c r="G234" s="11">
        <v>7.4999999999999997E-3</v>
      </c>
    </row>
    <row r="235" spans="1:7" x14ac:dyDescent="0.35">
      <c r="A235" s="5" t="s">
        <v>595</v>
      </c>
      <c r="B235" s="9">
        <v>26.387</v>
      </c>
      <c r="C235" s="10">
        <v>26.86</v>
      </c>
      <c r="D235" s="10">
        <v>26.385000000000002</v>
      </c>
      <c r="E235" s="10">
        <v>25.08</v>
      </c>
      <c r="F235" s="10" t="s">
        <v>2833</v>
      </c>
      <c r="G235" s="11">
        <v>-1.83E-2</v>
      </c>
    </row>
    <row r="236" spans="1:7" x14ac:dyDescent="0.35">
      <c r="A236" s="5" t="s">
        <v>597</v>
      </c>
      <c r="B236" s="9">
        <v>25.460999999999999</v>
      </c>
      <c r="C236" s="10">
        <v>26.175000000000001</v>
      </c>
      <c r="D236" s="10">
        <v>25.504999999999999</v>
      </c>
      <c r="E236" s="10">
        <v>24.844999999999999</v>
      </c>
      <c r="F236" s="10" t="s">
        <v>2834</v>
      </c>
      <c r="G236" s="11">
        <v>-3.5099999999999999E-2</v>
      </c>
    </row>
    <row r="237" spans="1:7" x14ac:dyDescent="0.35">
      <c r="A237" s="5" t="s">
        <v>601</v>
      </c>
      <c r="B237" s="9">
        <v>25.268999999999998</v>
      </c>
      <c r="C237" s="10">
        <v>25.4</v>
      </c>
      <c r="D237" s="10">
        <v>26.22</v>
      </c>
      <c r="E237" s="10">
        <v>25.09</v>
      </c>
      <c r="F237" s="10" t="s">
        <v>2835</v>
      </c>
      <c r="G237" s="11">
        <v>-7.4999999999999997E-3</v>
      </c>
    </row>
    <row r="238" spans="1:7" x14ac:dyDescent="0.35">
      <c r="A238" s="5" t="s">
        <v>603</v>
      </c>
      <c r="B238" s="9">
        <v>26.183</v>
      </c>
      <c r="C238" s="10">
        <v>25.17</v>
      </c>
      <c r="D238" s="10">
        <v>26.315000000000001</v>
      </c>
      <c r="E238" s="10">
        <v>25.61</v>
      </c>
      <c r="F238" s="10" t="s">
        <v>2836</v>
      </c>
      <c r="G238" s="11">
        <v>3.6200000000000003E-2</v>
      </c>
    </row>
    <row r="239" spans="1:7" x14ac:dyDescent="0.35">
      <c r="A239" s="5" t="s">
        <v>605</v>
      </c>
      <c r="B239" s="9">
        <v>26.13</v>
      </c>
      <c r="C239" s="10">
        <v>26.024999999999999</v>
      </c>
      <c r="D239" s="10">
        <v>26.545000000000002</v>
      </c>
      <c r="E239" s="10">
        <v>25.885000000000002</v>
      </c>
      <c r="F239" s="10" t="s">
        <v>2837</v>
      </c>
      <c r="G239" s="11">
        <v>-2E-3</v>
      </c>
    </row>
    <row r="240" spans="1:7" x14ac:dyDescent="0.35">
      <c r="A240" s="5" t="s">
        <v>607</v>
      </c>
      <c r="B240" s="9">
        <v>26.193000000000001</v>
      </c>
      <c r="C240" s="10">
        <v>26.315000000000001</v>
      </c>
      <c r="D240" s="10">
        <v>26.234999999999999</v>
      </c>
      <c r="E240" s="10">
        <v>25.425000000000001</v>
      </c>
      <c r="F240" s="10" t="s">
        <v>2838</v>
      </c>
      <c r="G240" s="11">
        <v>2.3999999999999998E-3</v>
      </c>
    </row>
    <row r="241" spans="1:7" x14ac:dyDescent="0.35">
      <c r="A241" s="5" t="s">
        <v>611</v>
      </c>
      <c r="B241" s="9">
        <v>26.288</v>
      </c>
      <c r="C241" s="10">
        <v>26.07</v>
      </c>
      <c r="D241" s="10">
        <v>26.405000000000001</v>
      </c>
      <c r="E241" s="10">
        <v>25.885000000000002</v>
      </c>
      <c r="F241" s="10" t="s">
        <v>2839</v>
      </c>
      <c r="G241" s="11">
        <v>3.5999999999999999E-3</v>
      </c>
    </row>
    <row r="242" spans="1:7" x14ac:dyDescent="0.35">
      <c r="A242" s="5" t="s">
        <v>613</v>
      </c>
      <c r="B242" s="9">
        <v>26.003</v>
      </c>
      <c r="C242" s="10">
        <v>26.34</v>
      </c>
      <c r="D242" s="10">
        <v>26.614999999999998</v>
      </c>
      <c r="E242" s="10">
        <v>25.805</v>
      </c>
      <c r="F242" s="10" t="s">
        <v>2840</v>
      </c>
      <c r="G242" s="11">
        <v>-1.0800000000000001E-2</v>
      </c>
    </row>
    <row r="243" spans="1:7" x14ac:dyDescent="0.35">
      <c r="A243" s="5" t="s">
        <v>615</v>
      </c>
      <c r="B243" s="9">
        <v>26.058</v>
      </c>
      <c r="C243" s="10">
        <v>26.004999999999999</v>
      </c>
      <c r="D243" s="10">
        <v>26.74</v>
      </c>
      <c r="E243" s="10">
        <v>25.875</v>
      </c>
      <c r="F243" s="10" t="s">
        <v>2841</v>
      </c>
      <c r="G243" s="11">
        <v>2.0999999999999999E-3</v>
      </c>
    </row>
    <row r="244" spans="1:7" x14ac:dyDescent="0.35">
      <c r="A244" s="5" t="s">
        <v>617</v>
      </c>
      <c r="B244" s="9">
        <v>26.350999999999999</v>
      </c>
      <c r="C244" s="10">
        <v>26.4</v>
      </c>
      <c r="D244" s="10">
        <v>26.4</v>
      </c>
      <c r="E244" s="10">
        <v>25.925000000000001</v>
      </c>
      <c r="F244" s="10" t="s">
        <v>2842</v>
      </c>
      <c r="G244" s="11">
        <v>1.12E-2</v>
      </c>
    </row>
    <row r="245" spans="1:7" x14ac:dyDescent="0.35">
      <c r="A245" s="5" t="s">
        <v>621</v>
      </c>
      <c r="B245" s="9">
        <v>25.768999999999998</v>
      </c>
      <c r="C245" s="10">
        <v>26.34</v>
      </c>
      <c r="D245" s="10">
        <v>25.914999999999999</v>
      </c>
      <c r="E245" s="10">
        <v>25.05</v>
      </c>
      <c r="F245" s="10" t="s">
        <v>2620</v>
      </c>
      <c r="G245" s="11">
        <v>-2.2100000000000002E-2</v>
      </c>
    </row>
    <row r="246" spans="1:7" x14ac:dyDescent="0.35">
      <c r="A246" s="5" t="s">
        <v>623</v>
      </c>
      <c r="B246" s="9">
        <v>25.227</v>
      </c>
      <c r="C246" s="10">
        <v>25.85</v>
      </c>
      <c r="D246" s="10">
        <v>25.43</v>
      </c>
      <c r="E246" s="10">
        <v>25.02</v>
      </c>
      <c r="F246" s="10" t="s">
        <v>2843</v>
      </c>
      <c r="G246" s="11">
        <v>-2.1000000000000001E-2</v>
      </c>
    </row>
    <row r="247" spans="1:7" x14ac:dyDescent="0.35">
      <c r="A247" s="5" t="s">
        <v>625</v>
      </c>
      <c r="B247" s="9">
        <v>25.231000000000002</v>
      </c>
      <c r="C247" s="10">
        <v>25.12</v>
      </c>
      <c r="D247" s="10">
        <v>25.254999999999999</v>
      </c>
      <c r="E247" s="10">
        <v>24.434999999999999</v>
      </c>
      <c r="F247" s="10" t="s">
        <v>2844</v>
      </c>
      <c r="G247" s="11">
        <v>2.0000000000000001E-4</v>
      </c>
    </row>
    <row r="248" spans="1:7" x14ac:dyDescent="0.35">
      <c r="A248" s="5" t="s">
        <v>627</v>
      </c>
      <c r="B248" s="9">
        <v>25.047000000000001</v>
      </c>
      <c r="C248" s="10">
        <v>25.17</v>
      </c>
      <c r="D248" s="10">
        <v>25.335000000000001</v>
      </c>
      <c r="E248" s="10">
        <v>24.92</v>
      </c>
      <c r="F248" s="10" t="s">
        <v>2845</v>
      </c>
      <c r="G248" s="11">
        <v>-7.3000000000000001E-3</v>
      </c>
    </row>
    <row r="249" spans="1:7" x14ac:dyDescent="0.35">
      <c r="A249" s="5" t="s">
        <v>631</v>
      </c>
      <c r="B249" s="9">
        <v>24.771000000000001</v>
      </c>
      <c r="C249" s="10">
        <v>25.105</v>
      </c>
      <c r="D249" s="10">
        <v>24.77</v>
      </c>
      <c r="E249" s="10">
        <v>23.88</v>
      </c>
      <c r="F249" s="10" t="s">
        <v>2846</v>
      </c>
      <c r="G249" s="11">
        <v>-1.0999999999999999E-2</v>
      </c>
    </row>
    <row r="250" spans="1:7" x14ac:dyDescent="0.35">
      <c r="A250" s="5" t="s">
        <v>633</v>
      </c>
      <c r="B250" s="9">
        <v>24.157</v>
      </c>
      <c r="C250" s="10">
        <v>24.745000000000001</v>
      </c>
      <c r="D250" s="10">
        <v>24.565000000000001</v>
      </c>
      <c r="E250" s="10">
        <v>23.74</v>
      </c>
      <c r="F250" s="10" t="s">
        <v>2847</v>
      </c>
      <c r="G250" s="11">
        <v>-2.4799999999999999E-2</v>
      </c>
    </row>
    <row r="251" spans="1:7" x14ac:dyDescent="0.35">
      <c r="A251" s="5" t="s">
        <v>635</v>
      </c>
      <c r="B251" s="9">
        <v>24.552</v>
      </c>
      <c r="C251" s="10">
        <v>23.93</v>
      </c>
      <c r="D251" s="10">
        <v>25.045000000000002</v>
      </c>
      <c r="E251" s="10">
        <v>24.27</v>
      </c>
      <c r="F251" s="10" t="s">
        <v>2848</v>
      </c>
      <c r="G251" s="11">
        <v>1.6400000000000001E-2</v>
      </c>
    </row>
    <row r="252" spans="1:7" x14ac:dyDescent="0.35">
      <c r="A252" s="5" t="s">
        <v>639</v>
      </c>
      <c r="B252" s="9">
        <v>24.800999999999998</v>
      </c>
      <c r="C252" s="10">
        <v>25.05</v>
      </c>
      <c r="D252" s="10">
        <v>25.355</v>
      </c>
      <c r="E252" s="10">
        <v>24.795000000000002</v>
      </c>
      <c r="F252" s="10" t="s">
        <v>2849</v>
      </c>
      <c r="G252" s="11">
        <v>1.01E-2</v>
      </c>
    </row>
    <row r="253" spans="1:7" x14ac:dyDescent="0.35">
      <c r="A253" s="5" t="s">
        <v>641</v>
      </c>
      <c r="B253" s="9">
        <v>25.247</v>
      </c>
      <c r="C253" s="10">
        <v>24.84</v>
      </c>
      <c r="D253" s="10">
        <v>25.33</v>
      </c>
      <c r="E253" s="10">
        <v>24.895</v>
      </c>
      <c r="F253" s="10" t="s">
        <v>2850</v>
      </c>
      <c r="G253" s="11">
        <v>1.7999999999999999E-2</v>
      </c>
    </row>
    <row r="254" spans="1:7" x14ac:dyDescent="0.35">
      <c r="A254" s="5" t="s">
        <v>643</v>
      </c>
      <c r="B254" s="9">
        <v>25.266999999999999</v>
      </c>
      <c r="C254" s="10">
        <v>25.21</v>
      </c>
      <c r="D254" s="10">
        <v>25.675000000000001</v>
      </c>
      <c r="E254" s="10">
        <v>25.02</v>
      </c>
      <c r="F254" s="10" t="s">
        <v>2851</v>
      </c>
      <c r="G254" s="11">
        <v>8.0000000000000004E-4</v>
      </c>
    </row>
    <row r="255" spans="1:7" x14ac:dyDescent="0.35">
      <c r="A255" s="5" t="s">
        <v>645</v>
      </c>
      <c r="B255" s="9">
        <v>25.603999999999999</v>
      </c>
      <c r="C255" s="10">
        <v>25.38</v>
      </c>
      <c r="D255" s="10">
        <v>25.555</v>
      </c>
      <c r="E255" s="10">
        <v>25.01</v>
      </c>
      <c r="F255" s="10" t="s">
        <v>2852</v>
      </c>
      <c r="G255" s="11">
        <v>1.3299999999999999E-2</v>
      </c>
    </row>
    <row r="256" spans="1:7" x14ac:dyDescent="0.35">
      <c r="A256" s="5" t="s">
        <v>649</v>
      </c>
      <c r="B256" s="9">
        <v>24.882000000000001</v>
      </c>
      <c r="C256" s="10">
        <v>25.3</v>
      </c>
      <c r="D256" s="10">
        <v>25.54</v>
      </c>
      <c r="E256" s="10">
        <v>24.68</v>
      </c>
      <c r="F256" s="10" t="s">
        <v>2853</v>
      </c>
      <c r="G256" s="11">
        <v>-2.8199999999999999E-2</v>
      </c>
    </row>
    <row r="257" spans="1:7" x14ac:dyDescent="0.35">
      <c r="A257" s="5" t="s">
        <v>651</v>
      </c>
      <c r="B257" s="9">
        <v>25.442</v>
      </c>
      <c r="C257" s="10">
        <v>24.885000000000002</v>
      </c>
      <c r="D257" s="10">
        <v>25.59</v>
      </c>
      <c r="E257" s="10">
        <v>25.234999999999999</v>
      </c>
      <c r="F257" s="10" t="s">
        <v>2854</v>
      </c>
      <c r="G257" s="11">
        <v>2.2499999999999999E-2</v>
      </c>
    </row>
    <row r="258" spans="1:7" x14ac:dyDescent="0.35">
      <c r="A258" s="5" t="s">
        <v>653</v>
      </c>
      <c r="B258" s="9">
        <v>25.539000000000001</v>
      </c>
      <c r="C258" s="10">
        <v>25.43</v>
      </c>
      <c r="D258" s="10">
        <v>26.07</v>
      </c>
      <c r="E258" s="10">
        <v>25.38</v>
      </c>
      <c r="F258" s="10" t="s">
        <v>2855</v>
      </c>
      <c r="G258" s="11">
        <v>3.8E-3</v>
      </c>
    </row>
    <row r="259" spans="1:7" x14ac:dyDescent="0.35">
      <c r="A259" s="5" t="s">
        <v>655</v>
      </c>
      <c r="B259" s="9">
        <v>25.978999999999999</v>
      </c>
      <c r="C259" s="10">
        <v>25.465</v>
      </c>
      <c r="D259" s="10">
        <v>26.38</v>
      </c>
      <c r="E259" s="10">
        <v>25.795000000000002</v>
      </c>
      <c r="F259" s="10" t="s">
        <v>2856</v>
      </c>
      <c r="G259" s="11">
        <v>1.72E-2</v>
      </c>
    </row>
    <row r="260" spans="1:7" x14ac:dyDescent="0.35">
      <c r="A260" s="5" t="s">
        <v>659</v>
      </c>
      <c r="B260" s="9">
        <v>25.852</v>
      </c>
      <c r="C260" s="10">
        <v>26</v>
      </c>
      <c r="D260" s="10">
        <v>26.15</v>
      </c>
      <c r="E260" s="10">
        <v>25.725000000000001</v>
      </c>
      <c r="F260" s="10" t="s">
        <v>2857</v>
      </c>
      <c r="G260" s="11">
        <v>-4.8999999999999998E-3</v>
      </c>
    </row>
    <row r="261" spans="1:7" x14ac:dyDescent="0.35">
      <c r="A261" s="5" t="s">
        <v>661</v>
      </c>
      <c r="B261" s="9">
        <v>25.853999999999999</v>
      </c>
      <c r="C261" s="10">
        <v>25.82</v>
      </c>
      <c r="D261" s="10">
        <v>26.73</v>
      </c>
      <c r="E261" s="10">
        <v>25.795000000000002</v>
      </c>
      <c r="F261" s="10" t="s">
        <v>2758</v>
      </c>
      <c r="G261" s="11">
        <v>1E-4</v>
      </c>
    </row>
    <row r="262" spans="1:7" x14ac:dyDescent="0.35">
      <c r="A262" s="5" t="s">
        <v>663</v>
      </c>
      <c r="B262" s="9">
        <v>26.585999999999999</v>
      </c>
      <c r="C262" s="10">
        <v>25.96</v>
      </c>
      <c r="D262" s="10">
        <v>26.67</v>
      </c>
      <c r="E262" s="10">
        <v>26.024999999999999</v>
      </c>
      <c r="F262" s="10" t="s">
        <v>2858</v>
      </c>
      <c r="G262" s="11">
        <v>2.8299999999999999E-2</v>
      </c>
    </row>
    <row r="263" spans="1:7" x14ac:dyDescent="0.35">
      <c r="A263" s="5" t="s">
        <v>665</v>
      </c>
      <c r="B263" s="9">
        <v>26.2</v>
      </c>
      <c r="C263" s="10">
        <v>26.64</v>
      </c>
      <c r="D263" s="10">
        <v>26.47</v>
      </c>
      <c r="E263" s="10">
        <v>25.89</v>
      </c>
      <c r="F263" s="10" t="s">
        <v>2859</v>
      </c>
      <c r="G263" s="11">
        <v>-1.4500000000000001E-2</v>
      </c>
    </row>
    <row r="264" spans="1:7" x14ac:dyDescent="0.35">
      <c r="A264" s="5" t="s">
        <v>669</v>
      </c>
      <c r="B264" s="9">
        <v>26.228000000000002</v>
      </c>
      <c r="C264" s="10">
        <v>26.02</v>
      </c>
      <c r="D264" s="10">
        <v>26.515000000000001</v>
      </c>
      <c r="E264" s="10">
        <v>26.1</v>
      </c>
      <c r="F264" s="10" t="s">
        <v>2860</v>
      </c>
      <c r="G264" s="11">
        <v>1.1000000000000001E-3</v>
      </c>
    </row>
    <row r="265" spans="1:7" x14ac:dyDescent="0.35">
      <c r="A265" s="5" t="s">
        <v>671</v>
      </c>
      <c r="B265" s="9">
        <v>26.43</v>
      </c>
      <c r="C265" s="10">
        <v>26.324999999999999</v>
      </c>
      <c r="D265" s="10">
        <v>26.344999999999999</v>
      </c>
      <c r="E265" s="10">
        <v>25.84</v>
      </c>
      <c r="F265" s="10" t="s">
        <v>2861</v>
      </c>
      <c r="G265" s="11">
        <v>7.7000000000000002E-3</v>
      </c>
    </row>
    <row r="266" spans="1:7" x14ac:dyDescent="0.35">
      <c r="A266" s="5" t="s">
        <v>673</v>
      </c>
      <c r="B266" s="9">
        <v>26.102</v>
      </c>
      <c r="C266" s="10">
        <v>26.344999999999999</v>
      </c>
      <c r="D266" s="10">
        <v>26.58</v>
      </c>
      <c r="E266" s="10">
        <v>25.745000000000001</v>
      </c>
      <c r="F266" s="10" t="s">
        <v>2862</v>
      </c>
      <c r="G266" s="11">
        <v>-1.24E-2</v>
      </c>
    </row>
    <row r="267" spans="1:7" x14ac:dyDescent="0.35">
      <c r="A267" s="5" t="s">
        <v>675</v>
      </c>
      <c r="B267" s="9">
        <v>26.085000000000001</v>
      </c>
      <c r="C267" s="10">
        <v>26.3</v>
      </c>
      <c r="D267" s="10">
        <v>26.274999999999999</v>
      </c>
      <c r="E267" s="10">
        <v>25.855</v>
      </c>
      <c r="F267" s="10" t="s">
        <v>2863</v>
      </c>
      <c r="G267" s="11">
        <v>-6.9999999999999999E-4</v>
      </c>
    </row>
    <row r="268" spans="1:7" x14ac:dyDescent="0.35">
      <c r="A268" s="5" t="s">
        <v>679</v>
      </c>
      <c r="B268" s="9">
        <v>26.96</v>
      </c>
      <c r="C268" s="10">
        <v>25.99</v>
      </c>
      <c r="D268" s="10">
        <v>27.24</v>
      </c>
      <c r="E268" s="10">
        <v>26.16</v>
      </c>
      <c r="F268" s="10" t="s">
        <v>2864</v>
      </c>
      <c r="G268" s="11">
        <v>3.3500000000000002E-2</v>
      </c>
    </row>
    <row r="269" spans="1:7" x14ac:dyDescent="0.35">
      <c r="A269" s="5" t="s">
        <v>681</v>
      </c>
      <c r="B269" s="9">
        <v>26.558</v>
      </c>
      <c r="C269" s="10">
        <v>27.015000000000001</v>
      </c>
      <c r="D269" s="10">
        <v>26.71</v>
      </c>
      <c r="E269" s="10">
        <v>26.164999999999999</v>
      </c>
      <c r="F269" s="10" t="s">
        <v>2865</v>
      </c>
      <c r="G269" s="11">
        <v>-1.49E-2</v>
      </c>
    </row>
    <row r="270" spans="1:7" x14ac:dyDescent="0.35">
      <c r="A270" s="5" t="s">
        <v>683</v>
      </c>
      <c r="B270" s="9">
        <v>26.521999999999998</v>
      </c>
      <c r="C270" s="10">
        <v>26.594999999999999</v>
      </c>
      <c r="D270" s="10">
        <v>27.585000000000001</v>
      </c>
      <c r="E270" s="10">
        <v>26.245000000000001</v>
      </c>
      <c r="F270" s="10" t="s">
        <v>2866</v>
      </c>
      <c r="G270" s="11">
        <v>-1.4E-3</v>
      </c>
    </row>
    <row r="271" spans="1:7" x14ac:dyDescent="0.35">
      <c r="A271" s="5" t="s">
        <v>685</v>
      </c>
      <c r="B271" s="9">
        <v>27.477</v>
      </c>
      <c r="C271" s="10">
        <v>26.59</v>
      </c>
      <c r="D271" s="10">
        <v>27.8</v>
      </c>
      <c r="E271" s="10">
        <v>27.23</v>
      </c>
      <c r="F271" s="10" t="s">
        <v>2867</v>
      </c>
      <c r="G271" s="11">
        <v>3.5999999999999997E-2</v>
      </c>
    </row>
    <row r="272" spans="1:7" x14ac:dyDescent="0.35">
      <c r="A272" s="5" t="s">
        <v>689</v>
      </c>
      <c r="B272" s="9">
        <v>27.492000000000001</v>
      </c>
      <c r="C272" s="10">
        <v>27.68</v>
      </c>
      <c r="D272" s="10">
        <v>27.78</v>
      </c>
      <c r="E272" s="10">
        <v>27.18</v>
      </c>
      <c r="F272" s="10" t="s">
        <v>2868</v>
      </c>
      <c r="G272" s="11">
        <v>5.0000000000000001E-4</v>
      </c>
    </row>
    <row r="273" spans="1:7" x14ac:dyDescent="0.35">
      <c r="A273" s="5" t="s">
        <v>691</v>
      </c>
      <c r="B273" s="9">
        <v>27.667000000000002</v>
      </c>
      <c r="C273" s="10">
        <v>27.4</v>
      </c>
      <c r="D273" s="10">
        <v>27.83</v>
      </c>
      <c r="E273" s="10">
        <v>27.03</v>
      </c>
      <c r="F273" s="10" t="s">
        <v>2869</v>
      </c>
      <c r="G273" s="11">
        <v>6.4000000000000003E-3</v>
      </c>
    </row>
    <row r="274" spans="1:7" x14ac:dyDescent="0.35">
      <c r="A274" s="5" t="s">
        <v>693</v>
      </c>
      <c r="B274" s="9">
        <v>27.244</v>
      </c>
      <c r="C274" s="10">
        <v>27.76</v>
      </c>
      <c r="D274" s="10">
        <v>27.33</v>
      </c>
      <c r="E274" s="10">
        <v>26.78</v>
      </c>
      <c r="F274" s="10" t="s">
        <v>2658</v>
      </c>
      <c r="G274" s="11">
        <v>-1.5299999999999999E-2</v>
      </c>
    </row>
    <row r="275" spans="1:7" x14ac:dyDescent="0.35">
      <c r="A275" s="5" t="s">
        <v>695</v>
      </c>
      <c r="B275" s="9">
        <v>27.059000000000001</v>
      </c>
      <c r="C275" s="10">
        <v>27.094999999999999</v>
      </c>
      <c r="D275" s="10">
        <v>27.594999999999999</v>
      </c>
      <c r="E275" s="10">
        <v>26.92</v>
      </c>
      <c r="F275" s="10" t="s">
        <v>2870</v>
      </c>
      <c r="G275" s="11">
        <v>-6.7999999999999996E-3</v>
      </c>
    </row>
    <row r="276" spans="1:7" x14ac:dyDescent="0.35">
      <c r="A276" s="5" t="s">
        <v>699</v>
      </c>
      <c r="B276" s="9">
        <v>28.274000000000001</v>
      </c>
      <c r="C276" s="10">
        <v>27.515000000000001</v>
      </c>
      <c r="D276" s="10">
        <v>28.9</v>
      </c>
      <c r="E276" s="10">
        <v>28.12</v>
      </c>
      <c r="F276" s="10" t="s">
        <v>2871</v>
      </c>
      <c r="G276" s="11">
        <v>4.4900000000000002E-2</v>
      </c>
    </row>
    <row r="277" spans="1:7" x14ac:dyDescent="0.35">
      <c r="A277" s="5" t="s">
        <v>701</v>
      </c>
      <c r="B277" s="9">
        <v>28.332999999999998</v>
      </c>
      <c r="C277" s="10">
        <v>28.324999999999999</v>
      </c>
      <c r="D277" s="10">
        <v>28.364999999999998</v>
      </c>
      <c r="E277" s="10">
        <v>27.425000000000001</v>
      </c>
      <c r="F277" s="10" t="s">
        <v>2872</v>
      </c>
      <c r="G277" s="11">
        <v>2.0999999999999999E-3</v>
      </c>
    </row>
    <row r="278" spans="1:7" x14ac:dyDescent="0.35">
      <c r="A278" s="5" t="s">
        <v>703</v>
      </c>
      <c r="B278" s="9">
        <v>28.024999999999999</v>
      </c>
      <c r="C278" s="10">
        <v>28.3</v>
      </c>
      <c r="D278" s="10">
        <v>28.125</v>
      </c>
      <c r="E278" s="10">
        <v>27.49</v>
      </c>
      <c r="F278" s="10" t="s">
        <v>2873</v>
      </c>
      <c r="G278" s="11">
        <v>-1.09E-2</v>
      </c>
    </row>
    <row r="279" spans="1:7" x14ac:dyDescent="0.35">
      <c r="A279" s="5" t="s">
        <v>705</v>
      </c>
      <c r="B279" s="9">
        <v>28.067</v>
      </c>
      <c r="C279" s="10">
        <v>27.84</v>
      </c>
      <c r="D279" s="10">
        <v>28.195</v>
      </c>
      <c r="E279" s="10">
        <v>27.265000000000001</v>
      </c>
      <c r="F279" s="10" t="s">
        <v>2874</v>
      </c>
      <c r="G279" s="11">
        <v>1.5E-3</v>
      </c>
    </row>
    <row r="280" spans="1:7" x14ac:dyDescent="0.35">
      <c r="A280" s="5" t="s">
        <v>709</v>
      </c>
      <c r="B280" s="9">
        <v>27.905000000000001</v>
      </c>
      <c r="C280" s="10">
        <v>27.69</v>
      </c>
      <c r="D280" s="10">
        <v>28.16</v>
      </c>
      <c r="E280" s="10">
        <v>27.545000000000002</v>
      </c>
      <c r="F280" s="10" t="s">
        <v>2875</v>
      </c>
      <c r="G280" s="11">
        <v>-5.7999999999999996E-3</v>
      </c>
    </row>
    <row r="281" spans="1:7" x14ac:dyDescent="0.35">
      <c r="A281" s="5" t="s">
        <v>711</v>
      </c>
      <c r="B281" s="9">
        <v>28.056000000000001</v>
      </c>
      <c r="C281" s="10">
        <v>27.88</v>
      </c>
      <c r="D281" s="10">
        <v>28.34</v>
      </c>
      <c r="E281" s="10">
        <v>27.684999999999999</v>
      </c>
      <c r="F281" s="10" t="s">
        <v>2876</v>
      </c>
      <c r="G281" s="11">
        <v>5.4000000000000003E-3</v>
      </c>
    </row>
    <row r="282" spans="1:7" x14ac:dyDescent="0.35">
      <c r="A282" s="5" t="s">
        <v>713</v>
      </c>
      <c r="B282" s="9">
        <v>27.876999999999999</v>
      </c>
      <c r="C282" s="10">
        <v>28.105</v>
      </c>
      <c r="D282" s="10">
        <v>27.995000000000001</v>
      </c>
      <c r="E282" s="10">
        <v>27.574999999999999</v>
      </c>
      <c r="F282" s="10" t="s">
        <v>2877</v>
      </c>
      <c r="G282" s="11">
        <v>-6.4000000000000003E-3</v>
      </c>
    </row>
    <row r="283" spans="1:7" x14ac:dyDescent="0.35">
      <c r="A283" s="5" t="s">
        <v>715</v>
      </c>
      <c r="B283" s="9">
        <v>27.954999999999998</v>
      </c>
      <c r="C283" s="10">
        <v>27.805</v>
      </c>
      <c r="D283" s="10">
        <v>28.094999999999999</v>
      </c>
      <c r="E283" s="10">
        <v>27.48</v>
      </c>
      <c r="F283" s="10" t="s">
        <v>2878</v>
      </c>
      <c r="G283" s="11">
        <v>2.8E-3</v>
      </c>
    </row>
    <row r="284" spans="1:7" x14ac:dyDescent="0.35">
      <c r="A284" s="5" t="s">
        <v>720</v>
      </c>
      <c r="B284" s="9">
        <v>28.119</v>
      </c>
      <c r="C284" s="10">
        <v>28.07</v>
      </c>
      <c r="D284" s="10">
        <v>28.32</v>
      </c>
      <c r="E284" s="10">
        <v>27.765000000000001</v>
      </c>
      <c r="F284" s="10" t="s">
        <v>2879</v>
      </c>
      <c r="G284" s="11">
        <v>5.8999999999999999E-3</v>
      </c>
    </row>
    <row r="285" spans="1:7" x14ac:dyDescent="0.35">
      <c r="A285" s="5" t="s">
        <v>721</v>
      </c>
      <c r="B285" s="9">
        <v>28.22</v>
      </c>
      <c r="C285" s="10">
        <v>27.88</v>
      </c>
      <c r="D285" s="10">
        <v>28.37</v>
      </c>
      <c r="E285" s="10">
        <v>27.09</v>
      </c>
      <c r="F285" s="10" t="s">
        <v>2880</v>
      </c>
      <c r="G285" s="11">
        <v>3.5999999999999999E-3</v>
      </c>
    </row>
    <row r="286" spans="1:7" x14ac:dyDescent="0.35">
      <c r="A286" s="5" t="s">
        <v>723</v>
      </c>
      <c r="B286" s="9">
        <v>27.492000000000001</v>
      </c>
      <c r="C286" s="10">
        <v>28.32</v>
      </c>
      <c r="D286" s="10">
        <v>27.98</v>
      </c>
      <c r="E286" s="10">
        <v>27.31</v>
      </c>
      <c r="F286" s="10" t="s">
        <v>2881</v>
      </c>
      <c r="G286" s="11">
        <v>-2.58E-2</v>
      </c>
    </row>
    <row r="287" spans="1:7" x14ac:dyDescent="0.35">
      <c r="A287" s="5" t="s">
        <v>727</v>
      </c>
      <c r="B287" s="9">
        <v>28.033000000000001</v>
      </c>
      <c r="C287" s="10">
        <v>27.92</v>
      </c>
      <c r="D287" s="10">
        <v>28.12</v>
      </c>
      <c r="E287" s="10">
        <v>27.61</v>
      </c>
      <c r="F287" s="10" t="s">
        <v>2882</v>
      </c>
      <c r="G287" s="11">
        <v>1.9699999999999999E-2</v>
      </c>
    </row>
    <row r="288" spans="1:7" x14ac:dyDescent="0.35">
      <c r="A288" s="5" t="s">
        <v>729</v>
      </c>
      <c r="B288" s="9">
        <v>27.747</v>
      </c>
      <c r="C288" s="10">
        <v>28.11</v>
      </c>
      <c r="D288" s="10">
        <v>28.145</v>
      </c>
      <c r="E288" s="10">
        <v>27.62</v>
      </c>
      <c r="F288" s="10" t="s">
        <v>2883</v>
      </c>
      <c r="G288" s="11">
        <v>-1.0200000000000001E-2</v>
      </c>
    </row>
    <row r="289" spans="1:7" x14ac:dyDescent="0.35">
      <c r="A289" s="5" t="s">
        <v>731</v>
      </c>
      <c r="B289" s="9">
        <v>28.016999999999999</v>
      </c>
      <c r="C289" s="10">
        <v>27.75</v>
      </c>
      <c r="D289" s="10">
        <v>28.18</v>
      </c>
      <c r="E289" s="10">
        <v>27.475000000000001</v>
      </c>
      <c r="F289" s="10" t="s">
        <v>2884</v>
      </c>
      <c r="G289" s="11">
        <v>9.7000000000000003E-3</v>
      </c>
    </row>
    <row r="290" spans="1:7" x14ac:dyDescent="0.35">
      <c r="A290" s="5" t="s">
        <v>733</v>
      </c>
      <c r="B290" s="9">
        <v>28.047000000000001</v>
      </c>
      <c r="C290" s="10">
        <v>27.82</v>
      </c>
      <c r="D290" s="10">
        <v>28.445</v>
      </c>
      <c r="E290" s="10">
        <v>28.024999999999999</v>
      </c>
      <c r="F290" s="10" t="s">
        <v>2885</v>
      </c>
      <c r="G290" s="11">
        <v>1.1000000000000001E-3</v>
      </c>
    </row>
    <row r="291" spans="1:7" x14ac:dyDescent="0.35">
      <c r="A291" s="5" t="s">
        <v>737</v>
      </c>
      <c r="B291" s="9">
        <v>28.053999999999998</v>
      </c>
      <c r="C291" s="10">
        <v>28.11</v>
      </c>
      <c r="D291" s="10">
        <v>28.03</v>
      </c>
      <c r="E291" s="10">
        <v>27.484999999999999</v>
      </c>
      <c r="F291" s="10" t="s">
        <v>2859</v>
      </c>
      <c r="G291" s="11">
        <v>2.0000000000000001E-4</v>
      </c>
    </row>
    <row r="292" spans="1:7" x14ac:dyDescent="0.35">
      <c r="A292" s="5" t="s">
        <v>739</v>
      </c>
      <c r="B292" s="9">
        <v>27.71</v>
      </c>
      <c r="C292" s="10">
        <v>27.78</v>
      </c>
      <c r="D292" s="10">
        <v>27.97</v>
      </c>
      <c r="E292" s="10">
        <v>26.7</v>
      </c>
      <c r="F292" s="10" t="s">
        <v>2886</v>
      </c>
      <c r="G292" s="11">
        <v>-1.23E-2</v>
      </c>
    </row>
    <row r="293" spans="1:7" x14ac:dyDescent="0.35">
      <c r="A293" s="5" t="s">
        <v>741</v>
      </c>
      <c r="B293" s="9">
        <v>27.827999999999999</v>
      </c>
      <c r="C293" s="10">
        <v>27.8</v>
      </c>
      <c r="D293" s="10">
        <v>27.32</v>
      </c>
      <c r="E293" s="10">
        <v>25.82</v>
      </c>
      <c r="F293" s="10" t="s">
        <v>2887</v>
      </c>
      <c r="G293" s="11">
        <v>4.3E-3</v>
      </c>
    </row>
    <row r="294" spans="1:7" x14ac:dyDescent="0.35">
      <c r="A294" s="5" t="s">
        <v>743</v>
      </c>
      <c r="B294" s="9">
        <v>25.873000000000001</v>
      </c>
      <c r="C294" s="10">
        <v>27.2</v>
      </c>
      <c r="D294" s="10">
        <v>26.555</v>
      </c>
      <c r="E294" s="10">
        <v>25.77</v>
      </c>
      <c r="F294" s="10" t="s">
        <v>2888</v>
      </c>
      <c r="G294" s="11">
        <v>-7.0300000000000001E-2</v>
      </c>
    </row>
    <row r="295" spans="1:7" x14ac:dyDescent="0.35">
      <c r="A295" s="5" t="s">
        <v>747</v>
      </c>
      <c r="B295" s="9">
        <v>26.042999999999999</v>
      </c>
      <c r="C295" s="10">
        <v>25.95</v>
      </c>
      <c r="D295" s="10">
        <v>26.085000000000001</v>
      </c>
      <c r="E295" s="10">
        <v>25.734999999999999</v>
      </c>
      <c r="F295" s="10" t="s">
        <v>2889</v>
      </c>
      <c r="G295" s="11">
        <v>6.6E-3</v>
      </c>
    </row>
    <row r="296" spans="1:7" x14ac:dyDescent="0.35">
      <c r="A296" s="5" t="s">
        <v>749</v>
      </c>
      <c r="B296" s="9">
        <v>25.876000000000001</v>
      </c>
      <c r="C296" s="10">
        <v>26</v>
      </c>
      <c r="D296" s="10">
        <v>26.37</v>
      </c>
      <c r="E296" s="10">
        <v>25.8</v>
      </c>
      <c r="F296" s="10" t="s">
        <v>2890</v>
      </c>
      <c r="G296" s="11">
        <v>-6.4000000000000003E-3</v>
      </c>
    </row>
    <row r="297" spans="1:7" x14ac:dyDescent="0.35">
      <c r="A297" s="5" t="s">
        <v>751</v>
      </c>
      <c r="B297" s="9">
        <v>26.132000000000001</v>
      </c>
      <c r="C297" s="10">
        <v>25.86</v>
      </c>
      <c r="D297" s="10">
        <v>26.245000000000001</v>
      </c>
      <c r="E297" s="10">
        <v>25.864999999999998</v>
      </c>
      <c r="F297" s="10" t="s">
        <v>2891</v>
      </c>
      <c r="G297" s="11">
        <v>9.9000000000000008E-3</v>
      </c>
    </row>
    <row r="298" spans="1:7" x14ac:dyDescent="0.35">
      <c r="A298" s="5" t="s">
        <v>753</v>
      </c>
      <c r="B298" s="9">
        <v>26.068999999999999</v>
      </c>
      <c r="C298" s="10">
        <v>25.934999999999999</v>
      </c>
      <c r="D298" s="10">
        <v>26.38</v>
      </c>
      <c r="E298" s="10">
        <v>25.97</v>
      </c>
      <c r="F298" s="10" t="s">
        <v>2892</v>
      </c>
      <c r="G298" s="11">
        <v>-2.3999999999999998E-3</v>
      </c>
    </row>
    <row r="299" spans="1:7" x14ac:dyDescent="0.35">
      <c r="A299" s="5" t="s">
        <v>757</v>
      </c>
      <c r="B299" s="9">
        <v>26.239000000000001</v>
      </c>
      <c r="C299" s="10">
        <v>26.215</v>
      </c>
      <c r="D299" s="10">
        <v>26.234999999999999</v>
      </c>
      <c r="E299" s="10">
        <v>25.58</v>
      </c>
      <c r="F299" s="10" t="s">
        <v>2893</v>
      </c>
      <c r="G299" s="11">
        <v>6.4999999999999997E-3</v>
      </c>
    </row>
    <row r="300" spans="1:7" x14ac:dyDescent="0.35">
      <c r="A300" s="5" t="s">
        <v>759</v>
      </c>
      <c r="B300" s="9">
        <v>25.901</v>
      </c>
      <c r="C300" s="10">
        <v>26.234999999999999</v>
      </c>
      <c r="D300" s="10">
        <v>26.274999999999999</v>
      </c>
      <c r="E300" s="10">
        <v>25.8</v>
      </c>
      <c r="F300" s="10" t="s">
        <v>2894</v>
      </c>
      <c r="G300" s="11">
        <v>-1.29E-2</v>
      </c>
    </row>
    <row r="301" spans="1:7" x14ac:dyDescent="0.35">
      <c r="A301" s="5" t="s">
        <v>761</v>
      </c>
      <c r="B301" s="9">
        <v>26.193999999999999</v>
      </c>
      <c r="C301" s="10">
        <v>25.875</v>
      </c>
      <c r="D301" s="10">
        <v>26.524999999999999</v>
      </c>
      <c r="E301" s="10">
        <v>26.045000000000002</v>
      </c>
      <c r="F301" s="10" t="s">
        <v>2895</v>
      </c>
      <c r="G301" s="11">
        <v>1.1299999999999999E-2</v>
      </c>
    </row>
    <row r="302" spans="1:7" x14ac:dyDescent="0.35">
      <c r="A302" s="5" t="s">
        <v>763</v>
      </c>
      <c r="B302" s="9">
        <v>26.1</v>
      </c>
      <c r="C302" s="10">
        <v>26.25</v>
      </c>
      <c r="D302" s="10">
        <v>26.7</v>
      </c>
      <c r="E302" s="10">
        <v>26.1</v>
      </c>
      <c r="F302" s="10" t="s">
        <v>2896</v>
      </c>
      <c r="G302" s="11">
        <v>-3.5999999999999999E-3</v>
      </c>
    </row>
    <row r="303" spans="1:7" x14ac:dyDescent="0.35">
      <c r="A303" s="5" t="s">
        <v>769</v>
      </c>
      <c r="B303" s="9">
        <v>26.173999999999999</v>
      </c>
      <c r="C303" s="10">
        <v>26.64</v>
      </c>
      <c r="D303" s="10">
        <v>26.545000000000002</v>
      </c>
      <c r="E303" s="10">
        <v>26.06</v>
      </c>
      <c r="F303" s="10" t="s">
        <v>2897</v>
      </c>
      <c r="G303" s="11">
        <v>2.8E-3</v>
      </c>
    </row>
    <row r="304" spans="1:7" x14ac:dyDescent="0.35">
      <c r="A304" s="5" t="s">
        <v>770</v>
      </c>
      <c r="B304" s="9">
        <v>26.129000000000001</v>
      </c>
      <c r="C304" s="10">
        <v>26.265000000000001</v>
      </c>
      <c r="D304" s="10">
        <v>26.31</v>
      </c>
      <c r="E304" s="10">
        <v>25.875</v>
      </c>
      <c r="F304" s="10" t="s">
        <v>2898</v>
      </c>
      <c r="G304" s="11">
        <v>-1.6999999999999999E-3</v>
      </c>
    </row>
    <row r="305" spans="1:7" x14ac:dyDescent="0.35">
      <c r="A305" s="5" t="s">
        <v>772</v>
      </c>
      <c r="B305" s="9">
        <v>25.986999999999998</v>
      </c>
      <c r="C305" s="10">
        <v>26.265000000000001</v>
      </c>
      <c r="D305" s="10">
        <v>26.3</v>
      </c>
      <c r="E305" s="10">
        <v>25.82</v>
      </c>
      <c r="F305" s="10" t="s">
        <v>2899</v>
      </c>
      <c r="G305" s="11">
        <v>-5.4000000000000003E-3</v>
      </c>
    </row>
    <row r="306" spans="1:7" x14ac:dyDescent="0.35">
      <c r="A306" s="5" t="s">
        <v>776</v>
      </c>
      <c r="B306" s="9">
        <v>26.239000000000001</v>
      </c>
      <c r="C306" s="10">
        <v>26.184999999999999</v>
      </c>
      <c r="D306" s="10">
        <v>26.44</v>
      </c>
      <c r="E306" s="10">
        <v>26.004999999999999</v>
      </c>
      <c r="F306" s="10" t="s">
        <v>2900</v>
      </c>
      <c r="G306" s="11">
        <v>9.7000000000000003E-3</v>
      </c>
    </row>
    <row r="307" spans="1:7" x14ac:dyDescent="0.35">
      <c r="A307" s="5" t="s">
        <v>778</v>
      </c>
      <c r="B307" s="9">
        <v>26.14</v>
      </c>
      <c r="C307" s="10">
        <v>26.32</v>
      </c>
      <c r="D307" s="10">
        <v>26.574999999999999</v>
      </c>
      <c r="E307" s="10">
        <v>26.01</v>
      </c>
      <c r="F307" s="10" t="s">
        <v>2901</v>
      </c>
      <c r="G307" s="11">
        <v>-3.8E-3</v>
      </c>
    </row>
    <row r="308" spans="1:7" x14ac:dyDescent="0.35">
      <c r="A308" s="5" t="s">
        <v>780</v>
      </c>
      <c r="B308" s="9">
        <v>26.271000000000001</v>
      </c>
      <c r="C308" s="10">
        <v>26.055</v>
      </c>
      <c r="D308" s="10">
        <v>26.49</v>
      </c>
      <c r="E308" s="10">
        <v>26.245000000000001</v>
      </c>
      <c r="F308" s="10" t="s">
        <v>2902</v>
      </c>
      <c r="G308" s="11">
        <v>5.0000000000000001E-3</v>
      </c>
    </row>
    <row r="309" spans="1:7" x14ac:dyDescent="0.35">
      <c r="A309" s="5" t="s">
        <v>782</v>
      </c>
      <c r="B309" s="9">
        <v>26.393999999999998</v>
      </c>
      <c r="C309" s="10">
        <v>26.324999999999999</v>
      </c>
      <c r="D309" s="10">
        <v>26.55</v>
      </c>
      <c r="E309" s="10">
        <v>25.64</v>
      </c>
      <c r="F309" s="10" t="s">
        <v>2903</v>
      </c>
      <c r="G309" s="11">
        <v>4.7000000000000002E-3</v>
      </c>
    </row>
    <row r="310" spans="1:7" x14ac:dyDescent="0.35">
      <c r="A310" s="5" t="s">
        <v>786</v>
      </c>
      <c r="B310" s="9">
        <v>25.143999999999998</v>
      </c>
      <c r="C310" s="10">
        <v>25.7</v>
      </c>
      <c r="D310" s="10">
        <v>25.315000000000001</v>
      </c>
      <c r="E310" s="10">
        <v>24.84</v>
      </c>
      <c r="F310" s="10" t="s">
        <v>2904</v>
      </c>
      <c r="G310" s="11">
        <v>-4.7399999999999998E-2</v>
      </c>
    </row>
    <row r="311" spans="1:7" x14ac:dyDescent="0.35">
      <c r="A311" s="5" t="s">
        <v>788</v>
      </c>
      <c r="B311" s="9">
        <v>24.995000000000001</v>
      </c>
      <c r="C311" s="10">
        <v>25.24</v>
      </c>
      <c r="D311" s="10">
        <v>25.364999999999998</v>
      </c>
      <c r="E311" s="10">
        <v>24.79</v>
      </c>
      <c r="F311" s="10" t="s">
        <v>2905</v>
      </c>
      <c r="G311" s="11">
        <v>-5.8999999999999999E-3</v>
      </c>
    </row>
    <row r="312" spans="1:7" x14ac:dyDescent="0.35">
      <c r="A312" s="5" t="s">
        <v>790</v>
      </c>
      <c r="B312" s="9">
        <v>25.254999999999999</v>
      </c>
      <c r="C312" s="10">
        <v>24.975000000000001</v>
      </c>
      <c r="D312" s="10">
        <v>25.515000000000001</v>
      </c>
      <c r="E312" s="10">
        <v>25.06</v>
      </c>
      <c r="F312" s="10" t="s">
        <v>2906</v>
      </c>
      <c r="G312" s="11">
        <v>1.04E-2</v>
      </c>
    </row>
    <row r="313" spans="1:7" x14ac:dyDescent="0.35">
      <c r="A313" s="5" t="s">
        <v>792</v>
      </c>
      <c r="B313" s="9">
        <v>25.381</v>
      </c>
      <c r="C313" s="10">
        <v>25.33</v>
      </c>
      <c r="D313" s="10">
        <v>25.535</v>
      </c>
      <c r="E313" s="10">
        <v>25.05</v>
      </c>
      <c r="F313" s="10" t="s">
        <v>2907</v>
      </c>
      <c r="G313" s="11">
        <v>5.0000000000000001E-3</v>
      </c>
    </row>
    <row r="314" spans="1:7" x14ac:dyDescent="0.35">
      <c r="A314" s="5" t="s">
        <v>796</v>
      </c>
      <c r="B314" s="9">
        <v>25.318000000000001</v>
      </c>
      <c r="C314" s="10">
        <v>25.27</v>
      </c>
      <c r="D314" s="10">
        <v>25.32</v>
      </c>
      <c r="E314" s="10">
        <v>24.515000000000001</v>
      </c>
      <c r="F314" s="10" t="s">
        <v>2908</v>
      </c>
      <c r="G314" s="11">
        <v>-2.5000000000000001E-3</v>
      </c>
    </row>
    <row r="315" spans="1:7" x14ac:dyDescent="0.35">
      <c r="A315" s="5" t="s">
        <v>798</v>
      </c>
      <c r="B315" s="9">
        <v>24.649000000000001</v>
      </c>
      <c r="C315" s="10">
        <v>25.254999999999999</v>
      </c>
      <c r="D315" s="10">
        <v>25.06</v>
      </c>
      <c r="E315" s="10">
        <v>24.655000000000001</v>
      </c>
      <c r="F315" s="10" t="s">
        <v>2909</v>
      </c>
      <c r="G315" s="11">
        <v>-2.64E-2</v>
      </c>
    </row>
    <row r="316" spans="1:7" x14ac:dyDescent="0.35">
      <c r="A316" s="5" t="s">
        <v>800</v>
      </c>
      <c r="B316" s="9">
        <v>24.876999999999999</v>
      </c>
      <c r="C316" s="10">
        <v>24.73</v>
      </c>
      <c r="D316" s="10">
        <v>25.875</v>
      </c>
      <c r="E316" s="10">
        <v>25</v>
      </c>
      <c r="F316" s="10" t="s">
        <v>2910</v>
      </c>
      <c r="G316" s="11">
        <v>9.1999999999999998E-3</v>
      </c>
    </row>
    <row r="317" spans="1:7" x14ac:dyDescent="0.35">
      <c r="A317" s="5" t="s">
        <v>802</v>
      </c>
      <c r="B317" s="9">
        <v>25.798999999999999</v>
      </c>
      <c r="C317" s="10">
        <v>25.074999999999999</v>
      </c>
      <c r="D317" s="10">
        <v>25.684999999999999</v>
      </c>
      <c r="E317" s="10">
        <v>25.395</v>
      </c>
      <c r="F317" s="10" t="s">
        <v>2911</v>
      </c>
      <c r="G317" s="11">
        <v>3.7100000000000001E-2</v>
      </c>
    </row>
    <row r="318" spans="1:7" x14ac:dyDescent="0.35">
      <c r="A318" s="5" t="s">
        <v>806</v>
      </c>
      <c r="B318" s="9">
        <v>25.59</v>
      </c>
      <c r="C318" s="10">
        <v>25.57</v>
      </c>
      <c r="D318" s="10">
        <v>25.664999999999999</v>
      </c>
      <c r="E318" s="10">
        <v>25.27</v>
      </c>
      <c r="F318" s="10" t="s">
        <v>2912</v>
      </c>
      <c r="G318" s="11">
        <v>-8.0999999999999996E-3</v>
      </c>
    </row>
    <row r="319" spans="1:7" x14ac:dyDescent="0.35">
      <c r="A319" s="5" t="s">
        <v>808</v>
      </c>
      <c r="B319" s="9">
        <v>25.594999999999999</v>
      </c>
      <c r="C319" s="10">
        <v>25.515000000000001</v>
      </c>
      <c r="D319" s="10">
        <v>26.09</v>
      </c>
      <c r="E319" s="10">
        <v>25.375</v>
      </c>
      <c r="F319" s="10" t="s">
        <v>2913</v>
      </c>
      <c r="G319" s="11">
        <v>2.0000000000000001E-4</v>
      </c>
    </row>
    <row r="320" spans="1:7" x14ac:dyDescent="0.35">
      <c r="A320" s="5" t="s">
        <v>810</v>
      </c>
      <c r="B320" s="9">
        <v>25.474</v>
      </c>
      <c r="C320" s="10">
        <v>25.5</v>
      </c>
      <c r="D320" s="10">
        <v>25.565000000000001</v>
      </c>
      <c r="E320" s="10">
        <v>25.114999999999998</v>
      </c>
      <c r="F320" s="10" t="s">
        <v>2914</v>
      </c>
      <c r="G320" s="11">
        <v>-4.7000000000000002E-3</v>
      </c>
    </row>
    <row r="321" spans="1:7" x14ac:dyDescent="0.35">
      <c r="A321" s="5" t="s">
        <v>812</v>
      </c>
      <c r="B321" s="9">
        <v>25.303000000000001</v>
      </c>
      <c r="C321" s="10">
        <v>25.48</v>
      </c>
      <c r="D321" s="10">
        <v>25.23</v>
      </c>
      <c r="E321" s="10">
        <v>24.204999999999998</v>
      </c>
      <c r="F321" s="10" t="s">
        <v>2915</v>
      </c>
      <c r="G321" s="11">
        <v>-6.7000000000000002E-3</v>
      </c>
    </row>
    <row r="322" spans="1:7" x14ac:dyDescent="0.35">
      <c r="A322" s="5" t="s">
        <v>816</v>
      </c>
      <c r="B322" s="9">
        <v>23.279</v>
      </c>
      <c r="C322" s="10">
        <v>23.75</v>
      </c>
      <c r="D322" s="10">
        <v>23.675000000000001</v>
      </c>
      <c r="E322" s="10">
        <v>23.22</v>
      </c>
      <c r="F322" s="10" t="s">
        <v>2916</v>
      </c>
      <c r="G322" s="11">
        <v>-0.08</v>
      </c>
    </row>
    <row r="323" spans="1:7" x14ac:dyDescent="0.35">
      <c r="A323" s="5" t="s">
        <v>818</v>
      </c>
      <c r="B323" s="9">
        <v>23.402000000000001</v>
      </c>
      <c r="C323" s="10">
        <v>23.524999999999999</v>
      </c>
      <c r="D323" s="10">
        <v>23.565000000000001</v>
      </c>
      <c r="E323" s="10">
        <v>23.19</v>
      </c>
      <c r="F323" s="10" t="s">
        <v>2917</v>
      </c>
      <c r="G323" s="11">
        <v>5.3E-3</v>
      </c>
    </row>
    <row r="324" spans="1:7" x14ac:dyDescent="0.35">
      <c r="A324" s="5" t="s">
        <v>820</v>
      </c>
      <c r="B324" s="9">
        <v>23.495999999999999</v>
      </c>
      <c r="C324" s="10">
        <v>23.495000000000001</v>
      </c>
      <c r="D324" s="10">
        <v>23.53</v>
      </c>
      <c r="E324" s="10">
        <v>22.97</v>
      </c>
      <c r="F324" s="10" t="s">
        <v>2918</v>
      </c>
      <c r="G324" s="11">
        <v>4.0000000000000001E-3</v>
      </c>
    </row>
    <row r="325" spans="1:7" x14ac:dyDescent="0.35">
      <c r="A325" s="5" t="s">
        <v>822</v>
      </c>
      <c r="B325" s="9">
        <v>23.122</v>
      </c>
      <c r="C325" s="10">
        <v>23.13</v>
      </c>
      <c r="D325" s="10">
        <v>23.83</v>
      </c>
      <c r="E325" s="10">
        <v>23.13</v>
      </c>
      <c r="F325" s="10" t="s">
        <v>2919</v>
      </c>
      <c r="G325" s="11">
        <v>-1.5900000000000001E-2</v>
      </c>
    </row>
    <row r="326" spans="1:7" x14ac:dyDescent="0.35">
      <c r="A326" s="5" t="s">
        <v>826</v>
      </c>
      <c r="B326" s="9">
        <v>23.798999999999999</v>
      </c>
      <c r="C326" s="10">
        <v>23.754999999999999</v>
      </c>
      <c r="D326" s="10">
        <v>23.954999999999998</v>
      </c>
      <c r="E326" s="10">
        <v>23.565000000000001</v>
      </c>
      <c r="F326" s="10" t="s">
        <v>2920</v>
      </c>
      <c r="G326" s="11">
        <v>2.93E-2</v>
      </c>
    </row>
    <row r="327" spans="1:7" x14ac:dyDescent="0.35">
      <c r="A327" s="5" t="s">
        <v>828</v>
      </c>
      <c r="B327" s="9">
        <v>23.666</v>
      </c>
      <c r="C327" s="10">
        <v>23.87</v>
      </c>
      <c r="D327" s="10">
        <v>23.83</v>
      </c>
      <c r="E327" s="10">
        <v>23.265000000000001</v>
      </c>
      <c r="F327" s="10" t="s">
        <v>2921</v>
      </c>
      <c r="G327" s="11">
        <v>-5.5999999999999999E-3</v>
      </c>
    </row>
    <row r="328" spans="1:7" x14ac:dyDescent="0.35">
      <c r="A328" s="5" t="s">
        <v>830</v>
      </c>
      <c r="B328" s="9">
        <v>23.43</v>
      </c>
      <c r="C328" s="10">
        <v>23.66</v>
      </c>
      <c r="D328" s="10">
        <v>23.515000000000001</v>
      </c>
      <c r="E328" s="10">
        <v>23.08</v>
      </c>
      <c r="F328" s="10" t="s">
        <v>2922</v>
      </c>
      <c r="G328" s="11">
        <v>-0.01</v>
      </c>
    </row>
    <row r="329" spans="1:7" x14ac:dyDescent="0.35">
      <c r="A329" s="5" t="s">
        <v>832</v>
      </c>
      <c r="B329" s="9">
        <v>23.239000000000001</v>
      </c>
      <c r="C329" s="10">
        <v>23.355</v>
      </c>
      <c r="D329" s="10">
        <v>23.3</v>
      </c>
      <c r="E329" s="10">
        <v>22.835000000000001</v>
      </c>
      <c r="F329" s="10" t="s">
        <v>2923</v>
      </c>
      <c r="G329" s="11">
        <v>-8.2000000000000007E-3</v>
      </c>
    </row>
    <row r="330" spans="1:7" x14ac:dyDescent="0.35">
      <c r="A330" s="5" t="s">
        <v>836</v>
      </c>
      <c r="B330" s="9">
        <v>23.666</v>
      </c>
      <c r="C330" s="10">
        <v>23.035</v>
      </c>
      <c r="D330" s="10">
        <v>23.975000000000001</v>
      </c>
      <c r="E330" s="10">
        <v>23.545000000000002</v>
      </c>
      <c r="F330" s="10" t="s">
        <v>2924</v>
      </c>
      <c r="G330" s="11">
        <v>1.84E-2</v>
      </c>
    </row>
    <row r="331" spans="1:7" x14ac:dyDescent="0.35">
      <c r="A331" s="5" t="s">
        <v>838</v>
      </c>
      <c r="B331" s="9">
        <v>23.908999999999999</v>
      </c>
      <c r="C331" s="10">
        <v>23.625</v>
      </c>
      <c r="D331" s="10">
        <v>23.91</v>
      </c>
      <c r="E331" s="10">
        <v>23.59</v>
      </c>
      <c r="F331" s="10" t="s">
        <v>2925</v>
      </c>
      <c r="G331" s="11">
        <v>1.03E-2</v>
      </c>
    </row>
    <row r="332" spans="1:7" x14ac:dyDescent="0.35">
      <c r="A332" s="5" t="s">
        <v>840</v>
      </c>
      <c r="B332" s="9">
        <v>23.795000000000002</v>
      </c>
      <c r="C332" s="10">
        <v>23.815000000000001</v>
      </c>
      <c r="D332" s="10">
        <v>23.895</v>
      </c>
      <c r="E332" s="10">
        <v>23.42</v>
      </c>
      <c r="F332" s="10" t="s">
        <v>2863</v>
      </c>
      <c r="G332" s="11">
        <v>-4.7999999999999996E-3</v>
      </c>
    </row>
    <row r="333" spans="1:7" x14ac:dyDescent="0.35">
      <c r="A333" s="5" t="s">
        <v>842</v>
      </c>
      <c r="B333" s="9">
        <v>23.567</v>
      </c>
      <c r="C333" s="10">
        <v>23.895</v>
      </c>
      <c r="D333" s="10">
        <v>24.135000000000002</v>
      </c>
      <c r="E333" s="10">
        <v>23.305</v>
      </c>
      <c r="F333" s="10" t="s">
        <v>2926</v>
      </c>
      <c r="G333" s="11">
        <v>-9.5999999999999992E-3</v>
      </c>
    </row>
    <row r="334" spans="1:7" x14ac:dyDescent="0.35">
      <c r="A334" s="5" t="s">
        <v>846</v>
      </c>
      <c r="B334" s="9">
        <v>23.992000000000001</v>
      </c>
      <c r="C334" s="10">
        <v>24.13</v>
      </c>
      <c r="D334" s="10">
        <v>24.27</v>
      </c>
      <c r="E334" s="10">
        <v>23.83</v>
      </c>
      <c r="F334" s="10" t="s">
        <v>2927</v>
      </c>
      <c r="G334" s="11">
        <v>1.7999999999999999E-2</v>
      </c>
    </row>
    <row r="335" spans="1:7" x14ac:dyDescent="0.35">
      <c r="A335" s="5" t="s">
        <v>848</v>
      </c>
      <c r="B335" s="9">
        <v>23.991</v>
      </c>
      <c r="C335" s="10">
        <v>23.965</v>
      </c>
      <c r="D335" s="10">
        <v>24.324999999999999</v>
      </c>
      <c r="E335" s="10">
        <v>23.774999999999999</v>
      </c>
      <c r="F335" s="10" t="s">
        <v>2928</v>
      </c>
      <c r="G335" s="11">
        <v>0</v>
      </c>
    </row>
    <row r="336" spans="1:7" x14ac:dyDescent="0.35">
      <c r="A336" s="5" t="s">
        <v>850</v>
      </c>
      <c r="B336" s="9">
        <v>24.201000000000001</v>
      </c>
      <c r="C336" s="10">
        <v>23.934999999999999</v>
      </c>
      <c r="D336" s="10">
        <v>24.274999999999999</v>
      </c>
      <c r="E336" s="10">
        <v>23.815000000000001</v>
      </c>
      <c r="F336" s="10" t="s">
        <v>2929</v>
      </c>
      <c r="G336" s="11">
        <v>8.8000000000000005E-3</v>
      </c>
    </row>
    <row r="337" spans="1:7" x14ac:dyDescent="0.35">
      <c r="A337" s="5" t="s">
        <v>852</v>
      </c>
      <c r="B337" s="9">
        <v>23.9</v>
      </c>
      <c r="C337" s="10">
        <v>23.9</v>
      </c>
      <c r="D337" s="10">
        <v>24.945</v>
      </c>
      <c r="E337" s="10">
        <v>23.91</v>
      </c>
      <c r="F337" s="10" t="s">
        <v>2930</v>
      </c>
      <c r="G337" s="11">
        <v>-1.24E-2</v>
      </c>
    </row>
    <row r="338" spans="1:7" x14ac:dyDescent="0.35">
      <c r="A338" s="5" t="s">
        <v>858</v>
      </c>
      <c r="B338" s="9">
        <v>24.356999999999999</v>
      </c>
      <c r="C338" s="10">
        <v>24.81</v>
      </c>
      <c r="D338" s="10">
        <v>24.48</v>
      </c>
      <c r="E338" s="10">
        <v>23.94</v>
      </c>
      <c r="F338" s="10" t="s">
        <v>2931</v>
      </c>
      <c r="G338" s="11">
        <v>1.9099999999999999E-2</v>
      </c>
    </row>
    <row r="339" spans="1:7" x14ac:dyDescent="0.35">
      <c r="A339" s="5" t="s">
        <v>859</v>
      </c>
      <c r="B339" s="9">
        <v>24.036000000000001</v>
      </c>
      <c r="C339" s="10">
        <v>24.094999999999999</v>
      </c>
      <c r="D339" s="10">
        <v>24.355</v>
      </c>
      <c r="E339" s="10">
        <v>23.864999999999998</v>
      </c>
      <c r="F339" s="10" t="s">
        <v>2932</v>
      </c>
      <c r="G339" s="11">
        <v>-1.32E-2</v>
      </c>
    </row>
    <row r="340" spans="1:7" x14ac:dyDescent="0.35">
      <c r="A340" s="5" t="s">
        <v>861</v>
      </c>
      <c r="B340" s="9">
        <v>24.155999999999999</v>
      </c>
      <c r="C340" s="10">
        <v>23.975000000000001</v>
      </c>
      <c r="D340" s="10">
        <v>24.344999999999999</v>
      </c>
      <c r="E340" s="10">
        <v>23.76</v>
      </c>
      <c r="F340" s="10" t="s">
        <v>2933</v>
      </c>
      <c r="G340" s="11">
        <v>5.0000000000000001E-3</v>
      </c>
    </row>
    <row r="341" spans="1:7" x14ac:dyDescent="0.35">
      <c r="A341" s="5" t="s">
        <v>865</v>
      </c>
      <c r="B341" s="9">
        <v>23.774999999999999</v>
      </c>
      <c r="C341" s="10">
        <v>23.454999999999998</v>
      </c>
      <c r="D341" s="10">
        <v>23.98</v>
      </c>
      <c r="E341" s="10">
        <v>23.434999999999999</v>
      </c>
      <c r="F341" s="10" t="s">
        <v>2934</v>
      </c>
      <c r="G341" s="11">
        <v>-1.5800000000000002E-2</v>
      </c>
    </row>
    <row r="342" spans="1:7" x14ac:dyDescent="0.35">
      <c r="A342" s="5" t="s">
        <v>867</v>
      </c>
      <c r="B342" s="9">
        <v>23.863</v>
      </c>
      <c r="C342" s="10">
        <v>23.695</v>
      </c>
      <c r="D342" s="10">
        <v>23.94</v>
      </c>
      <c r="E342" s="10">
        <v>23.67</v>
      </c>
      <c r="F342" s="10" t="s">
        <v>2935</v>
      </c>
      <c r="G342" s="11">
        <v>3.7000000000000002E-3</v>
      </c>
    </row>
    <row r="343" spans="1:7" x14ac:dyDescent="0.35">
      <c r="A343" s="5" t="s">
        <v>869</v>
      </c>
      <c r="B343" s="9">
        <v>23.779</v>
      </c>
      <c r="C343" s="10">
        <v>23.864999999999998</v>
      </c>
      <c r="D343" s="10">
        <v>24</v>
      </c>
      <c r="E343" s="10">
        <v>22.585000000000001</v>
      </c>
      <c r="F343" s="10" t="s">
        <v>2936</v>
      </c>
      <c r="G343" s="11">
        <v>-3.5000000000000001E-3</v>
      </c>
    </row>
    <row r="344" spans="1:7" x14ac:dyDescent="0.35">
      <c r="A344" s="5" t="s">
        <v>871</v>
      </c>
      <c r="B344" s="9">
        <v>22.774000000000001</v>
      </c>
      <c r="C344" s="10">
        <v>23.515000000000001</v>
      </c>
      <c r="D344" s="10">
        <v>23.13</v>
      </c>
      <c r="E344" s="10">
        <v>22.305</v>
      </c>
      <c r="F344" s="10" t="s">
        <v>2937</v>
      </c>
      <c r="G344" s="11">
        <v>-4.2299999999999997E-2</v>
      </c>
    </row>
    <row r="345" spans="1:7" x14ac:dyDescent="0.35">
      <c r="A345" s="5" t="s">
        <v>875</v>
      </c>
      <c r="B345" s="9">
        <v>22.184999999999999</v>
      </c>
      <c r="C345" s="10">
        <v>22.324999999999999</v>
      </c>
      <c r="D345" s="10">
        <v>22.72</v>
      </c>
      <c r="E345" s="10">
        <v>22.21</v>
      </c>
      <c r="F345" s="10" t="s">
        <v>2938</v>
      </c>
      <c r="G345" s="11">
        <v>-2.5899999999999999E-2</v>
      </c>
    </row>
    <row r="346" spans="1:7" x14ac:dyDescent="0.35">
      <c r="A346" s="5" t="s">
        <v>877</v>
      </c>
      <c r="B346" s="9">
        <v>22.593</v>
      </c>
      <c r="C346" s="10">
        <v>22.21</v>
      </c>
      <c r="D346" s="10">
        <v>23.15</v>
      </c>
      <c r="E346" s="10">
        <v>22.454999999999998</v>
      </c>
      <c r="F346" s="10" t="s">
        <v>2939</v>
      </c>
      <c r="G346" s="11">
        <v>1.84E-2</v>
      </c>
    </row>
    <row r="347" spans="1:7" x14ac:dyDescent="0.35">
      <c r="A347" s="5" t="s">
        <v>879</v>
      </c>
      <c r="B347" s="9">
        <v>22.89</v>
      </c>
      <c r="C347" s="10">
        <v>22.484999999999999</v>
      </c>
      <c r="D347" s="10">
        <v>22.88</v>
      </c>
      <c r="E347" s="10">
        <v>22.465</v>
      </c>
      <c r="F347" s="10" t="s">
        <v>2940</v>
      </c>
      <c r="G347" s="11">
        <v>1.3100000000000001E-2</v>
      </c>
    </row>
    <row r="348" spans="1:7" x14ac:dyDescent="0.35">
      <c r="A348" s="5" t="s">
        <v>881</v>
      </c>
      <c r="B348" s="9">
        <v>22.663</v>
      </c>
      <c r="C348" s="10">
        <v>22.59</v>
      </c>
      <c r="D348" s="10">
        <v>22.79</v>
      </c>
      <c r="E348" s="10">
        <v>22.09</v>
      </c>
      <c r="F348" s="10" t="s">
        <v>2941</v>
      </c>
      <c r="G348" s="11">
        <v>-9.9000000000000008E-3</v>
      </c>
    </row>
    <row r="349" spans="1:7" x14ac:dyDescent="0.35">
      <c r="A349" s="5" t="s">
        <v>885</v>
      </c>
      <c r="B349" s="9">
        <v>22.684999999999999</v>
      </c>
      <c r="C349" s="10">
        <v>22.434999999999999</v>
      </c>
      <c r="D349" s="10">
        <v>22.68</v>
      </c>
      <c r="E349" s="10">
        <v>22.08</v>
      </c>
      <c r="F349" s="10" t="s">
        <v>2942</v>
      </c>
      <c r="G349" s="11">
        <v>1E-3</v>
      </c>
    </row>
    <row r="350" spans="1:7" x14ac:dyDescent="0.35">
      <c r="A350" s="5" t="s">
        <v>887</v>
      </c>
      <c r="B350" s="9">
        <v>22.46</v>
      </c>
      <c r="C350" s="10">
        <v>22.635000000000002</v>
      </c>
      <c r="D350" s="10">
        <v>22.565000000000001</v>
      </c>
      <c r="E350" s="10">
        <v>21.41</v>
      </c>
      <c r="F350" s="10" t="s">
        <v>2943</v>
      </c>
      <c r="G350" s="11">
        <v>-9.9000000000000008E-3</v>
      </c>
    </row>
    <row r="351" spans="1:7" x14ac:dyDescent="0.35">
      <c r="A351" s="5" t="s">
        <v>889</v>
      </c>
      <c r="B351" s="9">
        <v>21.484999999999999</v>
      </c>
      <c r="C351" s="10">
        <v>22.475000000000001</v>
      </c>
      <c r="D351" s="10">
        <v>22.225000000000001</v>
      </c>
      <c r="E351" s="10">
        <v>21.46</v>
      </c>
      <c r="F351" s="10" t="s">
        <v>2944</v>
      </c>
      <c r="G351" s="11">
        <v>-4.3400000000000001E-2</v>
      </c>
    </row>
    <row r="352" spans="1:7" x14ac:dyDescent="0.35">
      <c r="A352" s="5" t="s">
        <v>891</v>
      </c>
      <c r="B352" s="9">
        <v>22.047000000000001</v>
      </c>
      <c r="C352" s="10">
        <v>21.515000000000001</v>
      </c>
      <c r="D352" s="10">
        <v>22.6</v>
      </c>
      <c r="E352" s="10">
        <v>21.99</v>
      </c>
      <c r="F352" s="10" t="s">
        <v>2945</v>
      </c>
      <c r="G352" s="11">
        <v>2.6200000000000001E-2</v>
      </c>
    </row>
    <row r="353" spans="1:7" x14ac:dyDescent="0.35">
      <c r="A353" s="5" t="s">
        <v>895</v>
      </c>
      <c r="B353" s="9">
        <v>22.643999999999998</v>
      </c>
      <c r="C353" s="10">
        <v>22.6</v>
      </c>
      <c r="D353" s="10">
        <v>22.73</v>
      </c>
      <c r="E353" s="10">
        <v>22.38</v>
      </c>
      <c r="F353" s="10" t="s">
        <v>2946</v>
      </c>
      <c r="G353" s="11">
        <v>2.7099999999999999E-2</v>
      </c>
    </row>
    <row r="354" spans="1:7" x14ac:dyDescent="0.35">
      <c r="A354" s="5" t="s">
        <v>897</v>
      </c>
      <c r="B354" s="9">
        <v>22.608000000000001</v>
      </c>
      <c r="C354" s="10">
        <v>22.725000000000001</v>
      </c>
      <c r="D354" s="10">
        <v>22.7</v>
      </c>
      <c r="E354" s="10">
        <v>22.184999999999999</v>
      </c>
      <c r="F354" s="10" t="s">
        <v>2947</v>
      </c>
      <c r="G354" s="11">
        <v>-1.6000000000000001E-3</v>
      </c>
    </row>
    <row r="355" spans="1:7" x14ac:dyDescent="0.35">
      <c r="A355" s="5" t="s">
        <v>899</v>
      </c>
      <c r="B355" s="9">
        <v>22.532</v>
      </c>
      <c r="C355" s="10">
        <v>22.635000000000002</v>
      </c>
      <c r="D355" s="10">
        <v>22.84</v>
      </c>
      <c r="E355" s="10">
        <v>22.385000000000002</v>
      </c>
      <c r="F355" s="10" t="s">
        <v>2948</v>
      </c>
      <c r="G355" s="11">
        <v>-3.3999999999999998E-3</v>
      </c>
    </row>
    <row r="356" spans="1:7" x14ac:dyDescent="0.35">
      <c r="A356" s="5" t="s">
        <v>901</v>
      </c>
      <c r="B356" s="9">
        <v>22.658000000000001</v>
      </c>
      <c r="C356" s="10">
        <v>22.64</v>
      </c>
      <c r="D356" s="10">
        <v>23.22</v>
      </c>
      <c r="E356" s="10">
        <v>22.434999999999999</v>
      </c>
      <c r="F356" s="10" t="s">
        <v>2949</v>
      </c>
      <c r="G356" s="11">
        <v>5.5999999999999999E-3</v>
      </c>
    </row>
    <row r="357" spans="1:7" x14ac:dyDescent="0.35">
      <c r="A357" s="5" t="s">
        <v>905</v>
      </c>
      <c r="B357" s="9">
        <v>22.664999999999999</v>
      </c>
      <c r="C357" s="10">
        <v>22.684999999999999</v>
      </c>
      <c r="D357" s="10">
        <v>22.79</v>
      </c>
      <c r="E357" s="10">
        <v>22.324999999999999</v>
      </c>
      <c r="F357" s="10" t="s">
        <v>2950</v>
      </c>
      <c r="G357" s="11">
        <v>2.9999999999999997E-4</v>
      </c>
    </row>
    <row r="358" spans="1:7" x14ac:dyDescent="0.35">
      <c r="A358" s="5" t="s">
        <v>907</v>
      </c>
      <c r="B358" s="9">
        <v>22.513999999999999</v>
      </c>
      <c r="C358" s="10">
        <v>22.61</v>
      </c>
      <c r="D358" s="10">
        <v>23.285</v>
      </c>
      <c r="E358" s="10">
        <v>22.48</v>
      </c>
      <c r="F358" s="10" t="s">
        <v>2951</v>
      </c>
      <c r="G358" s="11">
        <v>-6.7000000000000002E-3</v>
      </c>
    </row>
    <row r="359" spans="1:7" x14ac:dyDescent="0.35">
      <c r="A359" s="5" t="s">
        <v>909</v>
      </c>
      <c r="B359" s="9">
        <v>23.17</v>
      </c>
      <c r="C359" s="10">
        <v>22.57</v>
      </c>
      <c r="D359" s="10">
        <v>23.625</v>
      </c>
      <c r="E359" s="10">
        <v>22.925000000000001</v>
      </c>
      <c r="F359" s="10" t="s">
        <v>2952</v>
      </c>
      <c r="G359" s="11">
        <v>2.9100000000000001E-2</v>
      </c>
    </row>
    <row r="360" spans="1:7" x14ac:dyDescent="0.35">
      <c r="A360" s="5" t="s">
        <v>911</v>
      </c>
      <c r="B360" s="9">
        <v>23.477</v>
      </c>
      <c r="C360" s="10">
        <v>23.1</v>
      </c>
      <c r="D360" s="10">
        <v>23.645</v>
      </c>
      <c r="E360" s="10">
        <v>23.1</v>
      </c>
      <c r="F360" s="10" t="s">
        <v>2953</v>
      </c>
      <c r="G360" s="11">
        <v>1.32E-2</v>
      </c>
    </row>
    <row r="361" spans="1:7" x14ac:dyDescent="0.35">
      <c r="A361" s="5" t="s">
        <v>915</v>
      </c>
      <c r="B361" s="9">
        <v>23.263999999999999</v>
      </c>
      <c r="C361" s="10">
        <v>23.38</v>
      </c>
      <c r="D361" s="10">
        <v>24.18</v>
      </c>
      <c r="E361" s="10">
        <v>23.22</v>
      </c>
      <c r="F361" s="10" t="s">
        <v>2954</v>
      </c>
      <c r="G361" s="11">
        <v>-9.1000000000000004E-3</v>
      </c>
    </row>
    <row r="362" spans="1:7" x14ac:dyDescent="0.35">
      <c r="A362" s="5" t="s">
        <v>917</v>
      </c>
      <c r="B362" s="9">
        <v>23.882999999999999</v>
      </c>
      <c r="C362" s="10">
        <v>23.25</v>
      </c>
      <c r="D362" s="10">
        <v>24.495000000000001</v>
      </c>
      <c r="E362" s="10">
        <v>23.614999999999998</v>
      </c>
      <c r="F362" s="10" t="s">
        <v>2955</v>
      </c>
      <c r="G362" s="11">
        <v>2.6599999999999999E-2</v>
      </c>
    </row>
    <row r="363" spans="1:7" x14ac:dyDescent="0.35">
      <c r="A363" s="5" t="s">
        <v>919</v>
      </c>
      <c r="B363" s="9">
        <v>24.445</v>
      </c>
      <c r="C363" s="10">
        <v>23.71</v>
      </c>
      <c r="D363" s="10">
        <v>24.55</v>
      </c>
      <c r="E363" s="10">
        <v>24.07</v>
      </c>
      <c r="F363" s="10" t="s">
        <v>2956</v>
      </c>
      <c r="G363" s="11">
        <v>2.35E-2</v>
      </c>
    </row>
    <row r="364" spans="1:7" x14ac:dyDescent="0.35">
      <c r="A364" s="5" t="s">
        <v>921</v>
      </c>
      <c r="B364" s="9">
        <v>24.17</v>
      </c>
      <c r="C364" s="10">
        <v>24.37</v>
      </c>
      <c r="D364" s="10">
        <v>24.92</v>
      </c>
      <c r="E364" s="10">
        <v>24.184999999999999</v>
      </c>
      <c r="F364" s="10" t="s">
        <v>2957</v>
      </c>
      <c r="G364" s="11">
        <v>-1.12E-2</v>
      </c>
    </row>
    <row r="365" spans="1:7" x14ac:dyDescent="0.35">
      <c r="A365" s="5" t="s">
        <v>925</v>
      </c>
      <c r="B365" s="9">
        <v>24.591999999999999</v>
      </c>
      <c r="C365" s="10">
        <v>24.395</v>
      </c>
      <c r="D365" s="10">
        <v>24.655000000000001</v>
      </c>
      <c r="E365" s="10">
        <v>23.925000000000001</v>
      </c>
      <c r="F365" s="10" t="s">
        <v>2958</v>
      </c>
      <c r="G365" s="11">
        <v>1.7500000000000002E-2</v>
      </c>
    </row>
    <row r="366" spans="1:7" x14ac:dyDescent="0.35">
      <c r="A366" s="5" t="s">
        <v>927</v>
      </c>
      <c r="B366" s="9">
        <v>24.088000000000001</v>
      </c>
      <c r="C366" s="10">
        <v>24.65</v>
      </c>
      <c r="D366" s="10">
        <v>24.33</v>
      </c>
      <c r="E366" s="10">
        <v>23.905000000000001</v>
      </c>
      <c r="F366" s="10" t="s">
        <v>2959</v>
      </c>
      <c r="G366" s="11">
        <v>-2.0500000000000001E-2</v>
      </c>
    </row>
    <row r="367" spans="1:7" x14ac:dyDescent="0.35">
      <c r="A367" s="5" t="s">
        <v>929</v>
      </c>
      <c r="B367" s="9">
        <v>24.190999999999999</v>
      </c>
      <c r="C367" s="10">
        <v>24.22</v>
      </c>
      <c r="D367" s="10">
        <v>24.31</v>
      </c>
      <c r="E367" s="10">
        <v>24.02</v>
      </c>
      <c r="F367" s="10" t="s">
        <v>2960</v>
      </c>
      <c r="G367" s="11">
        <v>4.3E-3</v>
      </c>
    </row>
    <row r="368" spans="1:7" x14ac:dyDescent="0.35">
      <c r="A368" s="5" t="s">
        <v>931</v>
      </c>
      <c r="B368" s="9">
        <v>24.138999999999999</v>
      </c>
      <c r="C368" s="10">
        <v>24.15</v>
      </c>
      <c r="D368" s="10">
        <v>24.14</v>
      </c>
      <c r="E368" s="10">
        <v>23.704999999999998</v>
      </c>
      <c r="F368" s="10" t="s">
        <v>2961</v>
      </c>
      <c r="G368" s="11">
        <v>-2.0999999999999999E-3</v>
      </c>
    </row>
    <row r="369" spans="1:7" x14ac:dyDescent="0.35">
      <c r="A369" s="5" t="s">
        <v>935</v>
      </c>
      <c r="B369" s="9">
        <v>24.091000000000001</v>
      </c>
      <c r="C369" s="10">
        <v>23.99</v>
      </c>
      <c r="D369" s="10">
        <v>24.14</v>
      </c>
      <c r="E369" s="10">
        <v>23.43</v>
      </c>
      <c r="F369" s="10" t="s">
        <v>2962</v>
      </c>
      <c r="G369" s="11">
        <v>-2E-3</v>
      </c>
    </row>
    <row r="370" spans="1:7" x14ac:dyDescent="0.35">
      <c r="A370" s="5" t="s">
        <v>937</v>
      </c>
      <c r="B370" s="9">
        <v>23.524000000000001</v>
      </c>
      <c r="C370" s="10">
        <v>24.12</v>
      </c>
      <c r="D370" s="10">
        <v>23.664999999999999</v>
      </c>
      <c r="E370" s="10">
        <v>23.045000000000002</v>
      </c>
      <c r="F370" s="10" t="s">
        <v>2963</v>
      </c>
      <c r="G370" s="11">
        <v>-2.35E-2</v>
      </c>
    </row>
    <row r="371" spans="1:7" x14ac:dyDescent="0.35">
      <c r="A371" s="5" t="s">
        <v>939</v>
      </c>
      <c r="B371" s="9">
        <v>23.251000000000001</v>
      </c>
      <c r="C371" s="10">
        <v>23.565000000000001</v>
      </c>
      <c r="D371" s="10">
        <v>24.114999999999998</v>
      </c>
      <c r="E371" s="10">
        <v>23.484999999999999</v>
      </c>
      <c r="F371" s="10" t="s">
        <v>2964</v>
      </c>
      <c r="G371" s="11">
        <v>-1.1599999999999999E-2</v>
      </c>
    </row>
    <row r="372" spans="1:7" x14ac:dyDescent="0.35">
      <c r="A372" s="5" t="s">
        <v>941</v>
      </c>
      <c r="B372" s="9">
        <v>23.93</v>
      </c>
      <c r="C372" s="10">
        <v>23.635000000000002</v>
      </c>
      <c r="D372" s="10">
        <v>24.254999999999999</v>
      </c>
      <c r="E372" s="10">
        <v>23.664999999999999</v>
      </c>
      <c r="F372" s="10" t="s">
        <v>2965</v>
      </c>
      <c r="G372" s="11">
        <v>2.92E-2</v>
      </c>
    </row>
    <row r="373" spans="1:7" x14ac:dyDescent="0.35">
      <c r="A373" s="5" t="s">
        <v>945</v>
      </c>
      <c r="B373" s="9">
        <v>24.561</v>
      </c>
      <c r="C373" s="10">
        <v>24.17</v>
      </c>
      <c r="D373" s="10">
        <v>24.565000000000001</v>
      </c>
      <c r="E373" s="10">
        <v>24.09</v>
      </c>
      <c r="F373" s="10" t="s">
        <v>2966</v>
      </c>
      <c r="G373" s="11">
        <v>2.64E-2</v>
      </c>
    </row>
    <row r="374" spans="1:7" x14ac:dyDescent="0.35">
      <c r="A374" s="5" t="s">
        <v>947</v>
      </c>
      <c r="B374" s="9">
        <v>24.337</v>
      </c>
      <c r="C374" s="10">
        <v>24.545000000000002</v>
      </c>
      <c r="D374" s="10">
        <v>25.22</v>
      </c>
      <c r="E374" s="10">
        <v>24.04</v>
      </c>
      <c r="F374" s="10" t="s">
        <v>2967</v>
      </c>
      <c r="G374" s="11">
        <v>-9.1000000000000004E-3</v>
      </c>
    </row>
    <row r="375" spans="1:7" x14ac:dyDescent="0.35">
      <c r="A375" s="5" t="s">
        <v>949</v>
      </c>
      <c r="B375" s="9">
        <v>24.791</v>
      </c>
      <c r="C375" s="10">
        <v>24.315000000000001</v>
      </c>
      <c r="D375" s="10">
        <v>25.364999999999998</v>
      </c>
      <c r="E375" s="10">
        <v>24.645</v>
      </c>
      <c r="F375" s="10" t="s">
        <v>2968</v>
      </c>
      <c r="G375" s="11">
        <v>1.8700000000000001E-2</v>
      </c>
    </row>
    <row r="376" spans="1:7" x14ac:dyDescent="0.35">
      <c r="A376" s="5" t="s">
        <v>951</v>
      </c>
      <c r="B376" s="9">
        <v>25.32</v>
      </c>
      <c r="C376" s="10">
        <v>24.734999999999999</v>
      </c>
      <c r="D376" s="10">
        <v>25.47</v>
      </c>
      <c r="E376" s="10">
        <v>24.925000000000001</v>
      </c>
      <c r="F376" s="10" t="s">
        <v>2937</v>
      </c>
      <c r="G376" s="11">
        <v>2.1299999999999999E-2</v>
      </c>
    </row>
    <row r="377" spans="1:7" x14ac:dyDescent="0.35">
      <c r="A377" s="5" t="s">
        <v>955</v>
      </c>
      <c r="B377" s="9">
        <v>25.123999999999999</v>
      </c>
      <c r="C377" s="10">
        <v>25.42</v>
      </c>
      <c r="D377" s="10">
        <v>25.49</v>
      </c>
      <c r="E377" s="10">
        <v>24.824999999999999</v>
      </c>
      <c r="F377" s="10" t="s">
        <v>2969</v>
      </c>
      <c r="G377" s="11">
        <v>-7.7000000000000002E-3</v>
      </c>
    </row>
    <row r="378" spans="1:7" x14ac:dyDescent="0.35">
      <c r="A378" s="5" t="s">
        <v>957</v>
      </c>
      <c r="B378" s="9">
        <v>24.963000000000001</v>
      </c>
      <c r="C378" s="10">
        <v>25.184999999999999</v>
      </c>
      <c r="D378" s="10">
        <v>25.285</v>
      </c>
      <c r="E378" s="10">
        <v>24.85</v>
      </c>
      <c r="F378" s="10" t="s">
        <v>2970</v>
      </c>
      <c r="G378" s="11">
        <v>-6.4000000000000003E-3</v>
      </c>
    </row>
    <row r="379" spans="1:7" x14ac:dyDescent="0.35">
      <c r="A379" s="5" t="s">
        <v>959</v>
      </c>
      <c r="B379" s="9">
        <v>25.184999999999999</v>
      </c>
      <c r="C379" s="10">
        <v>24.88</v>
      </c>
      <c r="D379" s="10">
        <v>25.23</v>
      </c>
      <c r="E379" s="10">
        <v>24.73</v>
      </c>
      <c r="F379" s="10" t="s">
        <v>2971</v>
      </c>
      <c r="G379" s="11">
        <v>8.8999999999999999E-3</v>
      </c>
    </row>
    <row r="380" spans="1:7" x14ac:dyDescent="0.35">
      <c r="A380" s="5" t="s">
        <v>961</v>
      </c>
      <c r="B380" s="9">
        <v>24.919</v>
      </c>
      <c r="C380" s="10">
        <v>25.2</v>
      </c>
      <c r="D380" s="10">
        <v>25.04</v>
      </c>
      <c r="E380" s="10">
        <v>24.61</v>
      </c>
      <c r="F380" s="10" t="s">
        <v>2972</v>
      </c>
      <c r="G380" s="11">
        <v>-1.06E-2</v>
      </c>
    </row>
    <row r="381" spans="1:7" x14ac:dyDescent="0.35">
      <c r="A381" s="5" t="s">
        <v>965</v>
      </c>
      <c r="B381" s="9">
        <v>24.318000000000001</v>
      </c>
      <c r="C381" s="10">
        <v>24.67</v>
      </c>
      <c r="D381" s="10">
        <v>24.34</v>
      </c>
      <c r="E381" s="10">
        <v>23.28</v>
      </c>
      <c r="F381" s="10" t="s">
        <v>2973</v>
      </c>
      <c r="G381" s="11">
        <v>-2.41E-2</v>
      </c>
    </row>
    <row r="382" spans="1:7" x14ac:dyDescent="0.35">
      <c r="A382" s="5" t="s">
        <v>967</v>
      </c>
      <c r="B382" s="9">
        <v>23.452000000000002</v>
      </c>
      <c r="C382" s="10">
        <v>24.245000000000001</v>
      </c>
      <c r="D382" s="10">
        <v>23.695</v>
      </c>
      <c r="E382" s="10">
        <v>23.4</v>
      </c>
      <c r="F382" s="10" t="s">
        <v>2974</v>
      </c>
      <c r="G382" s="11">
        <v>-3.56E-2</v>
      </c>
    </row>
    <row r="383" spans="1:7" x14ac:dyDescent="0.35">
      <c r="A383" s="5" t="s">
        <v>969</v>
      </c>
      <c r="B383" s="9">
        <v>23.513999999999999</v>
      </c>
      <c r="C383" s="10">
        <v>23.68</v>
      </c>
      <c r="D383" s="10">
        <v>23.734999999999999</v>
      </c>
      <c r="E383" s="10">
        <v>22.914999999999999</v>
      </c>
      <c r="F383" s="10" t="s">
        <v>2975</v>
      </c>
      <c r="G383" s="11">
        <v>2.5999999999999999E-3</v>
      </c>
    </row>
    <row r="384" spans="1:7" x14ac:dyDescent="0.35">
      <c r="A384" s="5" t="s">
        <v>974</v>
      </c>
      <c r="B384" s="9">
        <v>22.835999999999999</v>
      </c>
      <c r="C384" s="10">
        <v>23.16</v>
      </c>
      <c r="D384" s="10">
        <v>23.355</v>
      </c>
      <c r="E384" s="10">
        <v>22.704999999999998</v>
      </c>
      <c r="F384" s="10" t="s">
        <v>2976</v>
      </c>
      <c r="G384" s="11">
        <v>-2.8799999999999999E-2</v>
      </c>
    </row>
    <row r="385" spans="1:7" x14ac:dyDescent="0.35">
      <c r="A385" s="5" t="s">
        <v>976</v>
      </c>
      <c r="B385" s="9">
        <v>22.798999999999999</v>
      </c>
      <c r="C385" s="10">
        <v>22.87</v>
      </c>
      <c r="D385" s="10">
        <v>23.06</v>
      </c>
      <c r="E385" s="10">
        <v>22.184999999999999</v>
      </c>
      <c r="F385" s="10" t="s">
        <v>2977</v>
      </c>
      <c r="G385" s="11">
        <v>-1.6000000000000001E-3</v>
      </c>
    </row>
    <row r="386" spans="1:7" x14ac:dyDescent="0.35">
      <c r="A386" s="5" t="s">
        <v>978</v>
      </c>
      <c r="B386" s="9">
        <v>22.324000000000002</v>
      </c>
      <c r="C386" s="10">
        <v>22.945</v>
      </c>
      <c r="D386" s="10">
        <v>22.504999999999999</v>
      </c>
      <c r="E386" s="10">
        <v>22.215</v>
      </c>
      <c r="F386" s="10" t="s">
        <v>2978</v>
      </c>
      <c r="G386" s="11">
        <v>-2.0799999999999999E-2</v>
      </c>
    </row>
    <row r="387" spans="1:7" x14ac:dyDescent="0.35">
      <c r="A387" s="5" t="s">
        <v>980</v>
      </c>
      <c r="B387" s="9">
        <v>22.303999999999998</v>
      </c>
      <c r="C387" s="10">
        <v>22.48</v>
      </c>
      <c r="D387" s="10">
        <v>22.59</v>
      </c>
      <c r="E387" s="10">
        <v>22.035</v>
      </c>
      <c r="F387" s="10" t="s">
        <v>2979</v>
      </c>
      <c r="G387" s="11">
        <v>-8.9999999999999998E-4</v>
      </c>
    </row>
    <row r="388" spans="1:7" x14ac:dyDescent="0.35">
      <c r="A388" s="5" t="s">
        <v>984</v>
      </c>
      <c r="B388" s="9">
        <v>22.251999999999999</v>
      </c>
      <c r="C388" s="10">
        <v>22.53</v>
      </c>
      <c r="D388" s="10">
        <v>22.625</v>
      </c>
      <c r="E388" s="10">
        <v>22.23</v>
      </c>
      <c r="F388" s="10" t="s">
        <v>2980</v>
      </c>
      <c r="G388" s="11">
        <v>-2.3E-3</v>
      </c>
    </row>
    <row r="389" spans="1:7" x14ac:dyDescent="0.35">
      <c r="A389" s="5" t="s">
        <v>986</v>
      </c>
      <c r="B389" s="9">
        <v>22.512</v>
      </c>
      <c r="C389" s="10">
        <v>22.31</v>
      </c>
      <c r="D389" s="10">
        <v>22.58</v>
      </c>
      <c r="E389" s="10">
        <v>22.305</v>
      </c>
      <c r="F389" s="10" t="s">
        <v>2981</v>
      </c>
      <c r="G389" s="11">
        <v>1.17E-2</v>
      </c>
    </row>
    <row r="390" spans="1:7" x14ac:dyDescent="0.35">
      <c r="A390" s="5" t="s">
        <v>988</v>
      </c>
      <c r="B390" s="9">
        <v>22.422000000000001</v>
      </c>
      <c r="C390" s="10">
        <v>22.414999999999999</v>
      </c>
      <c r="D390" s="10">
        <v>22.475000000000001</v>
      </c>
      <c r="E390" s="10">
        <v>21.84</v>
      </c>
      <c r="F390" s="10" t="s">
        <v>2982</v>
      </c>
      <c r="G390" s="11">
        <v>-4.0000000000000001E-3</v>
      </c>
    </row>
    <row r="391" spans="1:7" x14ac:dyDescent="0.35">
      <c r="A391" s="5" t="s">
        <v>990</v>
      </c>
      <c r="B391" s="9">
        <v>22.001000000000001</v>
      </c>
      <c r="C391" s="10">
        <v>22.434999999999999</v>
      </c>
      <c r="D391" s="10">
        <v>22.24</v>
      </c>
      <c r="E391" s="10">
        <v>21.815000000000001</v>
      </c>
      <c r="F391" s="10" t="s">
        <v>2983</v>
      </c>
      <c r="G391" s="11">
        <v>-1.8800000000000001E-2</v>
      </c>
    </row>
    <row r="392" spans="1:7" x14ac:dyDescent="0.35">
      <c r="A392" s="5" t="s">
        <v>994</v>
      </c>
      <c r="B392" s="9">
        <v>22.315000000000001</v>
      </c>
      <c r="C392" s="10">
        <v>22.23</v>
      </c>
      <c r="D392" s="10">
        <v>22.355</v>
      </c>
      <c r="E392" s="10">
        <v>21.67</v>
      </c>
      <c r="F392" s="10" t="s">
        <v>2984</v>
      </c>
      <c r="G392" s="11">
        <v>1.43E-2</v>
      </c>
    </row>
    <row r="393" spans="1:7" x14ac:dyDescent="0.35">
      <c r="A393" s="5" t="s">
        <v>996</v>
      </c>
      <c r="B393" s="9">
        <v>21.908999999999999</v>
      </c>
      <c r="C393" s="10">
        <v>21.91</v>
      </c>
      <c r="D393" s="10">
        <v>22.13</v>
      </c>
      <c r="E393" s="10">
        <v>21.41</v>
      </c>
      <c r="F393" s="10" t="s">
        <v>2693</v>
      </c>
      <c r="G393" s="11">
        <v>-1.8200000000000001E-2</v>
      </c>
    </row>
    <row r="394" spans="1:7" x14ac:dyDescent="0.35">
      <c r="A394" s="5" t="s">
        <v>998</v>
      </c>
      <c r="B394" s="9">
        <v>21.53</v>
      </c>
      <c r="C394" s="10">
        <v>21.824999999999999</v>
      </c>
      <c r="D394" s="10">
        <v>22.56</v>
      </c>
      <c r="E394" s="10">
        <v>21.93</v>
      </c>
      <c r="F394" s="10" t="s">
        <v>2985</v>
      </c>
      <c r="G394" s="11">
        <v>-1.7299999999999999E-2</v>
      </c>
    </row>
    <row r="395" spans="1:7" x14ac:dyDescent="0.35">
      <c r="A395" s="5" t="s">
        <v>1000</v>
      </c>
      <c r="B395" s="9">
        <v>22.471</v>
      </c>
      <c r="C395" s="10">
        <v>22.164999999999999</v>
      </c>
      <c r="D395" s="10">
        <v>22.69</v>
      </c>
      <c r="E395" s="10">
        <v>22.355</v>
      </c>
      <c r="F395" s="10" t="s">
        <v>2986</v>
      </c>
      <c r="G395" s="11">
        <v>4.3700000000000003E-2</v>
      </c>
    </row>
    <row r="396" spans="1:7" x14ac:dyDescent="0.35">
      <c r="A396" s="5" t="s">
        <v>1004</v>
      </c>
      <c r="B396" s="9">
        <v>22.280999999999999</v>
      </c>
      <c r="C396" s="10">
        <v>22.26</v>
      </c>
      <c r="D396" s="10">
        <v>22.805</v>
      </c>
      <c r="E396" s="10">
        <v>22.184999999999999</v>
      </c>
      <c r="F396" s="10" t="s">
        <v>2987</v>
      </c>
      <c r="G396" s="11">
        <v>-8.5000000000000006E-3</v>
      </c>
    </row>
    <row r="397" spans="1:7" x14ac:dyDescent="0.35">
      <c r="A397" s="5" t="s">
        <v>1006</v>
      </c>
      <c r="B397" s="9">
        <v>22.513000000000002</v>
      </c>
      <c r="C397" s="10">
        <v>22.24</v>
      </c>
      <c r="D397" s="10">
        <v>22.86</v>
      </c>
      <c r="E397" s="10">
        <v>22.44</v>
      </c>
      <c r="F397" s="10" t="s">
        <v>2988</v>
      </c>
      <c r="G397" s="11">
        <v>1.04E-2</v>
      </c>
    </row>
    <row r="398" spans="1:7" x14ac:dyDescent="0.35">
      <c r="A398" s="5" t="s">
        <v>1008</v>
      </c>
      <c r="B398" s="9">
        <v>22.803999999999998</v>
      </c>
      <c r="C398" s="10">
        <v>22.454999999999998</v>
      </c>
      <c r="D398" s="10">
        <v>22.965</v>
      </c>
      <c r="E398" s="10">
        <v>22.68</v>
      </c>
      <c r="F398" s="10" t="s">
        <v>2989</v>
      </c>
      <c r="G398" s="11">
        <v>1.29E-2</v>
      </c>
    </row>
    <row r="399" spans="1:7" x14ac:dyDescent="0.35">
      <c r="A399" s="5" t="s">
        <v>1012</v>
      </c>
      <c r="B399" s="9">
        <v>22.981000000000002</v>
      </c>
      <c r="C399" s="10">
        <v>22.88</v>
      </c>
      <c r="D399" s="10">
        <v>23.48</v>
      </c>
      <c r="E399" s="10">
        <v>23.004999999999999</v>
      </c>
      <c r="F399" s="10" t="s">
        <v>2990</v>
      </c>
      <c r="G399" s="11">
        <v>7.7999999999999996E-3</v>
      </c>
    </row>
    <row r="400" spans="1:7" x14ac:dyDescent="0.35">
      <c r="A400" s="5" t="s">
        <v>1014</v>
      </c>
      <c r="B400" s="9">
        <v>23.113</v>
      </c>
      <c r="C400" s="10">
        <v>23.17</v>
      </c>
      <c r="D400" s="10">
        <v>23.184999999999999</v>
      </c>
      <c r="E400" s="10">
        <v>22.6</v>
      </c>
      <c r="F400" s="10" t="s">
        <v>2991</v>
      </c>
      <c r="G400" s="11">
        <v>5.7000000000000002E-3</v>
      </c>
    </row>
    <row r="401" spans="1:7" x14ac:dyDescent="0.35">
      <c r="A401" s="5" t="s">
        <v>1016</v>
      </c>
      <c r="B401" s="9">
        <v>22.85</v>
      </c>
      <c r="C401" s="10">
        <v>23</v>
      </c>
      <c r="D401" s="10">
        <v>23.155000000000001</v>
      </c>
      <c r="E401" s="10">
        <v>22.63</v>
      </c>
      <c r="F401" s="10" t="s">
        <v>2992</v>
      </c>
      <c r="G401" s="11">
        <v>-1.14E-2</v>
      </c>
    </row>
    <row r="402" spans="1:7" x14ac:dyDescent="0.35">
      <c r="A402" s="5" t="s">
        <v>1018</v>
      </c>
      <c r="B402" s="9">
        <v>23.06</v>
      </c>
      <c r="C402" s="10">
        <v>22.87</v>
      </c>
      <c r="D402" s="10">
        <v>23.39</v>
      </c>
      <c r="E402" s="10">
        <v>23.07</v>
      </c>
      <c r="F402" s="10" t="s">
        <v>2993</v>
      </c>
      <c r="G402" s="11">
        <v>9.1999999999999998E-3</v>
      </c>
    </row>
    <row r="403" spans="1:7" x14ac:dyDescent="0.35">
      <c r="A403" s="5" t="s">
        <v>1022</v>
      </c>
      <c r="B403" s="9">
        <v>22.81</v>
      </c>
      <c r="C403" s="10">
        <v>23.385000000000002</v>
      </c>
      <c r="D403" s="10">
        <v>23.14</v>
      </c>
      <c r="E403" s="10">
        <v>22.655000000000001</v>
      </c>
      <c r="F403" s="10" t="s">
        <v>2994</v>
      </c>
      <c r="G403" s="11">
        <v>-1.0800000000000001E-2</v>
      </c>
    </row>
    <row r="404" spans="1:7" x14ac:dyDescent="0.35">
      <c r="A404" s="5" t="s">
        <v>1024</v>
      </c>
      <c r="B404" s="9">
        <v>23.056000000000001</v>
      </c>
      <c r="C404" s="10">
        <v>22.92</v>
      </c>
      <c r="D404" s="10">
        <v>23.3</v>
      </c>
      <c r="E404" s="10">
        <v>22.75</v>
      </c>
      <c r="F404" s="10" t="s">
        <v>2995</v>
      </c>
      <c r="G404" s="11">
        <v>1.0800000000000001E-2</v>
      </c>
    </row>
    <row r="405" spans="1:7" x14ac:dyDescent="0.35">
      <c r="A405" s="5" t="s">
        <v>1025</v>
      </c>
      <c r="B405" s="9">
        <v>23.17</v>
      </c>
      <c r="C405" s="10">
        <v>23.094999999999999</v>
      </c>
      <c r="D405" s="10">
        <v>22.85</v>
      </c>
      <c r="E405" s="10">
        <v>22</v>
      </c>
      <c r="F405" s="10" t="s">
        <v>2996</v>
      </c>
      <c r="G405" s="11">
        <v>4.8999999999999998E-3</v>
      </c>
    </row>
    <row r="406" spans="1:7" x14ac:dyDescent="0.35">
      <c r="A406" s="5" t="s">
        <v>1027</v>
      </c>
      <c r="B406" s="9">
        <v>22.19</v>
      </c>
      <c r="C406" s="10">
        <v>22.81</v>
      </c>
      <c r="D406" s="10">
        <v>22.46</v>
      </c>
      <c r="E406" s="10">
        <v>21.945</v>
      </c>
      <c r="F406" s="10" t="s">
        <v>2614</v>
      </c>
      <c r="G406" s="11">
        <v>-4.2299999999999997E-2</v>
      </c>
    </row>
    <row r="407" spans="1:7" x14ac:dyDescent="0.35">
      <c r="A407" s="5" t="s">
        <v>1031</v>
      </c>
      <c r="B407" s="9">
        <v>22.462</v>
      </c>
      <c r="C407" s="10">
        <v>22.385000000000002</v>
      </c>
      <c r="D407" s="10">
        <v>22.86</v>
      </c>
      <c r="E407" s="10">
        <v>22.48</v>
      </c>
      <c r="F407" s="10" t="s">
        <v>2997</v>
      </c>
      <c r="G407" s="11">
        <v>1.23E-2</v>
      </c>
    </row>
    <row r="408" spans="1:7" x14ac:dyDescent="0.35">
      <c r="A408" s="5" t="s">
        <v>1033</v>
      </c>
      <c r="B408" s="9">
        <v>22.812000000000001</v>
      </c>
      <c r="C408" s="10">
        <v>22.5</v>
      </c>
      <c r="D408" s="10">
        <v>23.26</v>
      </c>
      <c r="E408" s="10">
        <v>22.68</v>
      </c>
      <c r="F408" s="10" t="s">
        <v>2998</v>
      </c>
      <c r="G408" s="11">
        <v>1.5599999999999999E-2</v>
      </c>
    </row>
    <row r="409" spans="1:7" x14ac:dyDescent="0.35">
      <c r="A409" s="5" t="s">
        <v>1035</v>
      </c>
      <c r="B409" s="9">
        <v>23.207000000000001</v>
      </c>
      <c r="C409" s="10">
        <v>22.82</v>
      </c>
      <c r="D409" s="10">
        <v>23.315000000000001</v>
      </c>
      <c r="E409" s="10">
        <v>23.024999999999999</v>
      </c>
      <c r="F409" s="10" t="s">
        <v>2999</v>
      </c>
      <c r="G409" s="11">
        <v>1.7299999999999999E-2</v>
      </c>
    </row>
    <row r="410" spans="1:7" x14ac:dyDescent="0.35">
      <c r="A410" s="5" t="s">
        <v>1037</v>
      </c>
      <c r="B410" s="9">
        <v>23.161999999999999</v>
      </c>
      <c r="C410" s="10">
        <v>23.19</v>
      </c>
      <c r="D410" s="10">
        <v>23.344999999999999</v>
      </c>
      <c r="E410" s="10">
        <v>22.844999999999999</v>
      </c>
      <c r="F410" s="10" t="s">
        <v>3000</v>
      </c>
      <c r="G410" s="11">
        <v>-1.9E-3</v>
      </c>
    </row>
    <row r="411" spans="1:7" x14ac:dyDescent="0.35">
      <c r="A411" s="5" t="s">
        <v>1043</v>
      </c>
      <c r="B411" s="9">
        <v>23.492000000000001</v>
      </c>
      <c r="C411" s="10">
        <v>22.995000000000001</v>
      </c>
      <c r="D411" s="10">
        <v>24.265000000000001</v>
      </c>
      <c r="E411" s="10">
        <v>23.43</v>
      </c>
      <c r="F411" s="10" t="s">
        <v>3001</v>
      </c>
      <c r="G411" s="11">
        <v>1.4200000000000001E-2</v>
      </c>
    </row>
    <row r="412" spans="1:7" x14ac:dyDescent="0.35">
      <c r="A412" s="5" t="s">
        <v>1044</v>
      </c>
      <c r="B412" s="9">
        <v>24.231000000000002</v>
      </c>
      <c r="C412" s="10">
        <v>23.504999999999999</v>
      </c>
      <c r="D412" s="10">
        <v>24.754999999999999</v>
      </c>
      <c r="E412" s="10">
        <v>24.125</v>
      </c>
      <c r="F412" s="10" t="s">
        <v>3002</v>
      </c>
      <c r="G412" s="11">
        <v>3.15E-2</v>
      </c>
    </row>
    <row r="413" spans="1:7" x14ac:dyDescent="0.35">
      <c r="A413" s="5" t="s">
        <v>1046</v>
      </c>
      <c r="B413" s="9">
        <v>24.716000000000001</v>
      </c>
      <c r="C413" s="10">
        <v>24.184999999999999</v>
      </c>
      <c r="D413" s="10">
        <v>24.64</v>
      </c>
      <c r="E413" s="10">
        <v>24.204999999999998</v>
      </c>
      <c r="F413" s="10" t="s">
        <v>3003</v>
      </c>
      <c r="G413" s="11">
        <v>0.02</v>
      </c>
    </row>
    <row r="414" spans="1:7" x14ac:dyDescent="0.35">
      <c r="A414" s="5" t="s">
        <v>1050</v>
      </c>
      <c r="B414" s="9">
        <v>23.8</v>
      </c>
      <c r="C414" s="10">
        <v>24.305</v>
      </c>
      <c r="D414" s="10">
        <v>24.045000000000002</v>
      </c>
      <c r="E414" s="10">
        <v>23.635000000000002</v>
      </c>
      <c r="F414" s="10" t="s">
        <v>3004</v>
      </c>
      <c r="G414" s="11">
        <v>-3.7100000000000001E-2</v>
      </c>
    </row>
    <row r="415" spans="1:7" x14ac:dyDescent="0.35">
      <c r="A415" s="5" t="s">
        <v>1052</v>
      </c>
      <c r="B415" s="9">
        <v>23.896000000000001</v>
      </c>
      <c r="C415" s="10">
        <v>24.045000000000002</v>
      </c>
      <c r="D415" s="10">
        <v>24.024999999999999</v>
      </c>
      <c r="E415" s="10">
        <v>23.46</v>
      </c>
      <c r="F415" s="10" t="s">
        <v>3005</v>
      </c>
      <c r="G415" s="11">
        <v>4.0000000000000001E-3</v>
      </c>
    </row>
    <row r="416" spans="1:7" x14ac:dyDescent="0.35">
      <c r="A416" s="5" t="s">
        <v>1054</v>
      </c>
      <c r="B416" s="9">
        <v>23.806999999999999</v>
      </c>
      <c r="C416" s="10">
        <v>23.85</v>
      </c>
      <c r="D416" s="10">
        <v>23.625</v>
      </c>
      <c r="E416" s="10">
        <v>22.585000000000001</v>
      </c>
      <c r="F416" s="10" t="s">
        <v>3006</v>
      </c>
      <c r="G416" s="11">
        <v>-3.7000000000000002E-3</v>
      </c>
    </row>
    <row r="417" spans="1:7" x14ac:dyDescent="0.35">
      <c r="A417" s="5" t="s">
        <v>1056</v>
      </c>
      <c r="B417" s="9">
        <v>22.675999999999998</v>
      </c>
      <c r="C417" s="10">
        <v>23.565000000000001</v>
      </c>
      <c r="D417" s="10">
        <v>22.83</v>
      </c>
      <c r="E417" s="10">
        <v>22.15</v>
      </c>
      <c r="F417" s="10" t="s">
        <v>3007</v>
      </c>
      <c r="G417" s="11">
        <v>-4.7500000000000001E-2</v>
      </c>
    </row>
    <row r="418" spans="1:7" x14ac:dyDescent="0.35">
      <c r="A418" s="5" t="s">
        <v>1060</v>
      </c>
      <c r="B418" s="9">
        <v>22.419</v>
      </c>
      <c r="C418" s="10">
        <v>22.574999999999999</v>
      </c>
      <c r="D418" s="10">
        <v>23.06</v>
      </c>
      <c r="E418" s="10">
        <v>22.405000000000001</v>
      </c>
      <c r="F418" s="10" t="s">
        <v>3008</v>
      </c>
      <c r="G418" s="11">
        <v>-1.1299999999999999E-2</v>
      </c>
    </row>
    <row r="419" spans="1:7" x14ac:dyDescent="0.35">
      <c r="A419" s="5" t="s">
        <v>1062</v>
      </c>
      <c r="B419" s="9">
        <v>22.617999999999999</v>
      </c>
      <c r="C419" s="10">
        <v>22.75</v>
      </c>
      <c r="D419" s="10">
        <v>22.875</v>
      </c>
      <c r="E419" s="10">
        <v>22.465</v>
      </c>
      <c r="F419" s="10" t="s">
        <v>3009</v>
      </c>
      <c r="G419" s="11">
        <v>8.8999999999999999E-3</v>
      </c>
    </row>
    <row r="420" spans="1:7" x14ac:dyDescent="0.35">
      <c r="A420" s="5" t="s">
        <v>1064</v>
      </c>
      <c r="B420" s="9">
        <v>22.73</v>
      </c>
      <c r="C420" s="10">
        <v>22.675000000000001</v>
      </c>
      <c r="D420" s="10">
        <v>22.66</v>
      </c>
      <c r="E420" s="10">
        <v>21.984999999999999</v>
      </c>
      <c r="F420" s="10" t="s">
        <v>3010</v>
      </c>
      <c r="G420" s="11">
        <v>5.0000000000000001E-3</v>
      </c>
    </row>
    <row r="421" spans="1:7" x14ac:dyDescent="0.35">
      <c r="A421" s="5" t="s">
        <v>1066</v>
      </c>
      <c r="B421" s="9">
        <v>22.396999999999998</v>
      </c>
      <c r="C421" s="10">
        <v>22.635000000000002</v>
      </c>
      <c r="D421" s="10">
        <v>22.69</v>
      </c>
      <c r="E421" s="10">
        <v>22.1</v>
      </c>
      <c r="F421" s="10" t="s">
        <v>2695</v>
      </c>
      <c r="G421" s="11">
        <v>-1.47E-2</v>
      </c>
    </row>
    <row r="422" spans="1:7" x14ac:dyDescent="0.35">
      <c r="A422" s="5" t="s">
        <v>1070</v>
      </c>
      <c r="B422" s="9">
        <v>23.097999999999999</v>
      </c>
      <c r="C422" s="10">
        <v>22.574999999999999</v>
      </c>
      <c r="D422" s="10">
        <v>23.265000000000001</v>
      </c>
      <c r="E422" s="10">
        <v>22.77</v>
      </c>
      <c r="F422" s="10" t="s">
        <v>3011</v>
      </c>
      <c r="G422" s="11">
        <v>3.1300000000000001E-2</v>
      </c>
    </row>
    <row r="423" spans="1:7" x14ac:dyDescent="0.35">
      <c r="A423" s="5" t="s">
        <v>1072</v>
      </c>
      <c r="B423" s="9">
        <v>23.221</v>
      </c>
      <c r="C423" s="10">
        <v>22.844999999999999</v>
      </c>
      <c r="D423" s="10">
        <v>23.364999999999998</v>
      </c>
      <c r="E423" s="10">
        <v>23.094999999999999</v>
      </c>
      <c r="F423" s="10" t="s">
        <v>3012</v>
      </c>
      <c r="G423" s="11">
        <v>5.3E-3</v>
      </c>
    </row>
    <row r="424" spans="1:7" x14ac:dyDescent="0.35">
      <c r="A424" s="5" t="s">
        <v>1074</v>
      </c>
      <c r="B424" s="9">
        <v>23.361999999999998</v>
      </c>
      <c r="C424" s="10">
        <v>23.29</v>
      </c>
      <c r="D424" s="10">
        <v>23.734999999999999</v>
      </c>
      <c r="E424" s="10">
        <v>23.145</v>
      </c>
      <c r="F424" s="10" t="s">
        <v>3013</v>
      </c>
      <c r="G424" s="11">
        <v>6.1000000000000004E-3</v>
      </c>
    </row>
    <row r="425" spans="1:7" x14ac:dyDescent="0.35">
      <c r="A425" s="5" t="s">
        <v>1076</v>
      </c>
      <c r="B425" s="9">
        <v>23.545000000000002</v>
      </c>
      <c r="C425" s="10">
        <v>23.68</v>
      </c>
      <c r="D425" s="10">
        <v>23.71</v>
      </c>
      <c r="E425" s="10">
        <v>22.855</v>
      </c>
      <c r="F425" s="10" t="s">
        <v>3014</v>
      </c>
      <c r="G425" s="11">
        <v>7.7999999999999996E-3</v>
      </c>
    </row>
    <row r="426" spans="1:7" x14ac:dyDescent="0.35">
      <c r="A426" s="5" t="s">
        <v>1080</v>
      </c>
      <c r="B426" s="9">
        <v>23.876999999999999</v>
      </c>
      <c r="C426" s="10">
        <v>23.7</v>
      </c>
      <c r="D426" s="10">
        <v>24.015000000000001</v>
      </c>
      <c r="E426" s="10">
        <v>23.07</v>
      </c>
      <c r="F426" s="10" t="s">
        <v>3015</v>
      </c>
      <c r="G426" s="11">
        <v>1.41E-2</v>
      </c>
    </row>
    <row r="427" spans="1:7" x14ac:dyDescent="0.35">
      <c r="A427" s="5" t="s">
        <v>1082</v>
      </c>
      <c r="B427" s="9">
        <v>23.369</v>
      </c>
      <c r="C427" s="10">
        <v>24.01</v>
      </c>
      <c r="D427" s="10">
        <v>23.67</v>
      </c>
      <c r="E427" s="10">
        <v>23.29</v>
      </c>
      <c r="F427" s="10" t="s">
        <v>2664</v>
      </c>
      <c r="G427" s="11">
        <v>-2.1299999999999999E-2</v>
      </c>
    </row>
    <row r="428" spans="1:7" x14ac:dyDescent="0.35">
      <c r="A428" s="5" t="s">
        <v>1084</v>
      </c>
      <c r="B428" s="9">
        <v>23.632999999999999</v>
      </c>
      <c r="C428" s="10">
        <v>23.425000000000001</v>
      </c>
      <c r="D428" s="10">
        <v>23.93</v>
      </c>
      <c r="E428" s="10">
        <v>23.44</v>
      </c>
      <c r="F428" s="10" t="s">
        <v>3016</v>
      </c>
      <c r="G428" s="11">
        <v>1.1299999999999999E-2</v>
      </c>
    </row>
    <row r="429" spans="1:7" x14ac:dyDescent="0.35">
      <c r="A429" s="5" t="s">
        <v>1086</v>
      </c>
      <c r="B429" s="9">
        <v>23.902999999999999</v>
      </c>
      <c r="C429" s="10">
        <v>23.58</v>
      </c>
      <c r="D429" s="10">
        <v>24.114999999999998</v>
      </c>
      <c r="E429" s="10">
        <v>23.7</v>
      </c>
      <c r="F429" s="10" t="s">
        <v>3017</v>
      </c>
      <c r="G429" s="11">
        <v>1.14E-2</v>
      </c>
    </row>
    <row r="430" spans="1:7" x14ac:dyDescent="0.35">
      <c r="A430" s="5" t="s">
        <v>1092</v>
      </c>
      <c r="B430" s="9">
        <v>24.331</v>
      </c>
      <c r="C430" s="10">
        <v>24.08</v>
      </c>
      <c r="D430" s="10">
        <v>24.62</v>
      </c>
      <c r="E430" s="10">
        <v>24.05</v>
      </c>
      <c r="F430" s="10" t="s">
        <v>3018</v>
      </c>
      <c r="G430" s="11">
        <v>1.7899999999999999E-2</v>
      </c>
    </row>
    <row r="431" spans="1:7" x14ac:dyDescent="0.35">
      <c r="A431" s="5" t="s">
        <v>1093</v>
      </c>
      <c r="B431" s="9">
        <v>24.574000000000002</v>
      </c>
      <c r="C431" s="10">
        <v>24.14</v>
      </c>
      <c r="D431" s="10">
        <v>25.67</v>
      </c>
      <c r="E431" s="10">
        <v>23.86</v>
      </c>
      <c r="F431" s="10" t="s">
        <v>3019</v>
      </c>
      <c r="G431" s="11">
        <v>0.01</v>
      </c>
    </row>
    <row r="432" spans="1:7" x14ac:dyDescent="0.35">
      <c r="A432" s="5" t="s">
        <v>1095</v>
      </c>
      <c r="B432" s="9">
        <v>24.696999999999999</v>
      </c>
      <c r="C432" s="10">
        <v>24.655000000000001</v>
      </c>
      <c r="D432" s="10">
        <v>24.55</v>
      </c>
      <c r="E432" s="10">
        <v>23.92</v>
      </c>
      <c r="F432" s="10" t="s">
        <v>3020</v>
      </c>
      <c r="G432" s="11">
        <v>5.0000000000000001E-3</v>
      </c>
    </row>
    <row r="433" spans="1:7" x14ac:dyDescent="0.35">
      <c r="A433" s="5" t="s">
        <v>1099</v>
      </c>
      <c r="B433" s="9">
        <v>24.366</v>
      </c>
      <c r="C433" s="10">
        <v>24.62</v>
      </c>
      <c r="D433" s="10">
        <v>25.65</v>
      </c>
      <c r="E433" s="10">
        <v>24.344999999999999</v>
      </c>
      <c r="F433" s="10" t="s">
        <v>3021</v>
      </c>
      <c r="G433" s="11">
        <v>-1.34E-2</v>
      </c>
    </row>
    <row r="434" spans="1:7" x14ac:dyDescent="0.35">
      <c r="A434" s="5" t="s">
        <v>1101</v>
      </c>
      <c r="B434" s="9">
        <v>25.541</v>
      </c>
      <c r="C434" s="10">
        <v>24.454999999999998</v>
      </c>
      <c r="D434" s="10">
        <v>25.545000000000002</v>
      </c>
      <c r="E434" s="10">
        <v>24.96</v>
      </c>
      <c r="F434" s="10" t="s">
        <v>3022</v>
      </c>
      <c r="G434" s="11">
        <v>4.82E-2</v>
      </c>
    </row>
    <row r="435" spans="1:7" x14ac:dyDescent="0.35">
      <c r="A435" s="5" t="s">
        <v>1103</v>
      </c>
      <c r="B435" s="9">
        <v>25.19</v>
      </c>
      <c r="C435" s="10">
        <v>25.504999999999999</v>
      </c>
      <c r="D435" s="10">
        <v>25.664999999999999</v>
      </c>
      <c r="E435" s="10">
        <v>25.074999999999999</v>
      </c>
      <c r="F435" s="10" t="s">
        <v>3023</v>
      </c>
      <c r="G435" s="11">
        <v>-1.37E-2</v>
      </c>
    </row>
    <row r="436" spans="1:7" x14ac:dyDescent="0.35">
      <c r="A436" s="5" t="s">
        <v>1105</v>
      </c>
      <c r="B436" s="9">
        <v>25.212</v>
      </c>
      <c r="C436" s="10">
        <v>25.45</v>
      </c>
      <c r="D436" s="10">
        <v>25.92</v>
      </c>
      <c r="E436" s="10">
        <v>25.155000000000001</v>
      </c>
      <c r="F436" s="10" t="s">
        <v>3024</v>
      </c>
      <c r="G436" s="11">
        <v>8.9999999999999998E-4</v>
      </c>
    </row>
    <row r="437" spans="1:7" x14ac:dyDescent="0.35">
      <c r="A437" s="5" t="s">
        <v>1109</v>
      </c>
      <c r="B437" s="9">
        <v>25.72</v>
      </c>
      <c r="C437" s="10">
        <v>26.024999999999999</v>
      </c>
      <c r="D437" s="10">
        <v>27.495000000000001</v>
      </c>
      <c r="E437" s="10">
        <v>25.55</v>
      </c>
      <c r="F437" s="10" t="s">
        <v>3025</v>
      </c>
      <c r="G437" s="11">
        <v>2.01E-2</v>
      </c>
    </row>
    <row r="438" spans="1:7" x14ac:dyDescent="0.35">
      <c r="A438" s="5" t="s">
        <v>1111</v>
      </c>
      <c r="B438" s="9">
        <v>26.895</v>
      </c>
      <c r="C438" s="10">
        <v>25.805</v>
      </c>
      <c r="D438" s="10">
        <v>27.39</v>
      </c>
      <c r="E438" s="10">
        <v>25.73</v>
      </c>
      <c r="F438" s="10" t="s">
        <v>3026</v>
      </c>
      <c r="G438" s="11">
        <v>4.5699999999999998E-2</v>
      </c>
    </row>
    <row r="439" spans="1:7" x14ac:dyDescent="0.35">
      <c r="A439" s="5" t="s">
        <v>1113</v>
      </c>
      <c r="B439" s="9">
        <v>25.815999999999999</v>
      </c>
      <c r="C439" s="10">
        <v>26.925000000000001</v>
      </c>
      <c r="D439" s="10">
        <v>26.425000000000001</v>
      </c>
      <c r="E439" s="10">
        <v>25.6</v>
      </c>
      <c r="F439" s="10" t="s">
        <v>3027</v>
      </c>
      <c r="G439" s="11">
        <v>-4.0099999999999997E-2</v>
      </c>
    </row>
    <row r="440" spans="1:7" x14ac:dyDescent="0.35">
      <c r="A440" s="5" t="s">
        <v>1115</v>
      </c>
      <c r="B440" s="9">
        <v>26.256</v>
      </c>
      <c r="C440" s="10">
        <v>26.06</v>
      </c>
      <c r="D440" s="10">
        <v>26.35</v>
      </c>
      <c r="E440" s="10">
        <v>25.695</v>
      </c>
      <c r="F440" s="10" t="s">
        <v>3028</v>
      </c>
      <c r="G440" s="11">
        <v>1.7000000000000001E-2</v>
      </c>
    </row>
    <row r="441" spans="1:7" x14ac:dyDescent="0.35">
      <c r="A441" s="5" t="s">
        <v>1118</v>
      </c>
      <c r="B441" s="9">
        <v>25.297999999999998</v>
      </c>
      <c r="C441" s="10">
        <v>26.28</v>
      </c>
      <c r="D441" s="10">
        <v>25.315000000000001</v>
      </c>
      <c r="E441" s="10">
        <v>24.75</v>
      </c>
      <c r="F441" s="10" t="s">
        <v>3029</v>
      </c>
      <c r="G441" s="11">
        <v>-3.6499999999999998E-2</v>
      </c>
    </row>
    <row r="442" spans="1:7" x14ac:dyDescent="0.35">
      <c r="A442" s="5" t="s">
        <v>1120</v>
      </c>
      <c r="B442" s="9">
        <v>25.158000000000001</v>
      </c>
      <c r="C442" s="10">
        <v>25.26</v>
      </c>
      <c r="D442" s="10">
        <v>25.25</v>
      </c>
      <c r="E442" s="10">
        <v>24.55</v>
      </c>
      <c r="F442" s="10" t="s">
        <v>3030</v>
      </c>
      <c r="G442" s="11">
        <v>-5.4999999999999997E-3</v>
      </c>
    </row>
    <row r="443" spans="1:7" x14ac:dyDescent="0.35">
      <c r="A443" s="5" t="s">
        <v>1122</v>
      </c>
      <c r="B443" s="9">
        <v>24.71</v>
      </c>
      <c r="C443" s="10">
        <v>25.114999999999998</v>
      </c>
      <c r="D443" s="10">
        <v>25.75</v>
      </c>
      <c r="E443" s="10">
        <v>25.164999999999999</v>
      </c>
      <c r="F443" s="10" t="s">
        <v>3031</v>
      </c>
      <c r="G443" s="11">
        <v>-1.78E-2</v>
      </c>
    </row>
    <row r="444" spans="1:7" x14ac:dyDescent="0.35">
      <c r="A444" s="5" t="s">
        <v>1124</v>
      </c>
      <c r="B444" s="9">
        <v>25.616</v>
      </c>
      <c r="C444" s="10">
        <v>25.24</v>
      </c>
      <c r="D444" s="10">
        <v>25.64</v>
      </c>
      <c r="E444" s="10">
        <v>24.98</v>
      </c>
      <c r="F444" s="10" t="s">
        <v>3032</v>
      </c>
      <c r="G444" s="11">
        <v>3.6700000000000003E-2</v>
      </c>
    </row>
    <row r="445" spans="1:7" x14ac:dyDescent="0.35">
      <c r="A445" s="5" t="s">
        <v>1128</v>
      </c>
      <c r="B445" s="9">
        <v>25.312999999999999</v>
      </c>
      <c r="C445" s="10">
        <v>25.15</v>
      </c>
      <c r="D445" s="10">
        <v>25.59</v>
      </c>
      <c r="E445" s="10">
        <v>24.695</v>
      </c>
      <c r="F445" s="10" t="s">
        <v>3033</v>
      </c>
      <c r="G445" s="11">
        <v>-1.18E-2</v>
      </c>
    </row>
    <row r="446" spans="1:7" x14ac:dyDescent="0.35">
      <c r="A446" s="5" t="s">
        <v>1129</v>
      </c>
      <c r="B446" s="9">
        <v>24.904</v>
      </c>
      <c r="C446" s="10">
        <v>25.41</v>
      </c>
      <c r="D446" s="10">
        <v>25.37</v>
      </c>
      <c r="E446" s="10">
        <v>24.78</v>
      </c>
      <c r="F446" s="10" t="s">
        <v>3034</v>
      </c>
      <c r="G446" s="11">
        <v>-1.6199999999999999E-2</v>
      </c>
    </row>
    <row r="447" spans="1:7" x14ac:dyDescent="0.35">
      <c r="A447" s="5" t="s">
        <v>1131</v>
      </c>
      <c r="B447" s="9">
        <v>25.189</v>
      </c>
      <c r="C447" s="10">
        <v>24.914999999999999</v>
      </c>
      <c r="D447" s="10">
        <v>26.16</v>
      </c>
      <c r="E447" s="10">
        <v>25.17</v>
      </c>
      <c r="F447" s="10" t="s">
        <v>3035</v>
      </c>
      <c r="G447" s="11">
        <v>1.14E-2</v>
      </c>
    </row>
    <row r="448" spans="1:7" x14ac:dyDescent="0.35">
      <c r="A448" s="5" t="s">
        <v>1133</v>
      </c>
      <c r="B448" s="9">
        <v>25.92</v>
      </c>
      <c r="C448" s="10">
        <v>25.285</v>
      </c>
      <c r="D448" s="10">
        <v>26.035</v>
      </c>
      <c r="E448" s="10">
        <v>25.47</v>
      </c>
      <c r="F448" s="10" t="s">
        <v>3036</v>
      </c>
      <c r="G448" s="11">
        <v>2.9000000000000001E-2</v>
      </c>
    </row>
    <row r="449" spans="1:7" x14ac:dyDescent="0.35">
      <c r="A449" s="5" t="s">
        <v>1137</v>
      </c>
      <c r="B449" s="9">
        <v>25.196000000000002</v>
      </c>
      <c r="C449" s="10">
        <v>25.725000000000001</v>
      </c>
      <c r="D449" s="10">
        <v>25.135000000000002</v>
      </c>
      <c r="E449" s="10">
        <v>24.045000000000002</v>
      </c>
      <c r="F449" s="10" t="s">
        <v>3037</v>
      </c>
      <c r="G449" s="11">
        <v>-2.7900000000000001E-2</v>
      </c>
    </row>
    <row r="450" spans="1:7" x14ac:dyDescent="0.35">
      <c r="A450" s="5" t="s">
        <v>1139</v>
      </c>
      <c r="B450" s="9">
        <v>24.736000000000001</v>
      </c>
      <c r="C450" s="10">
        <v>25.01</v>
      </c>
      <c r="D450" s="10">
        <v>25.265000000000001</v>
      </c>
      <c r="E450" s="10">
        <v>24.855</v>
      </c>
      <c r="F450" s="10" t="s">
        <v>3038</v>
      </c>
      <c r="G450" s="11">
        <v>-1.83E-2</v>
      </c>
    </row>
    <row r="451" spans="1:7" x14ac:dyDescent="0.35">
      <c r="A451" s="5" t="s">
        <v>1141</v>
      </c>
      <c r="B451" s="9">
        <v>25.146000000000001</v>
      </c>
      <c r="C451" s="10">
        <v>25.01</v>
      </c>
      <c r="D451" s="10">
        <v>25.285</v>
      </c>
      <c r="E451" s="10">
        <v>24.67</v>
      </c>
      <c r="F451" s="10" t="s">
        <v>3039</v>
      </c>
      <c r="G451" s="11">
        <v>1.66E-2</v>
      </c>
    </row>
    <row r="452" spans="1:7" x14ac:dyDescent="0.35">
      <c r="A452" s="5" t="s">
        <v>1143</v>
      </c>
      <c r="B452" s="9">
        <v>25.158000000000001</v>
      </c>
      <c r="C452" s="10">
        <v>24.78</v>
      </c>
      <c r="D452" s="10">
        <v>25.04</v>
      </c>
      <c r="E452" s="10">
        <v>24.565000000000001</v>
      </c>
      <c r="F452" s="10" t="s">
        <v>3040</v>
      </c>
      <c r="G452" s="11">
        <v>5.0000000000000001E-4</v>
      </c>
    </row>
    <row r="453" spans="1:7" x14ac:dyDescent="0.35">
      <c r="A453" s="5" t="s">
        <v>1145</v>
      </c>
      <c r="B453" s="9">
        <v>24.635999999999999</v>
      </c>
      <c r="C453" s="10">
        <v>24.75</v>
      </c>
      <c r="D453" s="10">
        <v>25.11</v>
      </c>
      <c r="E453" s="10">
        <v>24.355</v>
      </c>
      <c r="F453" s="10" t="s">
        <v>3041</v>
      </c>
      <c r="G453" s="11">
        <v>-2.07E-2</v>
      </c>
    </row>
    <row r="454" spans="1:7" x14ac:dyDescent="0.35">
      <c r="A454" s="5" t="s">
        <v>1147</v>
      </c>
      <c r="B454" s="9">
        <v>24.588000000000001</v>
      </c>
      <c r="C454" s="10">
        <v>24.9</v>
      </c>
      <c r="D454" s="10">
        <v>24.68</v>
      </c>
      <c r="E454" s="10">
        <v>24.2</v>
      </c>
      <c r="F454" s="10" t="s">
        <v>3042</v>
      </c>
      <c r="G454" s="11">
        <v>-1.9E-3</v>
      </c>
    </row>
    <row r="455" spans="1:7" x14ac:dyDescent="0.35">
      <c r="A455" s="5" t="s">
        <v>1149</v>
      </c>
      <c r="B455" s="9">
        <v>24.509</v>
      </c>
      <c r="C455" s="10">
        <v>24.625</v>
      </c>
      <c r="D455" s="10">
        <v>24.78</v>
      </c>
      <c r="E455" s="10">
        <v>24.335000000000001</v>
      </c>
      <c r="F455" s="10" t="s">
        <v>3043</v>
      </c>
      <c r="G455" s="11">
        <v>-3.2000000000000002E-3</v>
      </c>
    </row>
    <row r="456" spans="1:7" x14ac:dyDescent="0.35">
      <c r="A456" s="5" t="s">
        <v>1151</v>
      </c>
      <c r="B456" s="9">
        <v>24.785</v>
      </c>
      <c r="C456" s="10">
        <v>24.515000000000001</v>
      </c>
      <c r="D456" s="10">
        <v>24.934999999999999</v>
      </c>
      <c r="E456" s="10">
        <v>24.495000000000001</v>
      </c>
      <c r="F456" s="10" t="s">
        <v>3044</v>
      </c>
      <c r="G456" s="11">
        <v>1.1299999999999999E-2</v>
      </c>
    </row>
    <row r="457" spans="1:7" x14ac:dyDescent="0.35">
      <c r="A457" s="5" t="s">
        <v>1153</v>
      </c>
      <c r="B457" s="9">
        <v>25.021999999999998</v>
      </c>
      <c r="C457" s="10">
        <v>24.984999999999999</v>
      </c>
      <c r="D457" s="10">
        <v>25.84</v>
      </c>
      <c r="E457" s="10">
        <v>25.024999999999999</v>
      </c>
      <c r="F457" s="10" t="s">
        <v>3045</v>
      </c>
      <c r="G457" s="11">
        <v>9.5999999999999992E-3</v>
      </c>
    </row>
    <row r="458" spans="1:7" x14ac:dyDescent="0.35">
      <c r="A458" s="5" t="s">
        <v>1155</v>
      </c>
      <c r="B458" s="9">
        <v>25.768999999999998</v>
      </c>
      <c r="C458" s="10">
        <v>25.274999999999999</v>
      </c>
      <c r="D458" s="10">
        <v>26.07</v>
      </c>
      <c r="E458" s="10">
        <v>25.53</v>
      </c>
      <c r="F458" s="10" t="s">
        <v>3046</v>
      </c>
      <c r="G458" s="11">
        <v>2.9899999999999999E-2</v>
      </c>
    </row>
    <row r="459" spans="1:7" x14ac:dyDescent="0.35">
      <c r="A459" s="5" t="s">
        <v>1157</v>
      </c>
      <c r="B459" s="9">
        <v>26.06</v>
      </c>
      <c r="C459" s="10">
        <v>25.62</v>
      </c>
      <c r="D459" s="10">
        <v>26.114999999999998</v>
      </c>
      <c r="E459" s="10">
        <v>25.46</v>
      </c>
      <c r="F459" s="10" t="s">
        <v>3047</v>
      </c>
      <c r="G459" s="11">
        <v>1.1299999999999999E-2</v>
      </c>
    </row>
    <row r="460" spans="1:7" x14ac:dyDescent="0.35">
      <c r="A460" s="5" t="s">
        <v>1158</v>
      </c>
      <c r="B460" s="9">
        <v>26.181000000000001</v>
      </c>
      <c r="C460" s="10">
        <v>26.11</v>
      </c>
      <c r="D460" s="10">
        <v>26.195</v>
      </c>
      <c r="E460" s="10">
        <v>25.164999999999999</v>
      </c>
      <c r="F460" s="10" t="s">
        <v>3048</v>
      </c>
      <c r="G460" s="11">
        <v>4.5999999999999999E-3</v>
      </c>
    </row>
    <row r="461" spans="1:7" x14ac:dyDescent="0.35">
      <c r="A461" s="5" t="s">
        <v>1160</v>
      </c>
      <c r="B461" s="9">
        <v>25.425999999999998</v>
      </c>
      <c r="C461" s="10">
        <v>26.045000000000002</v>
      </c>
      <c r="D461" s="10">
        <v>25.4</v>
      </c>
      <c r="E461" s="10">
        <v>24.98</v>
      </c>
      <c r="F461" s="10" t="s">
        <v>3049</v>
      </c>
      <c r="G461" s="11">
        <v>-2.8799999999999999E-2</v>
      </c>
    </row>
    <row r="462" spans="1:7" x14ac:dyDescent="0.35">
      <c r="A462" s="5" t="s">
        <v>1162</v>
      </c>
      <c r="B462" s="9">
        <v>25.303000000000001</v>
      </c>
      <c r="C462" s="10">
        <v>25.21</v>
      </c>
      <c r="D462" s="10">
        <v>25.31</v>
      </c>
      <c r="E462" s="10">
        <v>24.48</v>
      </c>
      <c r="F462" s="10" t="s">
        <v>2835</v>
      </c>
      <c r="G462" s="11">
        <v>-4.7999999999999996E-3</v>
      </c>
    </row>
    <row r="463" spans="1:7" x14ac:dyDescent="0.35">
      <c r="A463" s="5" t="s">
        <v>1164</v>
      </c>
      <c r="B463" s="9">
        <v>24.657</v>
      </c>
      <c r="C463" s="10">
        <v>25.3</v>
      </c>
      <c r="D463" s="10">
        <v>24.74</v>
      </c>
      <c r="E463" s="10">
        <v>24.08</v>
      </c>
      <c r="F463" s="10" t="s">
        <v>3050</v>
      </c>
      <c r="G463" s="11">
        <v>-2.5499999999999998E-2</v>
      </c>
    </row>
    <row r="464" spans="1:7" x14ac:dyDescent="0.35">
      <c r="A464" s="5" t="s">
        <v>1166</v>
      </c>
      <c r="B464" s="9">
        <v>23.698</v>
      </c>
      <c r="C464" s="10">
        <v>24.18</v>
      </c>
      <c r="D464" s="10">
        <v>23.975000000000001</v>
      </c>
      <c r="E464" s="10">
        <v>23.445</v>
      </c>
      <c r="F464" s="10" t="s">
        <v>3051</v>
      </c>
      <c r="G464" s="11">
        <v>-3.8899999999999997E-2</v>
      </c>
    </row>
    <row r="465" spans="1:7" x14ac:dyDescent="0.35">
      <c r="A465" s="5" t="s">
        <v>1168</v>
      </c>
      <c r="B465" s="9">
        <v>23.571999999999999</v>
      </c>
      <c r="C465" s="10">
        <v>23.79</v>
      </c>
      <c r="D465" s="10">
        <v>23.765000000000001</v>
      </c>
      <c r="E465" s="10">
        <v>23.274999999999999</v>
      </c>
      <c r="F465" s="10" t="s">
        <v>3052</v>
      </c>
      <c r="G465" s="11">
        <v>-5.3E-3</v>
      </c>
    </row>
    <row r="466" spans="1:7" x14ac:dyDescent="0.35">
      <c r="A466" s="5" t="s">
        <v>1170</v>
      </c>
      <c r="B466" s="9">
        <v>23.483000000000001</v>
      </c>
      <c r="C466" s="10">
        <v>23.65</v>
      </c>
      <c r="D466" s="10">
        <v>23.454999999999998</v>
      </c>
      <c r="E466" s="10">
        <v>22.94</v>
      </c>
      <c r="F466" s="10" t="s">
        <v>3053</v>
      </c>
      <c r="G466" s="11">
        <v>-3.8E-3</v>
      </c>
    </row>
    <row r="467" spans="1:7" x14ac:dyDescent="0.35">
      <c r="A467" s="5" t="s">
        <v>1172</v>
      </c>
      <c r="B467" s="9">
        <v>23.181000000000001</v>
      </c>
      <c r="C467" s="10">
        <v>23.364999999999998</v>
      </c>
      <c r="D467" s="10">
        <v>23.65</v>
      </c>
      <c r="E467" s="10">
        <v>22.71</v>
      </c>
      <c r="F467" s="10" t="s">
        <v>3054</v>
      </c>
      <c r="G467" s="11">
        <v>-1.29E-2</v>
      </c>
    </row>
    <row r="468" spans="1:7" x14ac:dyDescent="0.35">
      <c r="A468" s="5" t="s">
        <v>1174</v>
      </c>
      <c r="B468" s="9">
        <v>22.584</v>
      </c>
      <c r="C468" s="10">
        <v>22.785</v>
      </c>
      <c r="D468" s="10">
        <v>22.89</v>
      </c>
      <c r="E468" s="10">
        <v>22.44</v>
      </c>
      <c r="F468" s="10" t="s">
        <v>3055</v>
      </c>
      <c r="G468" s="11">
        <v>-2.58E-2</v>
      </c>
    </row>
    <row r="469" spans="1:7" x14ac:dyDescent="0.35">
      <c r="A469" s="5" t="s">
        <v>1176</v>
      </c>
      <c r="B469" s="9">
        <v>22.664999999999999</v>
      </c>
      <c r="C469" s="10">
        <v>22.7</v>
      </c>
      <c r="D469" s="10">
        <v>23.125</v>
      </c>
      <c r="E469" s="10">
        <v>22.22</v>
      </c>
      <c r="F469" s="10" t="s">
        <v>3056</v>
      </c>
      <c r="G469" s="11">
        <v>3.5999999999999999E-3</v>
      </c>
    </row>
    <row r="470" spans="1:7" x14ac:dyDescent="0.35">
      <c r="A470" s="5" t="s">
        <v>1178</v>
      </c>
      <c r="B470" s="9">
        <v>22.402000000000001</v>
      </c>
      <c r="C470" s="10">
        <v>22.6</v>
      </c>
      <c r="D470" s="10">
        <v>23.344999999999999</v>
      </c>
      <c r="E470" s="10">
        <v>22.324999999999999</v>
      </c>
      <c r="F470" s="10" t="s">
        <v>3057</v>
      </c>
      <c r="G470" s="11">
        <v>-1.1599999999999999E-2</v>
      </c>
    </row>
    <row r="471" spans="1:7" x14ac:dyDescent="0.35">
      <c r="A471" s="5" t="s">
        <v>1180</v>
      </c>
      <c r="B471" s="9">
        <v>22.443000000000001</v>
      </c>
      <c r="C471" s="10">
        <v>23.04</v>
      </c>
      <c r="D471" s="10">
        <v>22.664999999999999</v>
      </c>
      <c r="E471" s="10">
        <v>22.11</v>
      </c>
      <c r="F471" s="10" t="s">
        <v>3058</v>
      </c>
      <c r="G471" s="11">
        <v>1.8E-3</v>
      </c>
    </row>
    <row r="472" spans="1:7" x14ac:dyDescent="0.35">
      <c r="A472" s="5" t="s">
        <v>1182</v>
      </c>
      <c r="B472" s="9">
        <v>21.82</v>
      </c>
      <c r="C472" s="10">
        <v>22.395</v>
      </c>
      <c r="D472" s="10">
        <v>22.085000000000001</v>
      </c>
      <c r="E472" s="10">
        <v>21.155000000000001</v>
      </c>
      <c r="F472" s="10" t="s">
        <v>3059</v>
      </c>
      <c r="G472" s="11">
        <v>-2.7799999999999998E-2</v>
      </c>
    </row>
    <row r="473" spans="1:7" x14ac:dyDescent="0.35">
      <c r="A473" s="5" t="s">
        <v>1184</v>
      </c>
      <c r="B473" s="9">
        <v>21.423999999999999</v>
      </c>
      <c r="C473" s="10">
        <v>21.77</v>
      </c>
      <c r="D473" s="10">
        <v>21.97</v>
      </c>
      <c r="E473" s="10">
        <v>21.2</v>
      </c>
      <c r="F473" s="10" t="s">
        <v>3060</v>
      </c>
      <c r="G473" s="11">
        <v>-1.8100000000000002E-2</v>
      </c>
    </row>
    <row r="474" spans="1:7" x14ac:dyDescent="0.35">
      <c r="A474" s="5" t="s">
        <v>1186</v>
      </c>
      <c r="B474" s="9">
        <v>21.574999999999999</v>
      </c>
      <c r="C474" s="10">
        <v>21.21</v>
      </c>
      <c r="D474" s="10">
        <v>21.625</v>
      </c>
      <c r="E474" s="10">
        <v>20.59</v>
      </c>
      <c r="F474" s="10" t="s">
        <v>3061</v>
      </c>
      <c r="G474" s="11">
        <v>7.0000000000000001E-3</v>
      </c>
    </row>
    <row r="475" spans="1:7" x14ac:dyDescent="0.35">
      <c r="A475" s="5" t="s">
        <v>1188</v>
      </c>
      <c r="B475" s="9">
        <v>20.773</v>
      </c>
      <c r="C475" s="10">
        <v>21.555</v>
      </c>
      <c r="D475" s="10">
        <v>21.125</v>
      </c>
      <c r="E475" s="10">
        <v>20.420000000000002</v>
      </c>
      <c r="F475" s="10" t="s">
        <v>2956</v>
      </c>
      <c r="G475" s="11">
        <v>-3.7199999999999997E-2</v>
      </c>
    </row>
    <row r="476" spans="1:7" x14ac:dyDescent="0.35">
      <c r="A476" s="5" t="s">
        <v>1190</v>
      </c>
      <c r="B476" s="9">
        <v>21.550999999999998</v>
      </c>
      <c r="C476" s="10">
        <v>21.105</v>
      </c>
      <c r="D476" s="10">
        <v>21.925000000000001</v>
      </c>
      <c r="E476" s="10">
        <v>21.52</v>
      </c>
      <c r="F476" s="10" t="s">
        <v>3062</v>
      </c>
      <c r="G476" s="11">
        <v>3.7499999999999999E-2</v>
      </c>
    </row>
    <row r="477" spans="1:7" x14ac:dyDescent="0.35">
      <c r="A477" s="5" t="s">
        <v>1192</v>
      </c>
      <c r="B477" s="9">
        <v>21.75</v>
      </c>
      <c r="C477" s="10">
        <v>21.65</v>
      </c>
      <c r="D477" s="10">
        <v>21.75</v>
      </c>
      <c r="E477" s="10">
        <v>21.364999999999998</v>
      </c>
      <c r="F477" s="10" t="s">
        <v>3063</v>
      </c>
      <c r="G477" s="11">
        <v>9.1999999999999998E-3</v>
      </c>
    </row>
    <row r="478" spans="1:7" x14ac:dyDescent="0.35">
      <c r="A478" s="5" t="s">
        <v>1194</v>
      </c>
      <c r="B478" s="9">
        <v>21.544</v>
      </c>
      <c r="C478" s="10">
        <v>21.664999999999999</v>
      </c>
      <c r="D478" s="10">
        <v>22.01</v>
      </c>
      <c r="E478" s="10">
        <v>21.25</v>
      </c>
      <c r="F478" s="10" t="s">
        <v>3064</v>
      </c>
      <c r="G478" s="11">
        <v>-9.4999999999999998E-3</v>
      </c>
    </row>
    <row r="479" spans="1:7" x14ac:dyDescent="0.35">
      <c r="A479" s="5" t="s">
        <v>1196</v>
      </c>
      <c r="B479" s="9">
        <v>21.908000000000001</v>
      </c>
      <c r="C479" s="10">
        <v>21.43</v>
      </c>
      <c r="D479" s="10">
        <v>22.08</v>
      </c>
      <c r="E479" s="10">
        <v>21.58</v>
      </c>
      <c r="F479" s="10" t="s">
        <v>3065</v>
      </c>
      <c r="G479" s="11">
        <v>1.6899999999999998E-2</v>
      </c>
    </row>
    <row r="480" spans="1:7" x14ac:dyDescent="0.35">
      <c r="A480" s="5" t="s">
        <v>1198</v>
      </c>
      <c r="B480" s="9">
        <v>21.722999999999999</v>
      </c>
      <c r="C480" s="10">
        <v>21.78</v>
      </c>
      <c r="D480" s="10">
        <v>22.215</v>
      </c>
      <c r="E480" s="10">
        <v>21.645</v>
      </c>
      <c r="F480" s="10" t="s">
        <v>3066</v>
      </c>
      <c r="G480" s="11">
        <v>-8.3999999999999995E-3</v>
      </c>
    </row>
    <row r="481" spans="1:7" x14ac:dyDescent="0.35">
      <c r="A481" s="5" t="s">
        <v>1200</v>
      </c>
      <c r="B481" s="9">
        <v>22.062999999999999</v>
      </c>
      <c r="C481" s="10">
        <v>21.77</v>
      </c>
      <c r="D481" s="10">
        <v>22.145</v>
      </c>
      <c r="E481" s="10">
        <v>21.725000000000001</v>
      </c>
      <c r="F481" s="10" t="s">
        <v>3067</v>
      </c>
      <c r="G481" s="11">
        <v>1.5699999999999999E-2</v>
      </c>
    </row>
    <row r="482" spans="1:7" x14ac:dyDescent="0.35">
      <c r="A482" s="5" t="s">
        <v>1202</v>
      </c>
      <c r="B482" s="9">
        <v>21.87</v>
      </c>
      <c r="C482" s="10">
        <v>22.114999999999998</v>
      </c>
      <c r="D482" s="10">
        <v>22.074999999999999</v>
      </c>
      <c r="E482" s="10">
        <v>21.73</v>
      </c>
      <c r="F482" s="10" t="s">
        <v>3068</v>
      </c>
      <c r="G482" s="11">
        <v>-8.6999999999999994E-3</v>
      </c>
    </row>
    <row r="483" spans="1:7" x14ac:dyDescent="0.35">
      <c r="A483" s="5" t="s">
        <v>1204</v>
      </c>
      <c r="B483" s="9">
        <v>21.965</v>
      </c>
      <c r="C483" s="10">
        <v>21.975000000000001</v>
      </c>
      <c r="D483" s="10">
        <v>22.475000000000001</v>
      </c>
      <c r="E483" s="10">
        <v>21.94</v>
      </c>
      <c r="F483" s="10" t="s">
        <v>3069</v>
      </c>
      <c r="G483" s="11">
        <v>4.3E-3</v>
      </c>
    </row>
    <row r="484" spans="1:7" x14ac:dyDescent="0.35">
      <c r="A484" s="5" t="s">
        <v>1206</v>
      </c>
      <c r="B484" s="9">
        <v>21.736999999999998</v>
      </c>
      <c r="C484" s="10">
        <v>21.815000000000001</v>
      </c>
      <c r="D484" s="10">
        <v>21.995000000000001</v>
      </c>
      <c r="E484" s="10">
        <v>21.41</v>
      </c>
      <c r="F484" s="10" t="s">
        <v>3070</v>
      </c>
      <c r="G484" s="11">
        <v>-1.04E-2</v>
      </c>
    </row>
    <row r="485" spans="1:7" x14ac:dyDescent="0.35">
      <c r="A485" s="5" t="s">
        <v>1208</v>
      </c>
      <c r="B485" s="9">
        <v>21.962</v>
      </c>
      <c r="C485" s="10">
        <v>21.54</v>
      </c>
      <c r="D485" s="10">
        <v>22.38</v>
      </c>
      <c r="E485" s="10">
        <v>21.785</v>
      </c>
      <c r="F485" s="10" t="s">
        <v>3071</v>
      </c>
      <c r="G485" s="11">
        <v>1.04E-2</v>
      </c>
    </row>
    <row r="486" spans="1:7" x14ac:dyDescent="0.35">
      <c r="A486" s="5" t="s">
        <v>1210</v>
      </c>
      <c r="B486" s="9">
        <v>22.33</v>
      </c>
      <c r="C486" s="10">
        <v>21.95</v>
      </c>
      <c r="D486" s="10">
        <v>22.524999999999999</v>
      </c>
      <c r="E486" s="10">
        <v>21.86</v>
      </c>
      <c r="F486" s="10" t="s">
        <v>3072</v>
      </c>
      <c r="G486" s="11">
        <v>1.6799999999999999E-2</v>
      </c>
    </row>
    <row r="487" spans="1:7" x14ac:dyDescent="0.35">
      <c r="A487" s="5" t="s">
        <v>1212</v>
      </c>
      <c r="B487" s="9">
        <v>22.146999999999998</v>
      </c>
      <c r="C487" s="10">
        <v>22.31</v>
      </c>
      <c r="D487" s="10">
        <v>22.3</v>
      </c>
      <c r="E487" s="10">
        <v>21.84</v>
      </c>
      <c r="F487" s="10" t="s">
        <v>3073</v>
      </c>
      <c r="G487" s="11">
        <v>-8.2000000000000007E-3</v>
      </c>
    </row>
    <row r="488" spans="1:7" x14ac:dyDescent="0.35">
      <c r="A488" s="5" t="s">
        <v>1214</v>
      </c>
      <c r="B488" s="9">
        <v>22.233000000000001</v>
      </c>
      <c r="C488" s="10">
        <v>22.31</v>
      </c>
      <c r="D488" s="10">
        <v>22.274999999999999</v>
      </c>
      <c r="E488" s="10">
        <v>21.795000000000002</v>
      </c>
      <c r="F488" s="10" t="s">
        <v>3074</v>
      </c>
      <c r="G488" s="11">
        <v>3.8999999999999998E-3</v>
      </c>
    </row>
    <row r="489" spans="1:7" x14ac:dyDescent="0.35">
      <c r="A489" s="5" t="s">
        <v>1216</v>
      </c>
      <c r="B489" s="9">
        <v>22.148</v>
      </c>
      <c r="C489" s="10">
        <v>22.12</v>
      </c>
      <c r="D489" s="10">
        <v>22.164999999999999</v>
      </c>
      <c r="E489" s="10">
        <v>21.535</v>
      </c>
      <c r="F489" s="10" t="s">
        <v>2971</v>
      </c>
      <c r="G489" s="11">
        <v>-3.8E-3</v>
      </c>
    </row>
    <row r="490" spans="1:7" x14ac:dyDescent="0.35">
      <c r="A490" s="5" t="s">
        <v>1218</v>
      </c>
      <c r="B490" s="9">
        <v>21.864000000000001</v>
      </c>
      <c r="C490" s="10">
        <v>22.135000000000002</v>
      </c>
      <c r="D490" s="10">
        <v>22.02</v>
      </c>
      <c r="E490" s="10">
        <v>21.234999999999999</v>
      </c>
      <c r="F490" s="10" t="s">
        <v>3075</v>
      </c>
      <c r="G490" s="11">
        <v>-1.2800000000000001E-2</v>
      </c>
    </row>
    <row r="491" spans="1:7" x14ac:dyDescent="0.35">
      <c r="A491" s="5" t="s">
        <v>1220</v>
      </c>
      <c r="B491" s="9">
        <v>21.305</v>
      </c>
      <c r="C491" s="10">
        <v>22.08</v>
      </c>
      <c r="D491" s="10">
        <v>21.36</v>
      </c>
      <c r="E491" s="10">
        <v>20.844999999999999</v>
      </c>
      <c r="F491" s="10" t="s">
        <v>3076</v>
      </c>
      <c r="G491" s="11">
        <v>-2.5600000000000001E-2</v>
      </c>
    </row>
    <row r="492" spans="1:7" x14ac:dyDescent="0.35">
      <c r="A492" s="5" t="s">
        <v>1222</v>
      </c>
      <c r="B492" s="9">
        <v>21</v>
      </c>
      <c r="C492" s="10">
        <v>21.12</v>
      </c>
      <c r="D492" s="10">
        <v>21.844999999999999</v>
      </c>
      <c r="E492" s="10">
        <v>20.97</v>
      </c>
      <c r="F492" s="10" t="s">
        <v>3077</v>
      </c>
      <c r="G492" s="11">
        <v>-1.43E-2</v>
      </c>
    </row>
    <row r="493" spans="1:7" x14ac:dyDescent="0.35">
      <c r="A493" s="5" t="s">
        <v>1224</v>
      </c>
      <c r="B493" s="9">
        <v>21.463000000000001</v>
      </c>
      <c r="C493" s="10">
        <v>21.26</v>
      </c>
      <c r="D493" s="10">
        <v>21.97</v>
      </c>
      <c r="E493" s="10">
        <v>21.32</v>
      </c>
      <c r="F493" s="10" t="s">
        <v>3078</v>
      </c>
      <c r="G493" s="11">
        <v>2.1999999999999999E-2</v>
      </c>
    </row>
    <row r="494" spans="1:7" x14ac:dyDescent="0.35">
      <c r="A494" s="5" t="s">
        <v>1226</v>
      </c>
      <c r="B494" s="9">
        <v>21.928000000000001</v>
      </c>
      <c r="C494" s="10">
        <v>21.704999999999998</v>
      </c>
      <c r="D494" s="10">
        <v>21.965</v>
      </c>
      <c r="E494" s="10">
        <v>21.56</v>
      </c>
      <c r="F494" s="10" t="s">
        <v>2983</v>
      </c>
      <c r="G494" s="11">
        <v>2.1700000000000001E-2</v>
      </c>
    </row>
    <row r="495" spans="1:7" x14ac:dyDescent="0.35">
      <c r="A495" s="5" t="s">
        <v>1228</v>
      </c>
      <c r="B495" s="9">
        <v>21.812999999999999</v>
      </c>
      <c r="C495" s="10">
        <v>21.6</v>
      </c>
      <c r="D495" s="10">
        <v>21.675000000000001</v>
      </c>
      <c r="E495" s="10">
        <v>21.204999999999998</v>
      </c>
      <c r="F495" s="10" t="s">
        <v>3079</v>
      </c>
      <c r="G495" s="11">
        <v>-5.1999999999999998E-3</v>
      </c>
    </row>
    <row r="496" spans="1:7" x14ac:dyDescent="0.35">
      <c r="A496" s="5" t="s">
        <v>1230</v>
      </c>
      <c r="B496" s="9">
        <v>21.465</v>
      </c>
      <c r="C496" s="10">
        <v>21.555</v>
      </c>
      <c r="D496" s="10">
        <v>21.495000000000001</v>
      </c>
      <c r="E496" s="10">
        <v>20.89</v>
      </c>
      <c r="F496" s="10" t="s">
        <v>3080</v>
      </c>
      <c r="G496" s="11">
        <v>-1.6E-2</v>
      </c>
    </row>
    <row r="497" spans="1:7" x14ac:dyDescent="0.35">
      <c r="A497" s="5" t="s">
        <v>1232</v>
      </c>
      <c r="B497" s="9">
        <v>21.056000000000001</v>
      </c>
      <c r="C497" s="10">
        <v>21.434999999999999</v>
      </c>
      <c r="D497" s="10">
        <v>21.204999999999998</v>
      </c>
      <c r="E497" s="10">
        <v>20.545000000000002</v>
      </c>
      <c r="F497" s="10" t="s">
        <v>3081</v>
      </c>
      <c r="G497" s="11">
        <v>-1.9099999999999999E-2</v>
      </c>
    </row>
    <row r="498" spans="1:7" x14ac:dyDescent="0.35">
      <c r="A498" s="5" t="s">
        <v>1234</v>
      </c>
      <c r="B498" s="9">
        <v>21.178000000000001</v>
      </c>
      <c r="C498" s="10">
        <v>21.245000000000001</v>
      </c>
      <c r="D498" s="10">
        <v>21.355</v>
      </c>
      <c r="E498" s="10">
        <v>20.72</v>
      </c>
      <c r="F498" s="10" t="s">
        <v>3082</v>
      </c>
      <c r="G498" s="11">
        <v>5.7999999999999996E-3</v>
      </c>
    </row>
    <row r="499" spans="1:7" x14ac:dyDescent="0.35">
      <c r="A499" s="5" t="s">
        <v>1236</v>
      </c>
      <c r="B499" s="9">
        <v>20.838999999999999</v>
      </c>
      <c r="C499" s="10">
        <v>21.17</v>
      </c>
      <c r="D499" s="10">
        <v>21.065000000000001</v>
      </c>
      <c r="E499" s="10">
        <v>20.61</v>
      </c>
      <c r="F499" s="10" t="s">
        <v>3083</v>
      </c>
      <c r="G499" s="11">
        <v>-1.6E-2</v>
      </c>
    </row>
    <row r="500" spans="1:7" x14ac:dyDescent="0.35">
      <c r="A500" s="5" t="s">
        <v>1238</v>
      </c>
      <c r="B500" s="9">
        <v>20.738</v>
      </c>
      <c r="C500" s="10">
        <v>20.84</v>
      </c>
      <c r="D500" s="10">
        <v>20.785</v>
      </c>
      <c r="E500" s="10">
        <v>20.145</v>
      </c>
      <c r="F500" s="10" t="s">
        <v>3084</v>
      </c>
      <c r="G500" s="11">
        <v>-4.7999999999999996E-3</v>
      </c>
    </row>
    <row r="501" spans="1:7" x14ac:dyDescent="0.35">
      <c r="A501" s="5" t="s">
        <v>1240</v>
      </c>
      <c r="B501" s="9">
        <v>20.352</v>
      </c>
      <c r="C501" s="10">
        <v>20.725000000000001</v>
      </c>
      <c r="D501" s="10">
        <v>20.29</v>
      </c>
      <c r="E501" s="10">
        <v>19.295000000000002</v>
      </c>
      <c r="F501" s="10" t="s">
        <v>3085</v>
      </c>
      <c r="G501" s="11">
        <v>-1.8599999999999998E-2</v>
      </c>
    </row>
    <row r="502" spans="1:7" x14ac:dyDescent="0.35">
      <c r="A502" s="5" t="s">
        <v>1242</v>
      </c>
      <c r="B502" s="9">
        <v>19.120999999999999</v>
      </c>
      <c r="C502" s="10">
        <v>19.88</v>
      </c>
      <c r="D502" s="10">
        <v>19.324999999999999</v>
      </c>
      <c r="E502" s="10">
        <v>18.704999999999998</v>
      </c>
      <c r="F502" s="10" t="s">
        <v>3086</v>
      </c>
      <c r="G502" s="11">
        <v>-6.0499999999999998E-2</v>
      </c>
    </row>
    <row r="503" spans="1:7" x14ac:dyDescent="0.35">
      <c r="A503" s="5" t="s">
        <v>1244</v>
      </c>
      <c r="B503" s="9">
        <v>19.158999999999999</v>
      </c>
      <c r="C503" s="10">
        <v>19.155000000000001</v>
      </c>
      <c r="D503" s="10">
        <v>19.434999999999999</v>
      </c>
      <c r="E503" s="10">
        <v>19.035</v>
      </c>
      <c r="F503" s="10" t="s">
        <v>3087</v>
      </c>
      <c r="G503" s="11">
        <v>2E-3</v>
      </c>
    </row>
    <row r="504" spans="1:7" x14ac:dyDescent="0.35">
      <c r="A504" s="5" t="s">
        <v>1246</v>
      </c>
      <c r="B504" s="9">
        <v>19.187999999999999</v>
      </c>
      <c r="C504" s="10">
        <v>19.170000000000002</v>
      </c>
      <c r="D504" s="10">
        <v>19.39</v>
      </c>
      <c r="E504" s="10">
        <v>18.934999999999999</v>
      </c>
      <c r="F504" s="10" t="s">
        <v>3088</v>
      </c>
      <c r="G504" s="11">
        <v>1.5E-3</v>
      </c>
    </row>
    <row r="505" spans="1:7" x14ac:dyDescent="0.35">
      <c r="A505" s="5" t="s">
        <v>1248</v>
      </c>
      <c r="B505" s="9">
        <v>19.132000000000001</v>
      </c>
      <c r="C505" s="10">
        <v>19.265000000000001</v>
      </c>
      <c r="D505" s="10">
        <v>19.135000000000002</v>
      </c>
      <c r="E505" s="10">
        <v>18.63</v>
      </c>
      <c r="F505" s="10" t="s">
        <v>3089</v>
      </c>
      <c r="G505" s="11">
        <v>-2.8999999999999998E-3</v>
      </c>
    </row>
    <row r="506" spans="1:7" x14ac:dyDescent="0.35">
      <c r="A506" s="5" t="s">
        <v>1250</v>
      </c>
      <c r="B506" s="9">
        <v>18.957999999999998</v>
      </c>
      <c r="C506" s="10">
        <v>19.055</v>
      </c>
      <c r="D506" s="10">
        <v>19.36</v>
      </c>
      <c r="E506" s="10">
        <v>18.79</v>
      </c>
      <c r="F506" s="10" t="s">
        <v>3090</v>
      </c>
      <c r="G506" s="11">
        <v>-9.1000000000000004E-3</v>
      </c>
    </row>
    <row r="507" spans="1:7" x14ac:dyDescent="0.35">
      <c r="A507" s="5" t="s">
        <v>1252</v>
      </c>
      <c r="B507" s="9">
        <v>19.193999999999999</v>
      </c>
      <c r="C507" s="10">
        <v>18.87</v>
      </c>
      <c r="D507" s="10">
        <v>19.18</v>
      </c>
      <c r="E507" s="10">
        <v>18.010000000000002</v>
      </c>
      <c r="F507" s="10" t="s">
        <v>3091</v>
      </c>
      <c r="G507" s="11">
        <v>1.24E-2</v>
      </c>
    </row>
    <row r="508" spans="1:7" x14ac:dyDescent="0.35">
      <c r="A508" s="5" t="s">
        <v>1254</v>
      </c>
      <c r="B508" s="9">
        <v>18.225000000000001</v>
      </c>
      <c r="C508" s="10">
        <v>19.18</v>
      </c>
      <c r="D508" s="10">
        <v>18.695</v>
      </c>
      <c r="E508" s="10">
        <v>18.094999999999999</v>
      </c>
      <c r="F508" s="10" t="s">
        <v>3092</v>
      </c>
      <c r="G508" s="11">
        <v>-5.0500000000000003E-2</v>
      </c>
    </row>
    <row r="509" spans="1:7" x14ac:dyDescent="0.35">
      <c r="A509" s="5" t="s">
        <v>1256</v>
      </c>
      <c r="B509" s="9">
        <v>18.84</v>
      </c>
      <c r="C509" s="10">
        <v>18.675000000000001</v>
      </c>
      <c r="D509" s="10">
        <v>18.844999999999999</v>
      </c>
      <c r="E509" s="10">
        <v>18.510000000000002</v>
      </c>
      <c r="F509" s="10" t="s">
        <v>3093</v>
      </c>
      <c r="G509" s="11">
        <v>3.3700000000000001E-2</v>
      </c>
    </row>
    <row r="510" spans="1:7" x14ac:dyDescent="0.35">
      <c r="A510" s="5" t="s">
        <v>1258</v>
      </c>
      <c r="B510" s="9">
        <v>18.713000000000001</v>
      </c>
      <c r="C510" s="10">
        <v>18.655000000000001</v>
      </c>
      <c r="D510" s="10">
        <v>19.03</v>
      </c>
      <c r="E510" s="10">
        <v>18.565000000000001</v>
      </c>
      <c r="F510" s="10" t="s">
        <v>3094</v>
      </c>
      <c r="G510" s="11">
        <v>-6.7000000000000002E-3</v>
      </c>
    </row>
    <row r="511" spans="1:7" x14ac:dyDescent="0.35">
      <c r="A511" s="5" t="s">
        <v>1260</v>
      </c>
      <c r="B511" s="9">
        <v>18.667999999999999</v>
      </c>
      <c r="C511" s="10">
        <v>18.695</v>
      </c>
      <c r="D511" s="10">
        <v>18.805</v>
      </c>
      <c r="E511" s="10">
        <v>18.12</v>
      </c>
      <c r="F511" s="10" t="s">
        <v>3095</v>
      </c>
      <c r="G511" s="11">
        <v>-2.3999999999999998E-3</v>
      </c>
    </row>
    <row r="512" spans="1:7" x14ac:dyDescent="0.35">
      <c r="A512" s="5" t="s">
        <v>1262</v>
      </c>
      <c r="B512" s="9">
        <v>18.719000000000001</v>
      </c>
      <c r="C512" s="10">
        <v>18.61</v>
      </c>
      <c r="D512" s="10">
        <v>18.88</v>
      </c>
      <c r="E512" s="10">
        <v>18.420000000000002</v>
      </c>
      <c r="F512" s="10" t="s">
        <v>3096</v>
      </c>
      <c r="G512" s="11">
        <v>2.7000000000000001E-3</v>
      </c>
    </row>
    <row r="513" spans="1:7" x14ac:dyDescent="0.35">
      <c r="A513" s="5" t="s">
        <v>1264</v>
      </c>
      <c r="B513" s="9">
        <v>18.327999999999999</v>
      </c>
      <c r="C513" s="10">
        <v>18.54</v>
      </c>
      <c r="D513" s="10">
        <v>18.62</v>
      </c>
      <c r="E513" s="10">
        <v>18.285</v>
      </c>
      <c r="F513" s="10" t="s">
        <v>3097</v>
      </c>
      <c r="G513" s="11">
        <v>-2.0899999999999998E-2</v>
      </c>
    </row>
    <row r="514" spans="1:7" x14ac:dyDescent="0.35">
      <c r="A514" s="5" t="s">
        <v>1266</v>
      </c>
      <c r="B514" s="9">
        <v>18.535</v>
      </c>
      <c r="C514" s="10">
        <v>18.329999999999998</v>
      </c>
      <c r="D514" s="10">
        <v>19.094999999999999</v>
      </c>
      <c r="E514" s="10">
        <v>18.36</v>
      </c>
      <c r="F514" s="10" t="s">
        <v>3098</v>
      </c>
      <c r="G514" s="11">
        <v>1.1299999999999999E-2</v>
      </c>
    </row>
    <row r="515" spans="1:7" x14ac:dyDescent="0.35">
      <c r="A515" s="5" t="s">
        <v>1268</v>
      </c>
      <c r="B515" s="9">
        <v>18.600000000000001</v>
      </c>
      <c r="C515" s="10">
        <v>18.535</v>
      </c>
      <c r="D515" s="10">
        <v>20</v>
      </c>
      <c r="E515" s="10">
        <v>19.010000000000002</v>
      </c>
      <c r="F515" s="10" t="s">
        <v>3099</v>
      </c>
      <c r="G515" s="11">
        <v>3.5000000000000001E-3</v>
      </c>
    </row>
    <row r="516" spans="1:7" x14ac:dyDescent="0.35">
      <c r="A516" s="5" t="s">
        <v>1270</v>
      </c>
      <c r="B516" s="9">
        <v>19.917999999999999</v>
      </c>
      <c r="C516" s="10">
        <v>19.184999999999999</v>
      </c>
      <c r="D516" s="10">
        <v>20.350000000000001</v>
      </c>
      <c r="E516" s="10">
        <v>19.824999999999999</v>
      </c>
      <c r="F516" s="10" t="s">
        <v>3100</v>
      </c>
      <c r="G516" s="11">
        <v>7.0900000000000005E-2</v>
      </c>
    </row>
    <row r="517" spans="1:7" x14ac:dyDescent="0.35">
      <c r="A517" s="5" t="s">
        <v>1272</v>
      </c>
      <c r="B517" s="9">
        <v>20.411999999999999</v>
      </c>
      <c r="C517" s="10">
        <v>20.5</v>
      </c>
      <c r="D517" s="10">
        <v>20.495000000000001</v>
      </c>
      <c r="E517" s="10">
        <v>19.914999999999999</v>
      </c>
      <c r="F517" s="10" t="s">
        <v>3101</v>
      </c>
      <c r="G517" s="11">
        <v>2.4799999999999999E-2</v>
      </c>
    </row>
    <row r="518" spans="1:7" x14ac:dyDescent="0.35">
      <c r="A518" s="5" t="s">
        <v>1274</v>
      </c>
      <c r="B518" s="9">
        <v>20.189</v>
      </c>
      <c r="C518" s="10">
        <v>20.46</v>
      </c>
      <c r="D518" s="10">
        <v>20.14</v>
      </c>
      <c r="E518" s="10">
        <v>19.75</v>
      </c>
      <c r="F518" s="10" t="s">
        <v>3102</v>
      </c>
      <c r="G518" s="11">
        <v>-1.09E-2</v>
      </c>
    </row>
    <row r="519" spans="1:7" x14ac:dyDescent="0.35">
      <c r="A519" s="5" t="s">
        <v>1276</v>
      </c>
      <c r="B519" s="9">
        <v>19.946999999999999</v>
      </c>
      <c r="C519" s="10">
        <v>19.920000000000002</v>
      </c>
      <c r="D519" s="10">
        <v>20.38</v>
      </c>
      <c r="E519" s="10">
        <v>19.93</v>
      </c>
      <c r="F519" s="10" t="s">
        <v>3103</v>
      </c>
      <c r="G519" s="11">
        <v>-1.2E-2</v>
      </c>
    </row>
    <row r="520" spans="1:7" x14ac:dyDescent="0.35">
      <c r="A520" s="5" t="s">
        <v>1278</v>
      </c>
      <c r="B520" s="9">
        <v>20.172999999999998</v>
      </c>
      <c r="C520" s="10">
        <v>20.015000000000001</v>
      </c>
      <c r="D520" s="10">
        <v>20.28</v>
      </c>
      <c r="E520" s="10">
        <v>19.47</v>
      </c>
      <c r="F520" s="10" t="s">
        <v>2868</v>
      </c>
      <c r="G520" s="11">
        <v>1.1299999999999999E-2</v>
      </c>
    </row>
    <row r="521" spans="1:7" x14ac:dyDescent="0.35">
      <c r="A521" s="5" t="s">
        <v>1280</v>
      </c>
      <c r="B521" s="9">
        <v>20.664000000000001</v>
      </c>
      <c r="C521" s="10">
        <v>19.824999999999999</v>
      </c>
      <c r="D521" s="10">
        <v>20.74</v>
      </c>
      <c r="E521" s="10">
        <v>20.399999999999999</v>
      </c>
      <c r="F521" s="10" t="s">
        <v>3104</v>
      </c>
      <c r="G521" s="11">
        <v>2.4299999999999999E-2</v>
      </c>
    </row>
    <row r="522" spans="1:7" x14ac:dyDescent="0.35">
      <c r="A522" s="5" t="s">
        <v>1282</v>
      </c>
      <c r="B522" s="9">
        <v>20.530999999999999</v>
      </c>
      <c r="C522" s="10">
        <v>20.67</v>
      </c>
      <c r="D522" s="10">
        <v>20.83</v>
      </c>
      <c r="E522" s="10">
        <v>20.315000000000001</v>
      </c>
      <c r="F522" s="10" t="s">
        <v>3105</v>
      </c>
      <c r="G522" s="11">
        <v>-6.4000000000000003E-3</v>
      </c>
    </row>
    <row r="523" spans="1:7" x14ac:dyDescent="0.35">
      <c r="A523" s="5" t="s">
        <v>1284</v>
      </c>
      <c r="B523" s="9">
        <v>20.79</v>
      </c>
      <c r="C523" s="10">
        <v>20.545000000000002</v>
      </c>
      <c r="D523" s="10">
        <v>20.605</v>
      </c>
      <c r="E523" s="10">
        <v>20.190000000000001</v>
      </c>
      <c r="F523" s="10" t="s">
        <v>3106</v>
      </c>
      <c r="G523" s="11">
        <v>1.26E-2</v>
      </c>
    </row>
    <row r="524" spans="1:7" x14ac:dyDescent="0.35">
      <c r="A524" s="5" t="s">
        <v>1286</v>
      </c>
      <c r="B524" s="9">
        <v>20.393999999999998</v>
      </c>
      <c r="C524" s="10">
        <v>20.61</v>
      </c>
      <c r="D524" s="10">
        <v>20.85</v>
      </c>
      <c r="E524" s="10">
        <v>20.190000000000001</v>
      </c>
      <c r="F524" s="10" t="s">
        <v>3107</v>
      </c>
      <c r="G524" s="11">
        <v>-1.9E-2</v>
      </c>
    </row>
    <row r="525" spans="1:7" x14ac:dyDescent="0.35">
      <c r="A525" s="5" t="s">
        <v>1288</v>
      </c>
      <c r="B525" s="9">
        <v>20.317</v>
      </c>
      <c r="C525" s="10">
        <v>20.81</v>
      </c>
      <c r="D525" s="10">
        <v>20.25</v>
      </c>
      <c r="E525" s="10">
        <v>19.86</v>
      </c>
      <c r="F525" s="10" t="s">
        <v>3108</v>
      </c>
      <c r="G525" s="11">
        <v>-3.8E-3</v>
      </c>
    </row>
    <row r="526" spans="1:7" x14ac:dyDescent="0.35">
      <c r="A526" s="5" t="s">
        <v>1290</v>
      </c>
      <c r="B526" s="9">
        <v>20.128</v>
      </c>
      <c r="C526" s="10">
        <v>20.265000000000001</v>
      </c>
      <c r="D526" s="10">
        <v>20.239999999999998</v>
      </c>
      <c r="E526" s="10">
        <v>19.63</v>
      </c>
      <c r="F526" s="10" t="s">
        <v>3109</v>
      </c>
      <c r="G526" s="11">
        <v>-9.2999999999999992E-3</v>
      </c>
    </row>
    <row r="527" spans="1:7" x14ac:dyDescent="0.35">
      <c r="A527" s="5" t="s">
        <v>1292</v>
      </c>
      <c r="B527" s="9">
        <v>19.776</v>
      </c>
      <c r="C527" s="10">
        <v>20.204999999999998</v>
      </c>
      <c r="D527" s="10">
        <v>19.885000000000002</v>
      </c>
      <c r="E527" s="10">
        <v>19.41</v>
      </c>
      <c r="F527" s="10" t="s">
        <v>3110</v>
      </c>
      <c r="G527" s="11">
        <v>-1.7500000000000002E-2</v>
      </c>
    </row>
    <row r="528" spans="1:7" x14ac:dyDescent="0.35">
      <c r="A528" s="5" t="s">
        <v>1294</v>
      </c>
      <c r="B528" s="9">
        <v>19.507999999999999</v>
      </c>
      <c r="C528" s="10">
        <v>19.809999999999999</v>
      </c>
      <c r="D528" s="10">
        <v>19.48</v>
      </c>
      <c r="E528" s="10">
        <v>18.925000000000001</v>
      </c>
      <c r="F528" s="10" t="s">
        <v>3111</v>
      </c>
      <c r="G528" s="11">
        <v>-1.3599999999999999E-2</v>
      </c>
    </row>
    <row r="529" spans="1:7" x14ac:dyDescent="0.35">
      <c r="A529" s="5" t="s">
        <v>1296</v>
      </c>
      <c r="B529" s="9">
        <v>18.917999999999999</v>
      </c>
      <c r="C529" s="10">
        <v>19.05</v>
      </c>
      <c r="D529" s="10">
        <v>19.155000000000001</v>
      </c>
      <c r="E529" s="10">
        <v>18.649999999999999</v>
      </c>
      <c r="F529" s="10" t="s">
        <v>3112</v>
      </c>
      <c r="G529" s="11">
        <v>-3.0200000000000001E-2</v>
      </c>
    </row>
    <row r="530" spans="1:7" x14ac:dyDescent="0.35">
      <c r="A530" s="5" t="s">
        <v>1297</v>
      </c>
      <c r="B530" s="9">
        <v>19.064</v>
      </c>
      <c r="C530" s="10">
        <v>18.885000000000002</v>
      </c>
      <c r="D530" s="10">
        <v>19.105</v>
      </c>
      <c r="E530" s="10">
        <v>18.815000000000001</v>
      </c>
      <c r="F530" s="10" t="s">
        <v>3113</v>
      </c>
      <c r="G530" s="11">
        <v>7.7000000000000002E-3</v>
      </c>
    </row>
    <row r="531" spans="1:7" x14ac:dyDescent="0.35">
      <c r="A531" s="5" t="s">
        <v>1299</v>
      </c>
      <c r="B531" s="9">
        <v>18.942</v>
      </c>
      <c r="C531" s="10">
        <v>19.045000000000002</v>
      </c>
      <c r="D531" s="10">
        <v>19.260000000000002</v>
      </c>
      <c r="E531" s="10">
        <v>18.954999999999998</v>
      </c>
      <c r="F531" s="10" t="s">
        <v>3114</v>
      </c>
      <c r="G531" s="11">
        <v>-6.4000000000000003E-3</v>
      </c>
    </row>
    <row r="532" spans="1:7" x14ac:dyDescent="0.35">
      <c r="A532" s="5" t="s">
        <v>1301</v>
      </c>
      <c r="B532" s="9">
        <v>19.146999999999998</v>
      </c>
      <c r="C532" s="10">
        <v>19.155000000000001</v>
      </c>
      <c r="D532" s="10">
        <v>19.344999999999999</v>
      </c>
      <c r="E532" s="10">
        <v>18.68</v>
      </c>
      <c r="F532" s="10" t="s">
        <v>3115</v>
      </c>
      <c r="G532" s="11">
        <v>1.0800000000000001E-2</v>
      </c>
    </row>
    <row r="533" spans="1:7" x14ac:dyDescent="0.35">
      <c r="A533" s="5" t="s">
        <v>1303</v>
      </c>
      <c r="B533" s="9">
        <v>18.602</v>
      </c>
      <c r="C533" s="10">
        <v>18.75</v>
      </c>
      <c r="D533" s="10">
        <v>18.7</v>
      </c>
      <c r="E533" s="10">
        <v>18.225000000000001</v>
      </c>
      <c r="F533" s="10" t="s">
        <v>3116</v>
      </c>
      <c r="G533" s="11">
        <v>-2.8500000000000001E-2</v>
      </c>
    </row>
    <row r="534" spans="1:7" x14ac:dyDescent="0.35">
      <c r="A534" s="5" t="s">
        <v>1305</v>
      </c>
      <c r="B534" s="9">
        <v>18.244</v>
      </c>
      <c r="C534" s="10">
        <v>18.675000000000001</v>
      </c>
      <c r="D534" s="10">
        <v>18.39</v>
      </c>
      <c r="E534" s="10">
        <v>17.8</v>
      </c>
      <c r="F534" s="10" t="s">
        <v>3117</v>
      </c>
      <c r="G534" s="11">
        <v>-1.9199999999999998E-2</v>
      </c>
    </row>
    <row r="535" spans="1:7" x14ac:dyDescent="0.35">
      <c r="A535" s="5" t="s">
        <v>1307</v>
      </c>
      <c r="B535" s="9">
        <v>17.849</v>
      </c>
      <c r="C535" s="10">
        <v>17.96</v>
      </c>
      <c r="D535" s="10">
        <v>17.864999999999998</v>
      </c>
      <c r="E535" s="10">
        <v>17.399999999999999</v>
      </c>
      <c r="F535" s="10" t="s">
        <v>3118</v>
      </c>
      <c r="G535" s="11">
        <v>-2.1700000000000001E-2</v>
      </c>
    </row>
    <row r="536" spans="1:7" x14ac:dyDescent="0.35">
      <c r="A536" s="5" t="s">
        <v>1309</v>
      </c>
      <c r="B536" s="9">
        <v>17.632000000000001</v>
      </c>
      <c r="C536" s="10">
        <v>17.7</v>
      </c>
      <c r="D536" s="10">
        <v>18.164999999999999</v>
      </c>
      <c r="E536" s="10">
        <v>17.62</v>
      </c>
      <c r="F536" s="10" t="s">
        <v>3119</v>
      </c>
      <c r="G536" s="11">
        <v>-1.2200000000000001E-2</v>
      </c>
    </row>
    <row r="537" spans="1:7" x14ac:dyDescent="0.35">
      <c r="A537" s="5" t="s">
        <v>1311</v>
      </c>
      <c r="B537" s="9">
        <v>17.867999999999999</v>
      </c>
      <c r="C537" s="10">
        <v>17.844999999999999</v>
      </c>
      <c r="D537" s="10">
        <v>18.399999999999999</v>
      </c>
      <c r="E537" s="10">
        <v>17.739999999999998</v>
      </c>
      <c r="F537" s="10" t="s">
        <v>3120</v>
      </c>
      <c r="G537" s="11">
        <v>1.34E-2</v>
      </c>
    </row>
    <row r="538" spans="1:7" x14ac:dyDescent="0.35">
      <c r="A538" s="5" t="s">
        <v>1313</v>
      </c>
      <c r="B538" s="9">
        <v>18.22</v>
      </c>
      <c r="C538" s="10">
        <v>17.82</v>
      </c>
      <c r="D538" s="10">
        <v>18.664999999999999</v>
      </c>
      <c r="E538" s="10">
        <v>18.239999999999998</v>
      </c>
      <c r="F538" s="10" t="s">
        <v>3121</v>
      </c>
      <c r="G538" s="11">
        <v>1.9699999999999999E-2</v>
      </c>
    </row>
    <row r="539" spans="1:7" x14ac:dyDescent="0.35">
      <c r="A539" s="5" t="s">
        <v>1315</v>
      </c>
      <c r="B539" s="9">
        <v>18.402000000000001</v>
      </c>
      <c r="C539" s="10">
        <v>18.324999999999999</v>
      </c>
      <c r="D539" s="10">
        <v>18.86</v>
      </c>
      <c r="E539" s="10">
        <v>18.445</v>
      </c>
      <c r="F539" s="10" t="s">
        <v>3122</v>
      </c>
      <c r="G539" s="11">
        <v>0.01</v>
      </c>
    </row>
    <row r="540" spans="1:7" x14ac:dyDescent="0.35">
      <c r="A540" s="5" t="s">
        <v>1317</v>
      </c>
      <c r="B540" s="9">
        <v>19.815999999999999</v>
      </c>
      <c r="C540" s="10">
        <v>18.809999999999999</v>
      </c>
      <c r="D540" s="10">
        <v>19.93</v>
      </c>
      <c r="E540" s="10">
        <v>19.295000000000002</v>
      </c>
      <c r="F540" s="10" t="s">
        <v>3123</v>
      </c>
      <c r="G540" s="11">
        <v>7.6799999999999993E-2</v>
      </c>
    </row>
    <row r="541" spans="1:7" x14ac:dyDescent="0.35">
      <c r="A541" s="5" t="s">
        <v>1319</v>
      </c>
      <c r="B541" s="9">
        <v>19.449000000000002</v>
      </c>
      <c r="C541" s="10">
        <v>19.41</v>
      </c>
      <c r="D541" s="10">
        <v>19.684999999999999</v>
      </c>
      <c r="E541" s="10">
        <v>19.215</v>
      </c>
      <c r="F541" s="10" t="s">
        <v>3124</v>
      </c>
      <c r="G541" s="11">
        <v>-1.8499999999999999E-2</v>
      </c>
    </row>
    <row r="542" spans="1:7" x14ac:dyDescent="0.35">
      <c r="A542" s="5" t="s">
        <v>1321</v>
      </c>
      <c r="B542" s="9">
        <v>19.524999999999999</v>
      </c>
      <c r="C542" s="10">
        <v>19.265000000000001</v>
      </c>
      <c r="D542" s="10">
        <v>19.625</v>
      </c>
      <c r="E542" s="10">
        <v>19.11</v>
      </c>
      <c r="F542" s="10" t="s">
        <v>3125</v>
      </c>
      <c r="G542" s="11">
        <v>3.8999999999999998E-3</v>
      </c>
    </row>
    <row r="543" spans="1:7" x14ac:dyDescent="0.35">
      <c r="A543" s="5" t="s">
        <v>1323</v>
      </c>
      <c r="B543" s="9">
        <v>19.227</v>
      </c>
      <c r="C543" s="10">
        <v>19.41</v>
      </c>
      <c r="D543" s="10">
        <v>19.64</v>
      </c>
      <c r="E543" s="10">
        <v>18.77</v>
      </c>
      <c r="F543" s="10" t="s">
        <v>3126</v>
      </c>
      <c r="G543" s="11">
        <v>-1.5299999999999999E-2</v>
      </c>
    </row>
    <row r="544" spans="1:7" x14ac:dyDescent="0.35">
      <c r="A544" s="5" t="s">
        <v>1325</v>
      </c>
      <c r="B544" s="9">
        <v>19.318999999999999</v>
      </c>
      <c r="C544" s="10">
        <v>19.555</v>
      </c>
      <c r="D544" s="10">
        <v>19.605</v>
      </c>
      <c r="E544" s="10">
        <v>19.07</v>
      </c>
      <c r="F544" s="10" t="s">
        <v>3127</v>
      </c>
      <c r="G544" s="11">
        <v>4.7999999999999996E-3</v>
      </c>
    </row>
    <row r="545" spans="1:7" x14ac:dyDescent="0.35">
      <c r="A545" s="5" t="s">
        <v>1327</v>
      </c>
      <c r="B545" s="9">
        <v>19.146000000000001</v>
      </c>
      <c r="C545" s="10">
        <v>19.524999999999999</v>
      </c>
      <c r="D545" s="10">
        <v>19.96</v>
      </c>
      <c r="E545" s="10">
        <v>19.23</v>
      </c>
      <c r="F545" s="10" t="s">
        <v>3128</v>
      </c>
      <c r="G545" s="11">
        <v>-8.9999999999999993E-3</v>
      </c>
    </row>
    <row r="546" spans="1:7" x14ac:dyDescent="0.35">
      <c r="A546" s="5" t="s">
        <v>1329</v>
      </c>
      <c r="B546" s="9">
        <v>19.446999999999999</v>
      </c>
      <c r="C546" s="10">
        <v>19.66</v>
      </c>
      <c r="D546" s="10">
        <v>19.89</v>
      </c>
      <c r="E546" s="10">
        <v>19.25</v>
      </c>
      <c r="F546" s="10" t="s">
        <v>3129</v>
      </c>
      <c r="G546" s="11">
        <v>1.5699999999999999E-2</v>
      </c>
    </row>
    <row r="547" spans="1:7" x14ac:dyDescent="0.35">
      <c r="A547" s="5" t="s">
        <v>1331</v>
      </c>
      <c r="B547" s="9">
        <v>19.587</v>
      </c>
      <c r="C547" s="10">
        <v>19.234999999999999</v>
      </c>
      <c r="D547" s="10">
        <v>19.745000000000001</v>
      </c>
      <c r="E547" s="10">
        <v>18.760000000000002</v>
      </c>
      <c r="F547" s="10" t="s">
        <v>3130</v>
      </c>
      <c r="G547" s="11">
        <v>7.1999999999999998E-3</v>
      </c>
    </row>
    <row r="548" spans="1:7" x14ac:dyDescent="0.35">
      <c r="A548" s="5" t="s">
        <v>1333</v>
      </c>
      <c r="B548" s="9">
        <v>18.452999999999999</v>
      </c>
      <c r="C548" s="10">
        <v>18.524999999999999</v>
      </c>
      <c r="D548" s="10">
        <v>18.785</v>
      </c>
      <c r="E548" s="10">
        <v>18.295000000000002</v>
      </c>
      <c r="F548" s="10" t="s">
        <v>3131</v>
      </c>
      <c r="G548" s="11">
        <v>-5.79E-2</v>
      </c>
    </row>
    <row r="549" spans="1:7" x14ac:dyDescent="0.35">
      <c r="A549" s="5" t="s">
        <v>1335</v>
      </c>
      <c r="B549" s="9">
        <v>18.302</v>
      </c>
      <c r="C549" s="10">
        <v>18.38</v>
      </c>
      <c r="D549" s="10">
        <v>18.965</v>
      </c>
      <c r="E549" s="10">
        <v>17.895</v>
      </c>
      <c r="F549" s="10" t="s">
        <v>3132</v>
      </c>
      <c r="G549" s="11">
        <v>-8.2000000000000007E-3</v>
      </c>
    </row>
    <row r="550" spans="1:7" x14ac:dyDescent="0.35">
      <c r="A550" s="5" t="s">
        <v>1337</v>
      </c>
      <c r="B550" s="9">
        <v>18.841000000000001</v>
      </c>
      <c r="C550" s="10">
        <v>18.36</v>
      </c>
      <c r="D550" s="10">
        <v>18.914999999999999</v>
      </c>
      <c r="E550" s="10">
        <v>18.465</v>
      </c>
      <c r="F550" s="10" t="s">
        <v>3133</v>
      </c>
      <c r="G550" s="11">
        <v>2.9499999999999998E-2</v>
      </c>
    </row>
    <row r="551" spans="1:7" x14ac:dyDescent="0.35">
      <c r="A551" s="5" t="s">
        <v>1339</v>
      </c>
      <c r="B551" s="9">
        <v>18.712</v>
      </c>
      <c r="C551" s="10">
        <v>18.91</v>
      </c>
      <c r="D551" s="10">
        <v>19.3</v>
      </c>
      <c r="E551" s="10">
        <v>18.745000000000001</v>
      </c>
      <c r="F551" s="10" t="s">
        <v>3134</v>
      </c>
      <c r="G551" s="11">
        <v>-6.7999999999999996E-3</v>
      </c>
    </row>
    <row r="552" spans="1:7" x14ac:dyDescent="0.35">
      <c r="A552" s="5" t="s">
        <v>1341</v>
      </c>
      <c r="B552" s="9">
        <v>20.588999999999999</v>
      </c>
      <c r="C552" s="10">
        <v>18.995000000000001</v>
      </c>
      <c r="D552" s="10">
        <v>21.31</v>
      </c>
      <c r="E552" s="10">
        <v>20.68</v>
      </c>
      <c r="F552" s="10" t="s">
        <v>2786</v>
      </c>
      <c r="G552" s="11">
        <v>0.1003</v>
      </c>
    </row>
    <row r="553" spans="1:7" x14ac:dyDescent="0.35">
      <c r="A553" s="5" t="s">
        <v>1343</v>
      </c>
      <c r="B553" s="9">
        <v>21.099</v>
      </c>
      <c r="C553" s="10">
        <v>20.745000000000001</v>
      </c>
      <c r="D553" s="10">
        <v>21.135000000000002</v>
      </c>
      <c r="E553" s="10">
        <v>19.984999999999999</v>
      </c>
      <c r="F553" s="10" t="s">
        <v>3135</v>
      </c>
      <c r="G553" s="11">
        <v>2.4799999999999999E-2</v>
      </c>
    </row>
    <row r="554" spans="1:7" x14ac:dyDescent="0.35">
      <c r="A554" s="5" t="s">
        <v>1345</v>
      </c>
      <c r="B554" s="9">
        <v>20.544</v>
      </c>
      <c r="C554" s="10">
        <v>21.12</v>
      </c>
      <c r="D554" s="10">
        <v>20.93</v>
      </c>
      <c r="E554" s="10">
        <v>20.399999999999999</v>
      </c>
      <c r="F554" s="10" t="s">
        <v>3136</v>
      </c>
      <c r="G554" s="11">
        <v>-2.63E-2</v>
      </c>
    </row>
    <row r="555" spans="1:7" x14ac:dyDescent="0.35">
      <c r="A555" s="5" t="s">
        <v>1347</v>
      </c>
      <c r="B555" s="9">
        <v>20.66</v>
      </c>
      <c r="C555" s="10">
        <v>20.75</v>
      </c>
      <c r="D555" s="10">
        <v>20.875</v>
      </c>
      <c r="E555" s="10">
        <v>20.02</v>
      </c>
      <c r="F555" s="10" t="s">
        <v>2692</v>
      </c>
      <c r="G555" s="11">
        <v>5.5999999999999999E-3</v>
      </c>
    </row>
    <row r="556" spans="1:7" x14ac:dyDescent="0.35">
      <c r="A556" s="5" t="s">
        <v>1349</v>
      </c>
      <c r="B556" s="9">
        <v>19.614999999999998</v>
      </c>
      <c r="C556" s="10">
        <v>20.184999999999999</v>
      </c>
      <c r="D556" s="10">
        <v>19.725000000000001</v>
      </c>
      <c r="E556" s="10">
        <v>19.05</v>
      </c>
      <c r="F556" s="10" t="s">
        <v>3137</v>
      </c>
      <c r="G556" s="11">
        <v>-5.0599999999999999E-2</v>
      </c>
    </row>
    <row r="557" spans="1:7" x14ac:dyDescent="0.35">
      <c r="A557" s="5" t="s">
        <v>1351</v>
      </c>
      <c r="B557" s="9">
        <v>19.486999999999998</v>
      </c>
      <c r="C557" s="10">
        <v>19.63</v>
      </c>
      <c r="D557" s="10">
        <v>19.309999999999999</v>
      </c>
      <c r="E557" s="10">
        <v>18.84</v>
      </c>
      <c r="F557" s="10" t="s">
        <v>3138</v>
      </c>
      <c r="G557" s="11">
        <v>-6.4999999999999997E-3</v>
      </c>
    </row>
    <row r="558" spans="1:7" x14ac:dyDescent="0.35">
      <c r="A558" s="5" t="s">
        <v>1352</v>
      </c>
      <c r="B558" s="9">
        <v>18.937999999999999</v>
      </c>
      <c r="C558" s="10">
        <v>19.175000000000001</v>
      </c>
      <c r="D558" s="10">
        <v>19.29</v>
      </c>
      <c r="E558" s="10">
        <v>18.41</v>
      </c>
      <c r="F558" s="10" t="s">
        <v>3139</v>
      </c>
      <c r="G558" s="11">
        <v>-2.8199999999999999E-2</v>
      </c>
    </row>
    <row r="559" spans="1:7" x14ac:dyDescent="0.35">
      <c r="A559" s="5" t="s">
        <v>1354</v>
      </c>
      <c r="B559" s="9">
        <v>18.917999999999999</v>
      </c>
      <c r="C559" s="10">
        <v>19.010000000000002</v>
      </c>
      <c r="D559" s="10">
        <v>19.055</v>
      </c>
      <c r="E559" s="10">
        <v>18.010000000000002</v>
      </c>
      <c r="F559" s="10" t="s">
        <v>2835</v>
      </c>
      <c r="G559" s="11">
        <v>-1.1000000000000001E-3</v>
      </c>
    </row>
    <row r="560" spans="1:7" x14ac:dyDescent="0.35">
      <c r="A560" s="5" t="s">
        <v>1356</v>
      </c>
      <c r="B560" s="9">
        <v>18.719000000000001</v>
      </c>
      <c r="C560" s="10">
        <v>18.16</v>
      </c>
      <c r="D560" s="10">
        <v>18.864999999999998</v>
      </c>
      <c r="E560" s="10">
        <v>18.489999999999998</v>
      </c>
      <c r="F560" s="10" t="s">
        <v>3140</v>
      </c>
      <c r="G560" s="11">
        <v>-1.0500000000000001E-2</v>
      </c>
    </row>
    <row r="561" spans="1:7" x14ac:dyDescent="0.35">
      <c r="A561" s="5" t="s">
        <v>1358</v>
      </c>
      <c r="B561" s="9">
        <v>18.600000000000001</v>
      </c>
      <c r="C561" s="10">
        <v>18.625</v>
      </c>
      <c r="D561" s="10">
        <v>18.754999999999999</v>
      </c>
      <c r="E561" s="10">
        <v>18.305</v>
      </c>
      <c r="F561" s="10" t="s">
        <v>3141</v>
      </c>
      <c r="G561" s="11">
        <v>-6.4000000000000003E-3</v>
      </c>
    </row>
    <row r="562" spans="1:7" x14ac:dyDescent="0.35">
      <c r="A562" s="5" t="s">
        <v>1360</v>
      </c>
      <c r="B562" s="9">
        <v>18.359000000000002</v>
      </c>
      <c r="C562" s="10">
        <v>18.684999999999999</v>
      </c>
      <c r="D562" s="10">
        <v>18.96</v>
      </c>
      <c r="E562" s="10">
        <v>18.149999999999999</v>
      </c>
      <c r="F562" s="10" t="s">
        <v>3142</v>
      </c>
      <c r="G562" s="11">
        <v>-1.2999999999999999E-2</v>
      </c>
    </row>
    <row r="563" spans="1:7" x14ac:dyDescent="0.35">
      <c r="A563" s="5" t="s">
        <v>1362</v>
      </c>
      <c r="B563" s="9">
        <v>18.689</v>
      </c>
      <c r="C563" s="10">
        <v>18.405000000000001</v>
      </c>
      <c r="D563" s="10">
        <v>19.405000000000001</v>
      </c>
      <c r="E563" s="10">
        <v>18.204999999999998</v>
      </c>
      <c r="F563" s="10" t="s">
        <v>3143</v>
      </c>
      <c r="G563" s="11">
        <v>1.7999999999999999E-2</v>
      </c>
    </row>
    <row r="564" spans="1:7" x14ac:dyDescent="0.35">
      <c r="A564" s="5" t="s">
        <v>1364</v>
      </c>
      <c r="B564" s="9">
        <v>19.189</v>
      </c>
      <c r="C564" s="10">
        <v>19.395</v>
      </c>
      <c r="D564" s="10">
        <v>19.41</v>
      </c>
      <c r="E564" s="10">
        <v>18.739999999999998</v>
      </c>
      <c r="F564" s="10" t="s">
        <v>3144</v>
      </c>
      <c r="G564" s="11">
        <v>2.6800000000000001E-2</v>
      </c>
    </row>
    <row r="565" spans="1:7" x14ac:dyDescent="0.35">
      <c r="A565" s="5" t="s">
        <v>1365</v>
      </c>
      <c r="B565" s="9">
        <v>19.349</v>
      </c>
      <c r="C565" s="10">
        <v>19.195</v>
      </c>
      <c r="D565" s="10">
        <v>19.765000000000001</v>
      </c>
      <c r="E565" s="10">
        <v>19.18</v>
      </c>
      <c r="F565" s="10" t="s">
        <v>3145</v>
      </c>
      <c r="G565" s="11">
        <v>8.3000000000000001E-3</v>
      </c>
    </row>
    <row r="566" spans="1:7" x14ac:dyDescent="0.35">
      <c r="A566" s="5" t="s">
        <v>1367</v>
      </c>
      <c r="B566" s="9">
        <v>19.486000000000001</v>
      </c>
      <c r="C566" s="10">
        <v>19.324999999999999</v>
      </c>
      <c r="D566" s="10">
        <v>19.66</v>
      </c>
      <c r="E566" s="10">
        <v>19.254999999999999</v>
      </c>
      <c r="F566" s="10" t="s">
        <v>3146</v>
      </c>
      <c r="G566" s="11">
        <v>7.1000000000000004E-3</v>
      </c>
    </row>
    <row r="567" spans="1:7" x14ac:dyDescent="0.35">
      <c r="A567" s="5" t="s">
        <v>1369</v>
      </c>
      <c r="B567" s="9">
        <v>19.494</v>
      </c>
      <c r="C567" s="10">
        <v>19.555</v>
      </c>
      <c r="D567" s="10">
        <v>19.62</v>
      </c>
      <c r="E567" s="10">
        <v>18.95</v>
      </c>
      <c r="F567" s="10" t="s">
        <v>3147</v>
      </c>
      <c r="G567" s="11">
        <v>4.0000000000000002E-4</v>
      </c>
    </row>
    <row r="568" spans="1:7" x14ac:dyDescent="0.35">
      <c r="A568" s="5" t="s">
        <v>1371</v>
      </c>
      <c r="B568" s="9">
        <v>19.184000000000001</v>
      </c>
      <c r="C568" s="10">
        <v>19.010000000000002</v>
      </c>
      <c r="D568" s="10">
        <v>20.04</v>
      </c>
      <c r="E568" s="10">
        <v>19.085000000000001</v>
      </c>
      <c r="F568" s="10" t="s">
        <v>3148</v>
      </c>
      <c r="G568" s="11">
        <v>-1.5900000000000001E-2</v>
      </c>
    </row>
    <row r="569" spans="1:7" x14ac:dyDescent="0.35">
      <c r="A569" s="5" t="s">
        <v>1373</v>
      </c>
      <c r="B569" s="9">
        <v>19.728000000000002</v>
      </c>
      <c r="C569" s="10">
        <v>19.16</v>
      </c>
      <c r="D569" s="10">
        <v>20.11</v>
      </c>
      <c r="E569" s="10">
        <v>19.2</v>
      </c>
      <c r="F569" s="10" t="s">
        <v>3149</v>
      </c>
      <c r="G569" s="11">
        <v>2.8400000000000002E-2</v>
      </c>
    </row>
    <row r="570" spans="1:7" x14ac:dyDescent="0.35">
      <c r="A570" s="5" t="s">
        <v>1375</v>
      </c>
      <c r="B570" s="9">
        <v>19.654</v>
      </c>
      <c r="C570" s="10">
        <v>19.675000000000001</v>
      </c>
      <c r="D570" s="10">
        <v>19.555</v>
      </c>
      <c r="E570" s="10">
        <v>18.805</v>
      </c>
      <c r="F570" s="10" t="s">
        <v>3150</v>
      </c>
      <c r="G570" s="11">
        <v>-3.8E-3</v>
      </c>
    </row>
    <row r="571" spans="1:7" x14ac:dyDescent="0.35">
      <c r="A571" s="5" t="s">
        <v>1377</v>
      </c>
      <c r="B571" s="9">
        <v>19.484999999999999</v>
      </c>
      <c r="C571" s="10">
        <v>19.454999999999998</v>
      </c>
      <c r="D571" s="10">
        <v>20.965</v>
      </c>
      <c r="E571" s="10">
        <v>19.425000000000001</v>
      </c>
      <c r="F571" s="10" t="s">
        <v>3151</v>
      </c>
      <c r="G571" s="11">
        <v>-8.6E-3</v>
      </c>
    </row>
    <row r="572" spans="1:7" x14ac:dyDescent="0.35">
      <c r="A572" s="5" t="s">
        <v>1379</v>
      </c>
      <c r="B572" s="9">
        <v>20.981000000000002</v>
      </c>
      <c r="C572" s="10">
        <v>20.65</v>
      </c>
      <c r="D572" s="10">
        <v>21.72</v>
      </c>
      <c r="E572" s="10">
        <v>20.57</v>
      </c>
      <c r="F572" s="10" t="s">
        <v>3152</v>
      </c>
      <c r="G572" s="11">
        <v>7.6799999999999993E-2</v>
      </c>
    </row>
    <row r="573" spans="1:7" x14ac:dyDescent="0.35">
      <c r="A573" s="5" t="s">
        <v>1381</v>
      </c>
      <c r="B573" s="9">
        <v>21.567</v>
      </c>
      <c r="C573" s="10">
        <v>20.9</v>
      </c>
      <c r="D573" s="10">
        <v>21.695</v>
      </c>
      <c r="E573" s="10">
        <v>21.055</v>
      </c>
      <c r="F573" s="10" t="s">
        <v>3153</v>
      </c>
      <c r="G573" s="11">
        <v>2.7900000000000001E-2</v>
      </c>
    </row>
    <row r="574" spans="1:7" x14ac:dyDescent="0.35">
      <c r="A574" s="5" t="s">
        <v>1383</v>
      </c>
      <c r="B574" s="9">
        <v>21.381</v>
      </c>
      <c r="C574" s="10">
        <v>21.495000000000001</v>
      </c>
      <c r="D574" s="10">
        <v>21.94</v>
      </c>
      <c r="E574" s="10">
        <v>21.045000000000002</v>
      </c>
      <c r="F574" s="10" t="s">
        <v>2749</v>
      </c>
      <c r="G574" s="11">
        <v>-8.6E-3</v>
      </c>
    </row>
    <row r="575" spans="1:7" x14ac:dyDescent="0.35">
      <c r="A575" s="5" t="s">
        <v>1385</v>
      </c>
      <c r="B575" s="9">
        <v>21.771999999999998</v>
      </c>
      <c r="C575" s="10">
        <v>21.28</v>
      </c>
      <c r="D575" s="10">
        <v>22.16</v>
      </c>
      <c r="E575" s="10">
        <v>21.355</v>
      </c>
      <c r="F575" s="10" t="s">
        <v>2869</v>
      </c>
      <c r="G575" s="11">
        <v>1.83E-2</v>
      </c>
    </row>
    <row r="576" spans="1:7" x14ac:dyDescent="0.35">
      <c r="A576" s="5" t="s">
        <v>1387</v>
      </c>
      <c r="B576" s="9">
        <v>22.178000000000001</v>
      </c>
      <c r="C576" s="10">
        <v>21.734999999999999</v>
      </c>
      <c r="D576" s="10">
        <v>22.38</v>
      </c>
      <c r="E576" s="10">
        <v>21.45</v>
      </c>
      <c r="F576" s="10" t="s">
        <v>3154</v>
      </c>
      <c r="G576" s="11">
        <v>1.8599999999999998E-2</v>
      </c>
    </row>
    <row r="577" spans="1:7" x14ac:dyDescent="0.35">
      <c r="A577" s="5" t="s">
        <v>1389</v>
      </c>
      <c r="B577" s="9">
        <v>21.593</v>
      </c>
      <c r="C577" s="10">
        <v>22.09</v>
      </c>
      <c r="D577" s="10">
        <v>22.155000000000001</v>
      </c>
      <c r="E577" s="10">
        <v>21.454999999999998</v>
      </c>
      <c r="F577" s="10" t="s">
        <v>3155</v>
      </c>
      <c r="G577" s="11">
        <v>-2.64E-2</v>
      </c>
    </row>
    <row r="578" spans="1:7" x14ac:dyDescent="0.35">
      <c r="A578" s="5" t="s">
        <v>1391</v>
      </c>
      <c r="B578" s="9">
        <v>21.603999999999999</v>
      </c>
      <c r="C578" s="10">
        <v>21.725000000000001</v>
      </c>
      <c r="D578" s="10">
        <v>21.535</v>
      </c>
      <c r="E578" s="10">
        <v>20.785</v>
      </c>
      <c r="F578" s="10" t="s">
        <v>3156</v>
      </c>
      <c r="G578" s="11">
        <v>5.0000000000000001E-4</v>
      </c>
    </row>
    <row r="579" spans="1:7" x14ac:dyDescent="0.35">
      <c r="A579" s="5" t="s">
        <v>1393</v>
      </c>
      <c r="B579" s="9">
        <v>21.053999999999998</v>
      </c>
      <c r="C579" s="10">
        <v>21.605</v>
      </c>
      <c r="D579" s="10">
        <v>21.324999999999999</v>
      </c>
      <c r="E579" s="10">
        <v>20.87</v>
      </c>
      <c r="F579" s="10" t="s">
        <v>3157</v>
      </c>
      <c r="G579" s="11">
        <v>-2.5499999999999998E-2</v>
      </c>
    </row>
    <row r="580" spans="1:7" x14ac:dyDescent="0.35">
      <c r="A580" s="5" t="s">
        <v>1395</v>
      </c>
      <c r="B580" s="9">
        <v>20.952000000000002</v>
      </c>
      <c r="C580" s="10">
        <v>21.11</v>
      </c>
      <c r="D580" s="10">
        <v>21.37</v>
      </c>
      <c r="E580" s="10">
        <v>20.86</v>
      </c>
      <c r="F580" s="10" t="s">
        <v>3158</v>
      </c>
      <c r="G580" s="11">
        <v>-4.7999999999999996E-3</v>
      </c>
    </row>
    <row r="581" spans="1:7" x14ac:dyDescent="0.35">
      <c r="A581" s="5" t="s">
        <v>1397</v>
      </c>
      <c r="B581" s="9">
        <v>21.13</v>
      </c>
      <c r="C581" s="10">
        <v>20.975000000000001</v>
      </c>
      <c r="D581" s="10">
        <v>21.63</v>
      </c>
      <c r="E581" s="10">
        <v>20.925000000000001</v>
      </c>
      <c r="F581" s="10" t="s">
        <v>2791</v>
      </c>
      <c r="G581" s="11">
        <v>8.5000000000000006E-3</v>
      </c>
    </row>
    <row r="582" spans="1:7" x14ac:dyDescent="0.35">
      <c r="A582" s="5" t="s">
        <v>1399</v>
      </c>
      <c r="B582" s="9">
        <v>21.436</v>
      </c>
      <c r="C582" s="10">
        <v>21.17</v>
      </c>
      <c r="D582" s="10">
        <v>21.73</v>
      </c>
      <c r="E582" s="10">
        <v>21.175000000000001</v>
      </c>
      <c r="F582" s="10" t="s">
        <v>2879</v>
      </c>
      <c r="G582" s="11">
        <v>1.4500000000000001E-2</v>
      </c>
    </row>
    <row r="583" spans="1:7" x14ac:dyDescent="0.35">
      <c r="A583" s="5" t="s">
        <v>1401</v>
      </c>
      <c r="B583" s="9">
        <v>21.001999999999999</v>
      </c>
      <c r="C583" s="10">
        <v>21.52</v>
      </c>
      <c r="D583" s="10">
        <v>21.635000000000002</v>
      </c>
      <c r="E583" s="10">
        <v>21.06</v>
      </c>
      <c r="F583" s="10" t="s">
        <v>2756</v>
      </c>
      <c r="G583" s="11">
        <v>-2.0199999999999999E-2</v>
      </c>
    </row>
    <row r="584" spans="1:7" x14ac:dyDescent="0.35">
      <c r="A584" s="5" t="s">
        <v>1403</v>
      </c>
      <c r="B584" s="9">
        <v>21.391999999999999</v>
      </c>
      <c r="C584" s="10">
        <v>21.13</v>
      </c>
      <c r="D584" s="10">
        <v>22.41</v>
      </c>
      <c r="E584" s="10">
        <v>21.355</v>
      </c>
      <c r="F584" s="10" t="s">
        <v>3159</v>
      </c>
      <c r="G584" s="11">
        <v>1.8599999999999998E-2</v>
      </c>
    </row>
    <row r="585" spans="1:7" x14ac:dyDescent="0.35">
      <c r="A585" s="5" t="s">
        <v>1405</v>
      </c>
      <c r="B585" s="9">
        <v>21.727</v>
      </c>
      <c r="C585" s="10">
        <v>21.754999999999999</v>
      </c>
      <c r="D585" s="10">
        <v>23.004999999999999</v>
      </c>
      <c r="E585" s="10">
        <v>22.24</v>
      </c>
      <c r="F585" s="10" t="s">
        <v>3160</v>
      </c>
      <c r="G585" s="11">
        <v>1.5699999999999999E-2</v>
      </c>
    </row>
    <row r="586" spans="1:7" x14ac:dyDescent="0.35">
      <c r="A586" s="5" t="s">
        <v>1407</v>
      </c>
      <c r="B586" s="9">
        <v>22.786000000000001</v>
      </c>
      <c r="C586" s="10">
        <v>22.68</v>
      </c>
      <c r="D586" s="10">
        <v>23.475000000000001</v>
      </c>
      <c r="E586" s="10">
        <v>22.48</v>
      </c>
      <c r="F586" s="10" t="s">
        <v>3161</v>
      </c>
      <c r="G586" s="11">
        <v>4.87E-2</v>
      </c>
    </row>
    <row r="587" spans="1:7" x14ac:dyDescent="0.35">
      <c r="A587" s="5" t="s">
        <v>1409</v>
      </c>
      <c r="B587" s="9">
        <v>22.324000000000002</v>
      </c>
      <c r="C587" s="10">
        <v>23.31</v>
      </c>
      <c r="D587" s="10">
        <v>22.78</v>
      </c>
      <c r="E587" s="10">
        <v>22.19</v>
      </c>
      <c r="F587" s="10" t="s">
        <v>2703</v>
      </c>
      <c r="G587" s="11">
        <v>-2.0299999999999999E-2</v>
      </c>
    </row>
    <row r="588" spans="1:7" x14ac:dyDescent="0.35">
      <c r="A588" s="5" t="s">
        <v>1411</v>
      </c>
      <c r="B588" s="9">
        <v>22.256</v>
      </c>
      <c r="C588" s="10">
        <v>22.434999999999999</v>
      </c>
      <c r="D588" s="10">
        <v>23.01</v>
      </c>
      <c r="E588" s="10">
        <v>22.254999999999999</v>
      </c>
      <c r="F588" s="10" t="s">
        <v>3162</v>
      </c>
      <c r="G588" s="11">
        <v>-3.0000000000000001E-3</v>
      </c>
    </row>
    <row r="589" spans="1:7" x14ac:dyDescent="0.35">
      <c r="A589" s="5" t="s">
        <v>1413</v>
      </c>
      <c r="B589" s="9">
        <v>22.837</v>
      </c>
      <c r="C589" s="10">
        <v>22.4</v>
      </c>
      <c r="D589" s="10">
        <v>23.425000000000001</v>
      </c>
      <c r="E589" s="10">
        <v>22.725000000000001</v>
      </c>
      <c r="F589" s="10" t="s">
        <v>3163</v>
      </c>
      <c r="G589" s="11">
        <v>2.6100000000000002E-2</v>
      </c>
    </row>
    <row r="590" spans="1:7" x14ac:dyDescent="0.35">
      <c r="A590" s="5" t="s">
        <v>1415</v>
      </c>
      <c r="B590" s="9">
        <v>23.157</v>
      </c>
      <c r="C590" s="10">
        <v>22.715</v>
      </c>
      <c r="D590" s="10">
        <v>23.9</v>
      </c>
      <c r="E590" s="10">
        <v>23.14</v>
      </c>
      <c r="F590" s="10" t="s">
        <v>3164</v>
      </c>
      <c r="G590" s="11">
        <v>1.4E-2</v>
      </c>
    </row>
    <row r="591" spans="1:7" x14ac:dyDescent="0.35">
      <c r="A591" s="5" t="s">
        <v>1417</v>
      </c>
      <c r="B591" s="9">
        <v>23.314</v>
      </c>
      <c r="C591" s="10">
        <v>23.434999999999999</v>
      </c>
      <c r="D591" s="10">
        <v>24.39</v>
      </c>
      <c r="E591" s="10">
        <v>23.49</v>
      </c>
      <c r="F591" s="10" t="s">
        <v>2886</v>
      </c>
      <c r="G591" s="11">
        <v>6.7999999999999996E-3</v>
      </c>
    </row>
    <row r="592" spans="1:7" x14ac:dyDescent="0.35">
      <c r="A592" s="5" t="s">
        <v>1419</v>
      </c>
      <c r="B592" s="9">
        <v>23.908999999999999</v>
      </c>
      <c r="C592" s="10">
        <v>23.565000000000001</v>
      </c>
      <c r="D592" s="10">
        <v>24.274999999999999</v>
      </c>
      <c r="E592" s="10">
        <v>23.605</v>
      </c>
      <c r="F592" s="10" t="s">
        <v>3165</v>
      </c>
      <c r="G592" s="11">
        <v>2.5499999999999998E-2</v>
      </c>
    </row>
    <row r="593" spans="1:7" x14ac:dyDescent="0.35">
      <c r="A593" s="5" t="s">
        <v>1421</v>
      </c>
      <c r="B593" s="9">
        <v>24.048999999999999</v>
      </c>
      <c r="C593" s="10">
        <v>23.864999999999998</v>
      </c>
      <c r="D593" s="10">
        <v>24.18</v>
      </c>
      <c r="E593" s="10">
        <v>23.155000000000001</v>
      </c>
      <c r="F593" s="10" t="s">
        <v>3166</v>
      </c>
      <c r="G593" s="11">
        <v>5.8999999999999999E-3</v>
      </c>
    </row>
    <row r="594" spans="1:7" x14ac:dyDescent="0.35">
      <c r="A594" s="5" t="s">
        <v>1422</v>
      </c>
      <c r="B594" s="9">
        <v>23.228999999999999</v>
      </c>
      <c r="C594" s="10">
        <v>24.074999999999999</v>
      </c>
      <c r="D594" s="10">
        <v>23.445</v>
      </c>
      <c r="E594" s="10">
        <v>22.734999999999999</v>
      </c>
      <c r="F594" s="10" t="s">
        <v>3167</v>
      </c>
      <c r="G594" s="11">
        <v>-3.4099999999999998E-2</v>
      </c>
    </row>
    <row r="595" spans="1:7" x14ac:dyDescent="0.35">
      <c r="A595" s="5" t="s">
        <v>1424</v>
      </c>
      <c r="B595" s="9">
        <v>23.117000000000001</v>
      </c>
      <c r="C595" s="10">
        <v>23.305</v>
      </c>
      <c r="D595" s="10">
        <v>24.49</v>
      </c>
      <c r="E595" s="10">
        <v>23.05</v>
      </c>
      <c r="F595" s="10" t="s">
        <v>3168</v>
      </c>
      <c r="G595" s="11">
        <v>-4.7999999999999996E-3</v>
      </c>
    </row>
    <row r="596" spans="1:7" x14ac:dyDescent="0.35">
      <c r="A596" s="5" t="s">
        <v>1426</v>
      </c>
      <c r="B596" s="9">
        <v>24.183</v>
      </c>
      <c r="C596" s="10">
        <v>23.094999999999999</v>
      </c>
      <c r="D596" s="10">
        <v>24.524999999999999</v>
      </c>
      <c r="E596" s="10">
        <v>24.055</v>
      </c>
      <c r="F596" s="10" t="s">
        <v>3169</v>
      </c>
      <c r="G596" s="11">
        <v>4.6100000000000002E-2</v>
      </c>
    </row>
    <row r="597" spans="1:7" x14ac:dyDescent="0.35">
      <c r="A597" s="5" t="s">
        <v>1428</v>
      </c>
      <c r="B597" s="9">
        <v>24.120999999999999</v>
      </c>
      <c r="C597" s="10">
        <v>24.305</v>
      </c>
      <c r="D597" s="10">
        <v>24.315000000000001</v>
      </c>
      <c r="E597" s="10">
        <v>23.55</v>
      </c>
      <c r="F597" s="10" t="s">
        <v>3170</v>
      </c>
      <c r="G597" s="11">
        <v>-2.5999999999999999E-3</v>
      </c>
    </row>
    <row r="598" spans="1:7" x14ac:dyDescent="0.35">
      <c r="A598" s="5" t="s">
        <v>1430</v>
      </c>
      <c r="B598" s="9">
        <v>23.561</v>
      </c>
      <c r="C598" s="10">
        <v>24.085000000000001</v>
      </c>
      <c r="D598" s="10">
        <v>24.094999999999999</v>
      </c>
      <c r="E598" s="10">
        <v>23.684999999999999</v>
      </c>
      <c r="F598" s="10" t="s">
        <v>3171</v>
      </c>
      <c r="G598" s="11">
        <v>-2.3199999999999998E-2</v>
      </c>
    </row>
    <row r="599" spans="1:7" x14ac:dyDescent="0.35">
      <c r="A599" s="5" t="s">
        <v>3730</v>
      </c>
      <c r="B599" s="9">
        <v>24.055</v>
      </c>
      <c r="C599" s="10">
        <v>24.007999999999999</v>
      </c>
      <c r="D599" s="10">
        <v>24.495000000000001</v>
      </c>
      <c r="E599" s="10">
        <v>23.975000000000001</v>
      </c>
      <c r="F599" s="10" t="s">
        <v>3172</v>
      </c>
      <c r="G599" s="11">
        <v>2.1000000000000001E-2</v>
      </c>
    </row>
    <row r="600" spans="1:7" x14ac:dyDescent="0.35">
      <c r="A600" s="5" t="s">
        <v>1432</v>
      </c>
      <c r="B600" s="9">
        <v>24.141999999999999</v>
      </c>
      <c r="C600" s="10">
        <v>23.934999999999999</v>
      </c>
      <c r="D600" s="10">
        <v>24.274999999999999</v>
      </c>
      <c r="E600" s="10">
        <v>23.645</v>
      </c>
      <c r="F600" s="10" t="s">
        <v>3173</v>
      </c>
      <c r="G600" s="11">
        <v>3.5999999999999999E-3</v>
      </c>
    </row>
    <row r="601" spans="1:7" x14ac:dyDescent="0.35">
      <c r="A601" s="5" t="s">
        <v>1434</v>
      </c>
      <c r="B601" s="9">
        <v>23.756</v>
      </c>
      <c r="C601" s="10">
        <v>24.114999999999998</v>
      </c>
      <c r="D601" s="10">
        <v>24.28</v>
      </c>
      <c r="E601" s="10">
        <v>23.69</v>
      </c>
      <c r="F601" s="10" t="s">
        <v>3174</v>
      </c>
      <c r="G601" s="11">
        <v>-1.6E-2</v>
      </c>
    </row>
    <row r="602" spans="1:7" x14ac:dyDescent="0.35">
      <c r="A602" s="5" t="s">
        <v>1436</v>
      </c>
      <c r="B602" s="9">
        <v>24.25</v>
      </c>
      <c r="C602" s="10">
        <v>23.725000000000001</v>
      </c>
      <c r="D602" s="10">
        <v>24.36</v>
      </c>
      <c r="E602" s="10">
        <v>23.704999999999998</v>
      </c>
      <c r="F602" s="10" t="s">
        <v>3175</v>
      </c>
      <c r="G602" s="11">
        <v>2.0799999999999999E-2</v>
      </c>
    </row>
    <row r="603" spans="1:7" x14ac:dyDescent="0.35">
      <c r="A603" s="5" t="s">
        <v>3731</v>
      </c>
      <c r="B603" s="9">
        <v>24.327999999999999</v>
      </c>
      <c r="C603" s="10">
        <v>24.177</v>
      </c>
      <c r="D603" s="10">
        <v>24.774999999999999</v>
      </c>
      <c r="E603" s="10">
        <v>24.094999999999999</v>
      </c>
      <c r="F603" s="10" t="s">
        <v>3176</v>
      </c>
      <c r="G603" s="11">
        <v>3.2000000000000002E-3</v>
      </c>
    </row>
    <row r="604" spans="1:7" x14ac:dyDescent="0.35">
      <c r="A604" s="5" t="s">
        <v>1438</v>
      </c>
      <c r="B604" s="9">
        <v>24.236000000000001</v>
      </c>
      <c r="C604" s="10">
        <v>24.305</v>
      </c>
      <c r="D604" s="10">
        <v>24.64</v>
      </c>
      <c r="E604" s="10">
        <v>23.745000000000001</v>
      </c>
      <c r="F604" s="10" t="s">
        <v>3177</v>
      </c>
      <c r="G604" s="11">
        <v>-3.8E-3</v>
      </c>
    </row>
    <row r="605" spans="1:7" x14ac:dyDescent="0.35">
      <c r="A605" s="5" t="s">
        <v>1440</v>
      </c>
      <c r="B605" s="9">
        <v>23.963999999999999</v>
      </c>
      <c r="C605" s="10">
        <v>24.175000000000001</v>
      </c>
      <c r="D605" s="10">
        <v>24.06</v>
      </c>
      <c r="E605" s="10">
        <v>23.26</v>
      </c>
      <c r="F605" s="10" t="s">
        <v>3178</v>
      </c>
      <c r="G605" s="11">
        <v>-1.12E-2</v>
      </c>
    </row>
    <row r="606" spans="1:7" x14ac:dyDescent="0.35">
      <c r="A606" s="5" t="s">
        <v>1442</v>
      </c>
      <c r="B606" s="9">
        <v>23.423999999999999</v>
      </c>
      <c r="C606" s="10">
        <v>23.94</v>
      </c>
      <c r="D606" s="10">
        <v>24.055</v>
      </c>
      <c r="E606" s="10">
        <v>23.344999999999999</v>
      </c>
      <c r="F606" s="10" t="s">
        <v>3179</v>
      </c>
      <c r="G606" s="11">
        <v>-2.2499999999999999E-2</v>
      </c>
    </row>
    <row r="607" spans="1:7" x14ac:dyDescent="0.35">
      <c r="A607" s="5" t="s">
        <v>1444</v>
      </c>
      <c r="B607" s="9">
        <v>23.870999999999999</v>
      </c>
      <c r="C607" s="10">
        <v>24.024999999999999</v>
      </c>
      <c r="D607" s="10">
        <v>23.905000000000001</v>
      </c>
      <c r="E607" s="10">
        <v>23.55</v>
      </c>
      <c r="F607" s="10" t="s">
        <v>3180</v>
      </c>
      <c r="G607" s="11">
        <v>1.9099999999999999E-2</v>
      </c>
    </row>
    <row r="608" spans="1:7" x14ac:dyDescent="0.35">
      <c r="A608" s="5" t="s">
        <v>1446</v>
      </c>
      <c r="B608" s="9">
        <v>23.664999999999999</v>
      </c>
      <c r="C608" s="10">
        <v>23.774999999999999</v>
      </c>
      <c r="D608" s="10">
        <v>24.19</v>
      </c>
      <c r="E608" s="10">
        <v>23.34</v>
      </c>
      <c r="F608" s="10" t="s">
        <v>3181</v>
      </c>
      <c r="G608" s="11">
        <v>-8.6E-3</v>
      </c>
    </row>
    <row r="609" spans="1:7" x14ac:dyDescent="0.35">
      <c r="A609" s="5" t="s">
        <v>1448</v>
      </c>
      <c r="B609" s="9">
        <v>23.481000000000002</v>
      </c>
      <c r="C609" s="10">
        <v>23.72</v>
      </c>
      <c r="D609" s="10">
        <v>24.33</v>
      </c>
      <c r="E609" s="10">
        <v>23.5</v>
      </c>
      <c r="F609" s="10" t="s">
        <v>3182</v>
      </c>
      <c r="G609" s="11">
        <v>-7.7999999999999996E-3</v>
      </c>
    </row>
    <row r="610" spans="1:7" x14ac:dyDescent="0.35">
      <c r="A610" s="5" t="s">
        <v>1450</v>
      </c>
      <c r="B610" s="9">
        <v>24.004000000000001</v>
      </c>
      <c r="C610" s="10">
        <v>23.53</v>
      </c>
      <c r="D610" s="10">
        <v>24.445</v>
      </c>
      <c r="E610" s="10">
        <v>23.62</v>
      </c>
      <c r="F610" s="10" t="s">
        <v>3183</v>
      </c>
      <c r="G610" s="11">
        <v>2.23E-2</v>
      </c>
    </row>
    <row r="611" spans="1:7" x14ac:dyDescent="0.35">
      <c r="A611" s="5" t="s">
        <v>3732</v>
      </c>
      <c r="B611" s="9">
        <v>24.414999999999999</v>
      </c>
      <c r="C611" s="10">
        <v>24.422000000000001</v>
      </c>
      <c r="D611" s="10">
        <v>24.67</v>
      </c>
      <c r="E611" s="10">
        <v>23.975000000000001</v>
      </c>
      <c r="F611" s="10" t="s">
        <v>3184</v>
      </c>
      <c r="G611" s="11">
        <v>1.7100000000000001E-2</v>
      </c>
    </row>
    <row r="612" spans="1:7" x14ac:dyDescent="0.35">
      <c r="A612" s="5" t="s">
        <v>1452</v>
      </c>
      <c r="B612" s="9">
        <v>24.068000000000001</v>
      </c>
      <c r="C612" s="10">
        <v>24.45</v>
      </c>
      <c r="D612" s="10">
        <v>24.5</v>
      </c>
      <c r="E612" s="10">
        <v>23.55</v>
      </c>
      <c r="F612" s="10" t="s">
        <v>3185</v>
      </c>
      <c r="G612" s="11">
        <v>-1.4200000000000001E-2</v>
      </c>
    </row>
    <row r="613" spans="1:7" x14ac:dyDescent="0.35">
      <c r="A613" s="5" t="s">
        <v>1454</v>
      </c>
      <c r="B613" s="9">
        <v>23.646999999999998</v>
      </c>
      <c r="C613" s="10">
        <v>24.09</v>
      </c>
      <c r="D613" s="10">
        <v>24.074999999999999</v>
      </c>
      <c r="E613" s="10">
        <v>23.27</v>
      </c>
      <c r="F613" s="10" t="s">
        <v>3186</v>
      </c>
      <c r="G613" s="11">
        <v>-1.7500000000000002E-2</v>
      </c>
    </row>
    <row r="614" spans="1:7" x14ac:dyDescent="0.35">
      <c r="A614" s="5" t="s">
        <v>1456</v>
      </c>
      <c r="B614" s="9">
        <v>23.87</v>
      </c>
      <c r="C614" s="10">
        <v>23.594999999999999</v>
      </c>
      <c r="D614" s="10">
        <v>24.225000000000001</v>
      </c>
      <c r="E614" s="10">
        <v>23.83</v>
      </c>
      <c r="F614" s="10" t="s">
        <v>3187</v>
      </c>
      <c r="G614" s="11">
        <v>9.4000000000000004E-3</v>
      </c>
    </row>
    <row r="615" spans="1:7" x14ac:dyDescent="0.35">
      <c r="A615" s="5" t="s">
        <v>1458</v>
      </c>
      <c r="B615" s="9">
        <v>23.553999999999998</v>
      </c>
      <c r="C615" s="10">
        <v>24.055</v>
      </c>
      <c r="D615" s="10">
        <v>23.855</v>
      </c>
      <c r="E615" s="10">
        <v>23.31</v>
      </c>
      <c r="F615" s="10" t="s">
        <v>3188</v>
      </c>
      <c r="G615" s="11">
        <v>-1.32E-2</v>
      </c>
    </row>
    <row r="616" spans="1:7" x14ac:dyDescent="0.35">
      <c r="A616" s="5" t="s">
        <v>1460</v>
      </c>
      <c r="B616" s="9">
        <v>23.748999999999999</v>
      </c>
      <c r="C616" s="10">
        <v>23.565000000000001</v>
      </c>
      <c r="D616" s="10">
        <v>24.065000000000001</v>
      </c>
      <c r="E616" s="10">
        <v>23.44</v>
      </c>
      <c r="F616" s="10" t="s">
        <v>2925</v>
      </c>
      <c r="G616" s="11">
        <v>8.3000000000000001E-3</v>
      </c>
    </row>
    <row r="617" spans="1:7" x14ac:dyDescent="0.35">
      <c r="A617" s="5" t="s">
        <v>1462</v>
      </c>
      <c r="B617" s="9">
        <v>23.940999999999999</v>
      </c>
      <c r="C617" s="10">
        <v>23.765000000000001</v>
      </c>
      <c r="D617" s="10">
        <v>24.414999999999999</v>
      </c>
      <c r="E617" s="10">
        <v>23.69</v>
      </c>
      <c r="F617" s="10" t="s">
        <v>3189</v>
      </c>
      <c r="G617" s="11">
        <v>8.0999999999999996E-3</v>
      </c>
    </row>
    <row r="618" spans="1:7" x14ac:dyDescent="0.35">
      <c r="A618" s="5" t="s">
        <v>1464</v>
      </c>
      <c r="B618" s="9">
        <v>24.02</v>
      </c>
      <c r="C618" s="10">
        <v>24.055</v>
      </c>
      <c r="D618" s="10">
        <v>24.12</v>
      </c>
      <c r="E618" s="10">
        <v>23.39</v>
      </c>
      <c r="F618" s="10" t="s">
        <v>3190</v>
      </c>
      <c r="G618" s="11">
        <v>3.3E-3</v>
      </c>
    </row>
    <row r="619" spans="1:7" x14ac:dyDescent="0.35">
      <c r="A619" s="5" t="s">
        <v>1466</v>
      </c>
      <c r="B619" s="9">
        <v>23.821000000000002</v>
      </c>
      <c r="C619" s="10">
        <v>23.905000000000001</v>
      </c>
      <c r="D619" s="10">
        <v>23.864999999999998</v>
      </c>
      <c r="E619" s="10">
        <v>23.05</v>
      </c>
      <c r="F619" s="10" t="s">
        <v>3186</v>
      </c>
      <c r="G619" s="11">
        <v>-8.3000000000000001E-3</v>
      </c>
    </row>
    <row r="620" spans="1:7" x14ac:dyDescent="0.35">
      <c r="A620" s="5" t="s">
        <v>1468</v>
      </c>
      <c r="B620" s="9">
        <v>23.93</v>
      </c>
      <c r="C620" s="10">
        <v>23.86</v>
      </c>
      <c r="D620" s="10">
        <v>24.15</v>
      </c>
      <c r="E620" s="10">
        <v>23.44</v>
      </c>
      <c r="F620" s="10" t="s">
        <v>3191</v>
      </c>
      <c r="G620" s="11">
        <v>4.5999999999999999E-3</v>
      </c>
    </row>
    <row r="621" spans="1:7" x14ac:dyDescent="0.35">
      <c r="A621" s="5" t="s">
        <v>1470</v>
      </c>
      <c r="B621" s="9">
        <v>23.702999999999999</v>
      </c>
      <c r="C621" s="10">
        <v>24.01</v>
      </c>
      <c r="D621" s="10">
        <v>24.75</v>
      </c>
      <c r="E621" s="10">
        <v>23.495000000000001</v>
      </c>
      <c r="F621" s="10" t="s">
        <v>3192</v>
      </c>
      <c r="G621" s="11">
        <v>-9.4999999999999998E-3</v>
      </c>
    </row>
    <row r="622" spans="1:7" x14ac:dyDescent="0.35">
      <c r="A622" s="5" t="s">
        <v>1472</v>
      </c>
      <c r="B622" s="9">
        <v>23.715</v>
      </c>
      <c r="C622" s="10">
        <v>24.45</v>
      </c>
      <c r="D622" s="10">
        <v>23.664999999999999</v>
      </c>
      <c r="E622" s="10">
        <v>22.324999999999999</v>
      </c>
      <c r="F622" s="10" t="s">
        <v>3193</v>
      </c>
      <c r="G622" s="11">
        <v>5.0000000000000001E-4</v>
      </c>
    </row>
    <row r="623" spans="1:7" x14ac:dyDescent="0.35">
      <c r="A623" s="5" t="s">
        <v>1474</v>
      </c>
      <c r="B623" s="9">
        <v>22.337</v>
      </c>
      <c r="C623" s="10">
        <v>22.655000000000001</v>
      </c>
      <c r="D623" s="10">
        <v>22.484999999999999</v>
      </c>
      <c r="E623" s="10">
        <v>22.065000000000001</v>
      </c>
      <c r="F623" s="10" t="s">
        <v>3194</v>
      </c>
      <c r="G623" s="11">
        <v>-5.8099999999999999E-2</v>
      </c>
    </row>
    <row r="624" spans="1:7" x14ac:dyDescent="0.35">
      <c r="A624" s="5" t="s">
        <v>1476</v>
      </c>
      <c r="B624" s="9">
        <v>22.277000000000001</v>
      </c>
      <c r="C624" s="10">
        <v>22.414999999999999</v>
      </c>
      <c r="D624" s="10">
        <v>22.56</v>
      </c>
      <c r="E624" s="10">
        <v>22.204999999999998</v>
      </c>
      <c r="F624" s="10" t="s">
        <v>3195</v>
      </c>
      <c r="G624" s="11">
        <v>-2.7000000000000001E-3</v>
      </c>
    </row>
    <row r="625" spans="1:7" x14ac:dyDescent="0.35">
      <c r="A625" s="5" t="s">
        <v>1478</v>
      </c>
      <c r="B625" s="9">
        <v>22.52</v>
      </c>
      <c r="C625" s="10">
        <v>22.42</v>
      </c>
      <c r="D625" s="10">
        <v>22.614999999999998</v>
      </c>
      <c r="E625" s="10">
        <v>21.914999999999999</v>
      </c>
      <c r="F625" s="10" t="s">
        <v>3196</v>
      </c>
      <c r="G625" s="11">
        <v>1.09E-2</v>
      </c>
    </row>
    <row r="626" spans="1:7" x14ac:dyDescent="0.35">
      <c r="A626" s="5" t="s">
        <v>1480</v>
      </c>
      <c r="B626" s="9">
        <v>22.241</v>
      </c>
      <c r="C626" s="10">
        <v>22.545000000000002</v>
      </c>
      <c r="D626" s="10">
        <v>22.31</v>
      </c>
      <c r="E626" s="10">
        <v>21.83</v>
      </c>
      <c r="F626" s="10" t="s">
        <v>3197</v>
      </c>
      <c r="G626" s="11">
        <v>-1.24E-2</v>
      </c>
    </row>
    <row r="627" spans="1:7" x14ac:dyDescent="0.35">
      <c r="A627" s="5" t="s">
        <v>1482</v>
      </c>
      <c r="B627" s="9">
        <v>21.942</v>
      </c>
      <c r="C627" s="10">
        <v>22.02</v>
      </c>
      <c r="D627" s="10">
        <v>22.04</v>
      </c>
      <c r="E627" s="10">
        <v>21.585000000000001</v>
      </c>
      <c r="F627" s="10" t="s">
        <v>3198</v>
      </c>
      <c r="G627" s="11">
        <v>-1.34E-2</v>
      </c>
    </row>
    <row r="628" spans="1:7" x14ac:dyDescent="0.35">
      <c r="A628" s="5" t="s">
        <v>1484</v>
      </c>
      <c r="B628" s="9">
        <v>21.960999999999999</v>
      </c>
      <c r="C628" s="10">
        <v>21.844999999999999</v>
      </c>
      <c r="D628" s="10">
        <v>21.875</v>
      </c>
      <c r="E628" s="10">
        <v>21.385000000000002</v>
      </c>
      <c r="F628" s="10" t="s">
        <v>2863</v>
      </c>
      <c r="G628" s="11">
        <v>8.9999999999999998E-4</v>
      </c>
    </row>
    <row r="629" spans="1:7" x14ac:dyDescent="0.35">
      <c r="A629" s="5" t="s">
        <v>1486</v>
      </c>
      <c r="B629" s="9">
        <v>21.658999999999999</v>
      </c>
      <c r="C629" s="10">
        <v>21.8</v>
      </c>
      <c r="D629" s="10">
        <v>21.79</v>
      </c>
      <c r="E629" s="10">
        <v>21.4</v>
      </c>
      <c r="F629" s="10" t="s">
        <v>3199</v>
      </c>
      <c r="G629" s="11">
        <v>-1.38E-2</v>
      </c>
    </row>
    <row r="630" spans="1:7" x14ac:dyDescent="0.35">
      <c r="A630" s="5" t="s">
        <v>1488</v>
      </c>
      <c r="B630" s="9">
        <v>21.81</v>
      </c>
      <c r="C630" s="10">
        <v>21.84</v>
      </c>
      <c r="D630" s="10">
        <v>21.8</v>
      </c>
      <c r="E630" s="10">
        <v>21.155000000000001</v>
      </c>
      <c r="F630" s="10" t="s">
        <v>3200</v>
      </c>
      <c r="G630" s="11">
        <v>7.0000000000000001E-3</v>
      </c>
    </row>
    <row r="631" spans="1:7" x14ac:dyDescent="0.35">
      <c r="A631" s="5" t="s">
        <v>3733</v>
      </c>
      <c r="B631" s="9">
        <v>21.597999999999999</v>
      </c>
      <c r="C631" s="10">
        <v>21.753</v>
      </c>
      <c r="D631" s="10">
        <v>21.995000000000001</v>
      </c>
      <c r="E631" s="10">
        <v>21.555</v>
      </c>
      <c r="F631" s="10" t="s">
        <v>3201</v>
      </c>
      <c r="G631" s="11">
        <v>-9.7000000000000003E-3</v>
      </c>
    </row>
    <row r="632" spans="1:7" x14ac:dyDescent="0.35">
      <c r="A632" s="5" t="s">
        <v>1490</v>
      </c>
      <c r="B632" s="9">
        <v>21.97</v>
      </c>
      <c r="C632" s="10">
        <v>21.77</v>
      </c>
      <c r="D632" s="10">
        <v>22</v>
      </c>
      <c r="E632" s="10">
        <v>21.434999999999999</v>
      </c>
      <c r="F632" s="10" t="s">
        <v>3202</v>
      </c>
      <c r="G632" s="11">
        <v>1.72E-2</v>
      </c>
    </row>
    <row r="633" spans="1:7" x14ac:dyDescent="0.35">
      <c r="A633" s="5" t="s">
        <v>1492</v>
      </c>
      <c r="B633" s="9">
        <v>21.748000000000001</v>
      </c>
      <c r="C633" s="10">
        <v>21.97</v>
      </c>
      <c r="D633" s="10">
        <v>21.67</v>
      </c>
      <c r="E633" s="10">
        <v>21.26</v>
      </c>
      <c r="F633" s="10" t="s">
        <v>3203</v>
      </c>
      <c r="G633" s="11">
        <v>-1.01E-2</v>
      </c>
    </row>
    <row r="634" spans="1:7" x14ac:dyDescent="0.35">
      <c r="A634" s="5" t="s">
        <v>1494</v>
      </c>
      <c r="B634" s="9">
        <v>21.376000000000001</v>
      </c>
      <c r="C634" s="10">
        <v>21.61</v>
      </c>
      <c r="D634" s="10">
        <v>21.395</v>
      </c>
      <c r="E634" s="10">
        <v>20.725000000000001</v>
      </c>
      <c r="F634" s="10" t="s">
        <v>3204</v>
      </c>
      <c r="G634" s="11">
        <v>-1.7100000000000001E-2</v>
      </c>
    </row>
    <row r="635" spans="1:7" x14ac:dyDescent="0.35">
      <c r="A635" s="5" t="s">
        <v>1496</v>
      </c>
      <c r="B635" s="9">
        <v>20.792999999999999</v>
      </c>
      <c r="C635" s="10">
        <v>20.914999999999999</v>
      </c>
      <c r="D635" s="10">
        <v>21.125</v>
      </c>
      <c r="E635" s="10">
        <v>20.504999999999999</v>
      </c>
      <c r="F635" s="10" t="s">
        <v>3205</v>
      </c>
      <c r="G635" s="11">
        <v>-2.7300000000000001E-2</v>
      </c>
    </row>
    <row r="636" spans="1:7" x14ac:dyDescent="0.35">
      <c r="A636" s="5" t="s">
        <v>1498</v>
      </c>
      <c r="B636" s="9">
        <v>21.071000000000002</v>
      </c>
      <c r="C636" s="10">
        <v>20.74</v>
      </c>
      <c r="D636" s="10">
        <v>21.285</v>
      </c>
      <c r="E636" s="10">
        <v>20.945</v>
      </c>
      <c r="F636" s="10" t="s">
        <v>3206</v>
      </c>
      <c r="G636" s="11">
        <v>1.34E-2</v>
      </c>
    </row>
    <row r="637" spans="1:7" x14ac:dyDescent="0.35">
      <c r="A637" s="5" t="s">
        <v>1500</v>
      </c>
      <c r="B637" s="9">
        <v>21.094999999999999</v>
      </c>
      <c r="C637" s="10">
        <v>21.03</v>
      </c>
      <c r="D637" s="10">
        <v>21.1</v>
      </c>
      <c r="E637" s="10">
        <v>20.76</v>
      </c>
      <c r="F637" s="10" t="s">
        <v>3207</v>
      </c>
      <c r="G637" s="11">
        <v>1.1000000000000001E-3</v>
      </c>
    </row>
    <row r="638" spans="1:7" x14ac:dyDescent="0.35">
      <c r="A638" s="5" t="s">
        <v>1502</v>
      </c>
      <c r="B638" s="9">
        <v>20.901</v>
      </c>
      <c r="C638" s="10">
        <v>21.085000000000001</v>
      </c>
      <c r="D638" s="10">
        <v>21.385000000000002</v>
      </c>
      <c r="E638" s="10">
        <v>20.91</v>
      </c>
      <c r="F638" s="10" t="s">
        <v>3208</v>
      </c>
      <c r="G638" s="11">
        <v>-9.1999999999999998E-3</v>
      </c>
    </row>
    <row r="639" spans="1:7" x14ac:dyDescent="0.35">
      <c r="A639" s="5" t="s">
        <v>1504</v>
      </c>
      <c r="B639" s="9">
        <v>21.135000000000002</v>
      </c>
      <c r="C639" s="10">
        <v>21.385000000000002</v>
      </c>
      <c r="D639" s="10">
        <v>21.215</v>
      </c>
      <c r="E639" s="10">
        <v>20.105</v>
      </c>
      <c r="F639" s="10" t="s">
        <v>3209</v>
      </c>
      <c r="G639" s="11">
        <v>1.12E-2</v>
      </c>
    </row>
    <row r="640" spans="1:7" x14ac:dyDescent="0.35">
      <c r="A640" s="5" t="s">
        <v>1506</v>
      </c>
      <c r="B640" s="9">
        <v>20.199000000000002</v>
      </c>
      <c r="C640" s="10">
        <v>21.14</v>
      </c>
      <c r="D640" s="10">
        <v>20.29</v>
      </c>
      <c r="E640" s="10">
        <v>19.954999999999998</v>
      </c>
      <c r="F640" s="10" t="s">
        <v>3210</v>
      </c>
      <c r="G640" s="11">
        <v>-4.4299999999999999E-2</v>
      </c>
    </row>
    <row r="641" spans="1:7" x14ac:dyDescent="0.35">
      <c r="A641" s="5" t="s">
        <v>1508</v>
      </c>
      <c r="B641" s="9">
        <v>20.151</v>
      </c>
      <c r="C641" s="10">
        <v>20.164999999999999</v>
      </c>
      <c r="D641" s="10">
        <v>20.355</v>
      </c>
      <c r="E641" s="10">
        <v>20.024999999999999</v>
      </c>
      <c r="F641" s="10" t="s">
        <v>3211</v>
      </c>
      <c r="G641" s="11">
        <v>-2.3999999999999998E-3</v>
      </c>
    </row>
    <row r="642" spans="1:7" x14ac:dyDescent="0.35">
      <c r="A642" s="5" t="s">
        <v>1510</v>
      </c>
      <c r="B642" s="9">
        <v>20.164999999999999</v>
      </c>
      <c r="C642" s="10">
        <v>20.125</v>
      </c>
      <c r="D642" s="10">
        <v>20.875</v>
      </c>
      <c r="E642" s="10">
        <v>19.945</v>
      </c>
      <c r="F642" s="10" t="s">
        <v>3212</v>
      </c>
      <c r="G642" s="11">
        <v>6.9999999999999999E-4</v>
      </c>
    </row>
    <row r="643" spans="1:7" x14ac:dyDescent="0.35">
      <c r="A643" s="5" t="s">
        <v>1512</v>
      </c>
      <c r="B643" s="9">
        <v>21.922999999999998</v>
      </c>
      <c r="C643" s="10">
        <v>20.72</v>
      </c>
      <c r="D643" s="10">
        <v>22.09</v>
      </c>
      <c r="E643" s="10">
        <v>21.465</v>
      </c>
      <c r="F643" s="10" t="s">
        <v>3213</v>
      </c>
      <c r="G643" s="11">
        <v>8.72E-2</v>
      </c>
    </row>
    <row r="644" spans="1:7" x14ac:dyDescent="0.35">
      <c r="A644" s="5" t="s">
        <v>1514</v>
      </c>
      <c r="B644" s="9">
        <v>22.04</v>
      </c>
      <c r="C644" s="10">
        <v>21.92</v>
      </c>
      <c r="D644" s="10">
        <v>22.524999999999999</v>
      </c>
      <c r="E644" s="10">
        <v>21.605</v>
      </c>
      <c r="F644" s="10" t="s">
        <v>3214</v>
      </c>
      <c r="G644" s="11">
        <v>5.3E-3</v>
      </c>
    </row>
    <row r="645" spans="1:7" x14ac:dyDescent="0.35">
      <c r="A645" s="5" t="s">
        <v>1516</v>
      </c>
      <c r="B645" s="9">
        <v>21.882000000000001</v>
      </c>
      <c r="C645" s="10">
        <v>21.795000000000002</v>
      </c>
      <c r="D645" s="10">
        <v>22.21</v>
      </c>
      <c r="E645" s="10">
        <v>21.59</v>
      </c>
      <c r="F645" s="10" t="s">
        <v>3215</v>
      </c>
      <c r="G645" s="11">
        <v>-7.1999999999999998E-3</v>
      </c>
    </row>
    <row r="646" spans="1:7" x14ac:dyDescent="0.35">
      <c r="A646" s="5" t="s">
        <v>1518</v>
      </c>
      <c r="B646" s="9">
        <v>21.692</v>
      </c>
      <c r="C646" s="10">
        <v>21.925000000000001</v>
      </c>
      <c r="D646" s="10">
        <v>22.765000000000001</v>
      </c>
      <c r="E646" s="10">
        <v>21.785</v>
      </c>
      <c r="F646" s="10" t="s">
        <v>3216</v>
      </c>
      <c r="G646" s="11">
        <v>-8.6999999999999994E-3</v>
      </c>
    </row>
    <row r="647" spans="1:7" x14ac:dyDescent="0.35">
      <c r="A647" s="5" t="s">
        <v>1520</v>
      </c>
      <c r="B647" s="9">
        <v>22.646000000000001</v>
      </c>
      <c r="C647" s="10">
        <v>22.71</v>
      </c>
      <c r="D647" s="10">
        <v>22.785</v>
      </c>
      <c r="E647" s="10">
        <v>22.29</v>
      </c>
      <c r="F647" s="10" t="s">
        <v>3217</v>
      </c>
      <c r="G647" s="11">
        <v>4.3999999999999997E-2</v>
      </c>
    </row>
    <row r="648" spans="1:7" x14ac:dyDescent="0.35">
      <c r="A648" s="5" t="s">
        <v>1522</v>
      </c>
      <c r="B648" s="9">
        <v>22.425000000000001</v>
      </c>
      <c r="C648" s="10">
        <v>22.664999999999999</v>
      </c>
      <c r="D648" s="10">
        <v>23.24</v>
      </c>
      <c r="E648" s="10">
        <v>22.41</v>
      </c>
      <c r="F648" s="10" t="s">
        <v>3218</v>
      </c>
      <c r="G648" s="11">
        <v>-9.7999999999999997E-3</v>
      </c>
    </row>
    <row r="649" spans="1:7" x14ac:dyDescent="0.35">
      <c r="A649" s="5" t="s">
        <v>1524</v>
      </c>
      <c r="B649" s="9">
        <v>22.786000000000001</v>
      </c>
      <c r="C649" s="10">
        <v>22.51</v>
      </c>
      <c r="D649" s="10">
        <v>23.36</v>
      </c>
      <c r="E649" s="10">
        <v>22.9</v>
      </c>
      <c r="F649" s="10" t="s">
        <v>3219</v>
      </c>
      <c r="G649" s="11">
        <v>1.61E-2</v>
      </c>
    </row>
    <row r="650" spans="1:7" x14ac:dyDescent="0.35">
      <c r="A650" s="5" t="s">
        <v>1526</v>
      </c>
      <c r="B650" s="9">
        <v>23.256</v>
      </c>
      <c r="C650" s="10">
        <v>23.1</v>
      </c>
      <c r="D650" s="10">
        <v>23.704999999999998</v>
      </c>
      <c r="E650" s="10">
        <v>23.125</v>
      </c>
      <c r="F650" s="10" t="s">
        <v>3220</v>
      </c>
      <c r="G650" s="11">
        <v>2.06E-2</v>
      </c>
    </row>
    <row r="651" spans="1:7" x14ac:dyDescent="0.35">
      <c r="A651" s="5" t="s">
        <v>1528</v>
      </c>
      <c r="B651" s="9">
        <v>23.145</v>
      </c>
      <c r="C651" s="10">
        <v>23.484999999999999</v>
      </c>
      <c r="D651" s="10">
        <v>23.515000000000001</v>
      </c>
      <c r="E651" s="10">
        <v>22.96</v>
      </c>
      <c r="F651" s="10" t="s">
        <v>3221</v>
      </c>
      <c r="G651" s="11">
        <v>-4.7999999999999996E-3</v>
      </c>
    </row>
    <row r="652" spans="1:7" x14ac:dyDescent="0.35">
      <c r="A652" s="5" t="s">
        <v>1530</v>
      </c>
      <c r="B652" s="9">
        <v>23.42</v>
      </c>
      <c r="C652" s="10">
        <v>23.21</v>
      </c>
      <c r="D652" s="10">
        <v>23.555</v>
      </c>
      <c r="E652" s="10">
        <v>23.204999999999998</v>
      </c>
      <c r="F652" s="10" t="s">
        <v>3222</v>
      </c>
      <c r="G652" s="11">
        <v>1.1900000000000001E-2</v>
      </c>
    </row>
    <row r="653" spans="1:7" x14ac:dyDescent="0.35">
      <c r="A653" s="5" t="s">
        <v>1532</v>
      </c>
      <c r="B653" s="9">
        <v>23.466000000000001</v>
      </c>
      <c r="C653" s="10">
        <v>23.47</v>
      </c>
      <c r="D653" s="10">
        <v>24.1</v>
      </c>
      <c r="E653" s="10">
        <v>23.37</v>
      </c>
      <c r="F653" s="10" t="s">
        <v>3223</v>
      </c>
      <c r="G653" s="11">
        <v>2E-3</v>
      </c>
    </row>
    <row r="654" spans="1:7" x14ac:dyDescent="0.35">
      <c r="A654" s="5" t="s">
        <v>1534</v>
      </c>
      <c r="B654" s="9">
        <v>24.076000000000001</v>
      </c>
      <c r="C654" s="10">
        <v>23.63</v>
      </c>
      <c r="D654" s="10">
        <v>24.31</v>
      </c>
      <c r="E654" s="10">
        <v>23.83</v>
      </c>
      <c r="F654" s="10" t="s">
        <v>3224</v>
      </c>
      <c r="G654" s="11">
        <v>2.5999999999999999E-2</v>
      </c>
    </row>
    <row r="655" spans="1:7" x14ac:dyDescent="0.35">
      <c r="A655" s="5" t="s">
        <v>1536</v>
      </c>
      <c r="B655" s="9">
        <v>24.117999999999999</v>
      </c>
      <c r="C655" s="10">
        <v>24.05</v>
      </c>
      <c r="D655" s="10">
        <v>25.195</v>
      </c>
      <c r="E655" s="10">
        <v>23.97</v>
      </c>
      <c r="F655" s="10" t="s">
        <v>3225</v>
      </c>
      <c r="G655" s="11">
        <v>1.6999999999999999E-3</v>
      </c>
    </row>
    <row r="656" spans="1:7" x14ac:dyDescent="0.35">
      <c r="A656" s="5" t="s">
        <v>1538</v>
      </c>
      <c r="B656" s="9">
        <v>25.201000000000001</v>
      </c>
      <c r="C656" s="10">
        <v>24.105</v>
      </c>
      <c r="D656" s="10">
        <v>25.295000000000002</v>
      </c>
      <c r="E656" s="10">
        <v>24.785</v>
      </c>
      <c r="F656" s="10" t="s">
        <v>3226</v>
      </c>
      <c r="G656" s="11">
        <v>4.4900000000000002E-2</v>
      </c>
    </row>
    <row r="657" spans="1:7" x14ac:dyDescent="0.35">
      <c r="A657" s="5" t="s">
        <v>1540</v>
      </c>
      <c r="B657" s="9">
        <v>25.143000000000001</v>
      </c>
      <c r="C657" s="10">
        <v>25.234999999999999</v>
      </c>
      <c r="D657" s="10">
        <v>25.175000000000001</v>
      </c>
      <c r="E657" s="10">
        <v>24.695</v>
      </c>
      <c r="F657" s="10" t="s">
        <v>3103</v>
      </c>
      <c r="G657" s="11">
        <v>-2.3E-3</v>
      </c>
    </row>
    <row r="658" spans="1:7" x14ac:dyDescent="0.35">
      <c r="A658" s="5" t="s">
        <v>1542</v>
      </c>
      <c r="B658" s="9">
        <v>25.02</v>
      </c>
      <c r="C658" s="10">
        <v>25.1</v>
      </c>
      <c r="D658" s="10">
        <v>25.274999999999999</v>
      </c>
      <c r="E658" s="10">
        <v>24.97</v>
      </c>
      <c r="F658" s="10" t="s">
        <v>3227</v>
      </c>
      <c r="G658" s="11">
        <v>-4.8999999999999998E-3</v>
      </c>
    </row>
    <row r="659" spans="1:7" x14ac:dyDescent="0.35">
      <c r="A659" s="5" t="s">
        <v>1544</v>
      </c>
      <c r="B659" s="9">
        <v>25.295999999999999</v>
      </c>
      <c r="C659" s="10">
        <v>25.195</v>
      </c>
      <c r="D659" s="10">
        <v>25.824999999999999</v>
      </c>
      <c r="E659" s="10">
        <v>25.175000000000001</v>
      </c>
      <c r="F659" s="10" t="s">
        <v>3228</v>
      </c>
      <c r="G659" s="11">
        <v>1.0999999999999999E-2</v>
      </c>
    </row>
    <row r="660" spans="1:7" x14ac:dyDescent="0.35">
      <c r="A660" s="5" t="s">
        <v>1546</v>
      </c>
      <c r="B660" s="9">
        <v>25.562999999999999</v>
      </c>
      <c r="C660" s="10">
        <v>25.515000000000001</v>
      </c>
      <c r="D660" s="10">
        <v>26.114999999999998</v>
      </c>
      <c r="E660" s="10">
        <v>25.515000000000001</v>
      </c>
      <c r="F660" s="10" t="s">
        <v>3229</v>
      </c>
      <c r="G660" s="11">
        <v>1.06E-2</v>
      </c>
    </row>
    <row r="661" spans="1:7" x14ac:dyDescent="0.35">
      <c r="A661" s="5" t="s">
        <v>1548</v>
      </c>
      <c r="B661" s="9">
        <v>26.035</v>
      </c>
      <c r="C661" s="10">
        <v>25.715</v>
      </c>
      <c r="D661" s="10">
        <v>26.234999999999999</v>
      </c>
      <c r="E661" s="10">
        <v>25.265000000000001</v>
      </c>
      <c r="F661" s="10" t="s">
        <v>3230</v>
      </c>
      <c r="G661" s="11">
        <v>1.8499999999999999E-2</v>
      </c>
    </row>
    <row r="662" spans="1:7" x14ac:dyDescent="0.35">
      <c r="A662" s="5" t="s">
        <v>1550</v>
      </c>
      <c r="B662" s="9">
        <v>25.196999999999999</v>
      </c>
      <c r="C662" s="10">
        <v>25.47</v>
      </c>
      <c r="D662" s="10">
        <v>25.43</v>
      </c>
      <c r="E662" s="10">
        <v>25.03</v>
      </c>
      <c r="F662" s="10" t="s">
        <v>3231</v>
      </c>
      <c r="G662" s="11">
        <v>-3.2199999999999999E-2</v>
      </c>
    </row>
    <row r="663" spans="1:7" x14ac:dyDescent="0.35">
      <c r="A663" s="5" t="s">
        <v>1552</v>
      </c>
      <c r="B663" s="9">
        <v>25.367999999999999</v>
      </c>
      <c r="C663" s="10">
        <v>25.21</v>
      </c>
      <c r="D663" s="10">
        <v>25.46</v>
      </c>
      <c r="E663" s="10">
        <v>24.715</v>
      </c>
      <c r="F663" s="10" t="s">
        <v>2680</v>
      </c>
      <c r="G663" s="11">
        <v>6.7999999999999996E-3</v>
      </c>
    </row>
    <row r="664" spans="1:7" x14ac:dyDescent="0.35">
      <c r="A664" s="5" t="s">
        <v>1554</v>
      </c>
      <c r="B664" s="9">
        <v>25.471</v>
      </c>
      <c r="C664" s="10">
        <v>25.15</v>
      </c>
      <c r="D664" s="10">
        <v>25.585000000000001</v>
      </c>
      <c r="E664" s="10">
        <v>25.155000000000001</v>
      </c>
      <c r="F664" s="10" t="s">
        <v>3232</v>
      </c>
      <c r="G664" s="11">
        <v>4.1000000000000003E-3</v>
      </c>
    </row>
    <row r="665" spans="1:7" x14ac:dyDescent="0.35">
      <c r="A665" s="5" t="s">
        <v>1556</v>
      </c>
      <c r="B665" s="9">
        <v>25.478000000000002</v>
      </c>
      <c r="C665" s="10">
        <v>25.475000000000001</v>
      </c>
      <c r="D665" s="10">
        <v>25.475000000000001</v>
      </c>
      <c r="E665" s="10">
        <v>24.984999999999999</v>
      </c>
      <c r="F665" s="10" t="s">
        <v>3233</v>
      </c>
      <c r="G665" s="11">
        <v>2.9999999999999997E-4</v>
      </c>
    </row>
    <row r="666" spans="1:7" x14ac:dyDescent="0.35">
      <c r="A666" s="5" t="s">
        <v>1558</v>
      </c>
      <c r="B666" s="9">
        <v>25.411000000000001</v>
      </c>
      <c r="C666" s="10">
        <v>25.28</v>
      </c>
      <c r="D666" s="10">
        <v>25.434999999999999</v>
      </c>
      <c r="E666" s="10">
        <v>24.53</v>
      </c>
      <c r="F666" s="10" t="s">
        <v>3001</v>
      </c>
      <c r="G666" s="11">
        <v>-2.5999999999999999E-3</v>
      </c>
    </row>
    <row r="667" spans="1:7" x14ac:dyDescent="0.35">
      <c r="A667" s="5" t="s">
        <v>1560</v>
      </c>
      <c r="B667" s="9">
        <v>24.978000000000002</v>
      </c>
      <c r="C667" s="10">
        <v>25.33</v>
      </c>
      <c r="D667" s="10">
        <v>25.324999999999999</v>
      </c>
      <c r="E667" s="10">
        <v>24.815000000000001</v>
      </c>
      <c r="F667" s="10" t="s">
        <v>3234</v>
      </c>
      <c r="G667" s="11">
        <v>-1.7000000000000001E-2</v>
      </c>
    </row>
    <row r="668" spans="1:7" x14ac:dyDescent="0.35">
      <c r="A668" s="5" t="s">
        <v>1562</v>
      </c>
      <c r="B668" s="9">
        <v>24.972000000000001</v>
      </c>
      <c r="C668" s="10">
        <v>25.135000000000002</v>
      </c>
      <c r="D668" s="10">
        <v>25.41</v>
      </c>
      <c r="E668" s="10">
        <v>24.745000000000001</v>
      </c>
      <c r="F668" s="10" t="s">
        <v>2857</v>
      </c>
      <c r="G668" s="11">
        <v>-2.0000000000000001E-4</v>
      </c>
    </row>
    <row r="669" spans="1:7" x14ac:dyDescent="0.35">
      <c r="A669" s="5" t="s">
        <v>1564</v>
      </c>
      <c r="B669" s="9">
        <v>25.209</v>
      </c>
      <c r="C669" s="10">
        <v>25.17</v>
      </c>
      <c r="D669" s="10">
        <v>25.35</v>
      </c>
      <c r="E669" s="10">
        <v>24.98</v>
      </c>
      <c r="F669" s="10" t="s">
        <v>2994</v>
      </c>
      <c r="G669" s="11">
        <v>9.4999999999999998E-3</v>
      </c>
    </row>
    <row r="670" spans="1:7" x14ac:dyDescent="0.35">
      <c r="A670" s="5" t="s">
        <v>1566</v>
      </c>
      <c r="B670" s="9">
        <v>25.23</v>
      </c>
      <c r="C670" s="10">
        <v>25.46</v>
      </c>
      <c r="D670" s="10">
        <v>25.765000000000001</v>
      </c>
      <c r="E670" s="10">
        <v>24.82</v>
      </c>
      <c r="F670" s="10" t="s">
        <v>3177</v>
      </c>
      <c r="G670" s="11">
        <v>8.0000000000000004E-4</v>
      </c>
    </row>
    <row r="671" spans="1:7" x14ac:dyDescent="0.35">
      <c r="A671" s="5" t="s">
        <v>1568</v>
      </c>
      <c r="B671" s="9">
        <v>25.619</v>
      </c>
      <c r="C671" s="10">
        <v>25.245000000000001</v>
      </c>
      <c r="D671" s="10">
        <v>25.91</v>
      </c>
      <c r="E671" s="10">
        <v>25.355</v>
      </c>
      <c r="F671" s="10" t="s">
        <v>3235</v>
      </c>
      <c r="G671" s="11">
        <v>1.54E-2</v>
      </c>
    </row>
    <row r="672" spans="1:7" x14ac:dyDescent="0.35">
      <c r="A672" s="5" t="s">
        <v>1570</v>
      </c>
      <c r="B672" s="9">
        <v>25.681000000000001</v>
      </c>
      <c r="C672" s="10">
        <v>25.65</v>
      </c>
      <c r="D672" s="10">
        <v>26.36</v>
      </c>
      <c r="E672" s="10">
        <v>25.7</v>
      </c>
      <c r="F672" s="10" t="s">
        <v>3236</v>
      </c>
      <c r="G672" s="11">
        <v>2.3999999999999998E-3</v>
      </c>
    </row>
    <row r="673" spans="1:7" x14ac:dyDescent="0.35">
      <c r="A673" s="5" t="s">
        <v>1572</v>
      </c>
      <c r="B673" s="9">
        <v>26.227</v>
      </c>
      <c r="C673" s="10">
        <v>25.91</v>
      </c>
      <c r="D673" s="10">
        <v>26.434999999999999</v>
      </c>
      <c r="E673" s="10">
        <v>25.41</v>
      </c>
      <c r="F673" s="10" t="s">
        <v>3237</v>
      </c>
      <c r="G673" s="11">
        <v>2.1299999999999999E-2</v>
      </c>
    </row>
    <row r="674" spans="1:7" x14ac:dyDescent="0.35">
      <c r="A674" s="5" t="s">
        <v>1574</v>
      </c>
      <c r="B674" s="9">
        <v>25.834</v>
      </c>
      <c r="C674" s="10">
        <v>25.945</v>
      </c>
      <c r="D674" s="10">
        <v>25.93</v>
      </c>
      <c r="E674" s="10">
        <v>25.57</v>
      </c>
      <c r="F674" s="10" t="s">
        <v>3238</v>
      </c>
      <c r="G674" s="11">
        <v>-1.4999999999999999E-2</v>
      </c>
    </row>
    <row r="675" spans="1:7" x14ac:dyDescent="0.35">
      <c r="A675" s="5" t="s">
        <v>1576</v>
      </c>
      <c r="B675" s="9">
        <v>25.898</v>
      </c>
      <c r="C675" s="10">
        <v>25.79</v>
      </c>
      <c r="D675" s="10">
        <v>26.2</v>
      </c>
      <c r="E675" s="10">
        <v>25.454999999999998</v>
      </c>
      <c r="F675" s="10" t="s">
        <v>3239</v>
      </c>
      <c r="G675" s="11">
        <v>2.5000000000000001E-3</v>
      </c>
    </row>
    <row r="676" spans="1:7" x14ac:dyDescent="0.35">
      <c r="A676" s="5" t="s">
        <v>1577</v>
      </c>
      <c r="B676" s="9">
        <v>25.658000000000001</v>
      </c>
      <c r="C676" s="10">
        <v>25.84</v>
      </c>
      <c r="D676" s="10">
        <v>25.7</v>
      </c>
      <c r="E676" s="10">
        <v>24.324999999999999</v>
      </c>
      <c r="F676" s="10" t="s">
        <v>3240</v>
      </c>
      <c r="G676" s="11">
        <v>-9.2999999999999992E-3</v>
      </c>
    </row>
    <row r="677" spans="1:7" x14ac:dyDescent="0.35">
      <c r="A677" s="5" t="s">
        <v>1579</v>
      </c>
      <c r="B677" s="9">
        <v>24.423999999999999</v>
      </c>
      <c r="C677" s="10">
        <v>25.545000000000002</v>
      </c>
      <c r="D677" s="10">
        <v>24.405000000000001</v>
      </c>
      <c r="E677" s="10">
        <v>23.91</v>
      </c>
      <c r="F677" s="10" t="s">
        <v>3241</v>
      </c>
      <c r="G677" s="11">
        <v>-4.8099999999999997E-2</v>
      </c>
    </row>
    <row r="678" spans="1:7" x14ac:dyDescent="0.35">
      <c r="A678" s="5" t="s">
        <v>1581</v>
      </c>
      <c r="B678" s="9">
        <v>24.291</v>
      </c>
      <c r="C678" s="10">
        <v>24.1</v>
      </c>
      <c r="D678" s="10">
        <v>24.274999999999999</v>
      </c>
      <c r="E678" s="10">
        <v>23.805</v>
      </c>
      <c r="F678" s="10" t="s">
        <v>3242</v>
      </c>
      <c r="G678" s="11">
        <v>-5.4000000000000003E-3</v>
      </c>
    </row>
    <row r="679" spans="1:7" x14ac:dyDescent="0.35">
      <c r="A679" s="5" t="s">
        <v>1583</v>
      </c>
      <c r="B679" s="9">
        <v>23.893000000000001</v>
      </c>
      <c r="C679" s="10">
        <v>24.265000000000001</v>
      </c>
      <c r="D679" s="10">
        <v>24.06</v>
      </c>
      <c r="E679" s="10">
        <v>23.715</v>
      </c>
      <c r="F679" s="10" t="s">
        <v>3243</v>
      </c>
      <c r="G679" s="11">
        <v>-1.6400000000000001E-2</v>
      </c>
    </row>
    <row r="680" spans="1:7" x14ac:dyDescent="0.35">
      <c r="A680" s="5" t="s">
        <v>1585</v>
      </c>
      <c r="B680" s="9">
        <v>23.896999999999998</v>
      </c>
      <c r="C680" s="10">
        <v>23.914999999999999</v>
      </c>
      <c r="D680" s="10">
        <v>23.96</v>
      </c>
      <c r="E680" s="10">
        <v>23.484999999999999</v>
      </c>
      <c r="F680" s="10" t="s">
        <v>3244</v>
      </c>
      <c r="G680" s="11">
        <v>2.0000000000000001E-4</v>
      </c>
    </row>
    <row r="681" spans="1:7" x14ac:dyDescent="0.35">
      <c r="A681" s="5" t="s">
        <v>1587</v>
      </c>
      <c r="B681" s="9">
        <v>23.632999999999999</v>
      </c>
      <c r="C681" s="10">
        <v>23.94</v>
      </c>
      <c r="D681" s="10">
        <v>24.184999999999999</v>
      </c>
      <c r="E681" s="10">
        <v>23.555</v>
      </c>
      <c r="F681" s="10" t="s">
        <v>3245</v>
      </c>
      <c r="G681" s="11">
        <v>-1.0999999999999999E-2</v>
      </c>
    </row>
    <row r="682" spans="1:7" x14ac:dyDescent="0.35">
      <c r="A682" s="5" t="s">
        <v>1589</v>
      </c>
      <c r="B682" s="9">
        <v>23.861000000000001</v>
      </c>
      <c r="C682" s="10">
        <v>24.02</v>
      </c>
      <c r="D682" s="10">
        <v>23.81</v>
      </c>
      <c r="E682" s="10">
        <v>23.234999999999999</v>
      </c>
      <c r="F682" s="10" t="s">
        <v>3035</v>
      </c>
      <c r="G682" s="11">
        <v>9.5999999999999992E-3</v>
      </c>
    </row>
    <row r="683" spans="1:7" x14ac:dyDescent="0.35">
      <c r="A683" s="5" t="s">
        <v>1591</v>
      </c>
      <c r="B683" s="9">
        <v>23.623999999999999</v>
      </c>
      <c r="C683" s="10">
        <v>23.8</v>
      </c>
      <c r="D683" s="10">
        <v>23.655000000000001</v>
      </c>
      <c r="E683" s="10">
        <v>23.14</v>
      </c>
      <c r="F683" s="10" t="s">
        <v>3246</v>
      </c>
      <c r="G683" s="11">
        <v>-9.9000000000000008E-3</v>
      </c>
    </row>
    <row r="684" spans="1:7" x14ac:dyDescent="0.35">
      <c r="A684" s="5" t="s">
        <v>1593</v>
      </c>
      <c r="B684" s="9">
        <v>23.24</v>
      </c>
      <c r="C684" s="10">
        <v>23.59</v>
      </c>
      <c r="D684" s="10">
        <v>23.26</v>
      </c>
      <c r="E684" s="10">
        <v>22.8</v>
      </c>
      <c r="F684" s="10" t="s">
        <v>3247</v>
      </c>
      <c r="G684" s="11">
        <v>-1.6299999999999999E-2</v>
      </c>
    </row>
    <row r="685" spans="1:7" x14ac:dyDescent="0.35">
      <c r="A685" s="5" t="s">
        <v>1595</v>
      </c>
      <c r="B685" s="9">
        <v>22.91</v>
      </c>
      <c r="C685" s="10">
        <v>23.184999999999999</v>
      </c>
      <c r="D685" s="10">
        <v>23.46</v>
      </c>
      <c r="E685" s="10">
        <v>22.785</v>
      </c>
      <c r="F685" s="10" t="s">
        <v>3248</v>
      </c>
      <c r="G685" s="11">
        <v>-1.4200000000000001E-2</v>
      </c>
    </row>
    <row r="686" spans="1:7" x14ac:dyDescent="0.35">
      <c r="A686" s="5" t="s">
        <v>3734</v>
      </c>
      <c r="B686" s="9">
        <v>23.413</v>
      </c>
      <c r="C686" s="10">
        <v>23.43</v>
      </c>
      <c r="D686" s="10">
        <v>23.51</v>
      </c>
      <c r="E686" s="10">
        <v>23.03</v>
      </c>
      <c r="F686" s="10" t="s">
        <v>3249</v>
      </c>
      <c r="G686" s="11">
        <v>2.1999999999999999E-2</v>
      </c>
    </row>
    <row r="687" spans="1:7" x14ac:dyDescent="0.35">
      <c r="A687" s="5" t="s">
        <v>1596</v>
      </c>
      <c r="B687" s="9">
        <v>23.353000000000002</v>
      </c>
      <c r="C687" s="10">
        <v>23.62</v>
      </c>
      <c r="D687" s="10">
        <v>23.734999999999999</v>
      </c>
      <c r="E687" s="10">
        <v>23.16</v>
      </c>
      <c r="F687" s="10" t="s">
        <v>3250</v>
      </c>
      <c r="G687" s="11">
        <v>-2.5999999999999999E-3</v>
      </c>
    </row>
    <row r="688" spans="1:7" x14ac:dyDescent="0.35">
      <c r="A688" s="5" t="s">
        <v>1598</v>
      </c>
      <c r="B688" s="9">
        <v>23.696000000000002</v>
      </c>
      <c r="C688" s="10">
        <v>23.475000000000001</v>
      </c>
      <c r="D688" s="10">
        <v>24.03</v>
      </c>
      <c r="E688" s="10">
        <v>23.355</v>
      </c>
      <c r="F688" s="10" t="s">
        <v>3251</v>
      </c>
      <c r="G688" s="11">
        <v>1.47E-2</v>
      </c>
    </row>
    <row r="689" spans="1:7" x14ac:dyDescent="0.35">
      <c r="A689" s="5" t="s">
        <v>1600</v>
      </c>
      <c r="B689" s="9">
        <v>24.096</v>
      </c>
      <c r="C689" s="10">
        <v>23.83</v>
      </c>
      <c r="D689" s="10">
        <v>24.12</v>
      </c>
      <c r="E689" s="10">
        <v>23.66</v>
      </c>
      <c r="F689" s="10" t="s">
        <v>2861</v>
      </c>
      <c r="G689" s="11">
        <v>1.6899999999999998E-2</v>
      </c>
    </row>
    <row r="690" spans="1:7" x14ac:dyDescent="0.35">
      <c r="A690" s="5" t="s">
        <v>1602</v>
      </c>
      <c r="B690" s="9">
        <v>23.742999999999999</v>
      </c>
      <c r="C690" s="10">
        <v>23.87</v>
      </c>
      <c r="D690" s="10">
        <v>23.87</v>
      </c>
      <c r="E690" s="10">
        <v>23.41</v>
      </c>
      <c r="F690" s="10" t="s">
        <v>3252</v>
      </c>
      <c r="G690" s="11">
        <v>-1.46E-2</v>
      </c>
    </row>
    <row r="691" spans="1:7" x14ac:dyDescent="0.35">
      <c r="A691" s="5" t="s">
        <v>1604</v>
      </c>
      <c r="B691" s="9">
        <v>23.779</v>
      </c>
      <c r="C691" s="10">
        <v>23.69</v>
      </c>
      <c r="D691" s="10">
        <v>24.164999999999999</v>
      </c>
      <c r="E691" s="10">
        <v>23.48</v>
      </c>
      <c r="F691" s="10" t="s">
        <v>3253</v>
      </c>
      <c r="G691" s="11">
        <v>1.5E-3</v>
      </c>
    </row>
    <row r="692" spans="1:7" x14ac:dyDescent="0.35">
      <c r="A692" s="5" t="s">
        <v>1606</v>
      </c>
      <c r="B692" s="9">
        <v>23.638000000000002</v>
      </c>
      <c r="C692" s="10">
        <v>23.64</v>
      </c>
      <c r="D692" s="10">
        <v>24.46</v>
      </c>
      <c r="E692" s="10">
        <v>23.51</v>
      </c>
      <c r="F692" s="10" t="s">
        <v>3254</v>
      </c>
      <c r="G692" s="11">
        <v>-5.8999999999999999E-3</v>
      </c>
    </row>
    <row r="693" spans="1:7" x14ac:dyDescent="0.35">
      <c r="A693" s="5" t="s">
        <v>1608</v>
      </c>
      <c r="B693" s="9">
        <v>24.454999999999998</v>
      </c>
      <c r="C693" s="10">
        <v>23.63</v>
      </c>
      <c r="D693" s="10">
        <v>24.62</v>
      </c>
      <c r="E693" s="10">
        <v>24.28</v>
      </c>
      <c r="F693" s="10" t="s">
        <v>3255</v>
      </c>
      <c r="G693" s="11">
        <v>3.4599999999999999E-2</v>
      </c>
    </row>
    <row r="694" spans="1:7" x14ac:dyDescent="0.35">
      <c r="A694" s="5" t="s">
        <v>1610</v>
      </c>
      <c r="B694" s="9">
        <v>24.164999999999999</v>
      </c>
      <c r="C694" s="10">
        <v>24.29</v>
      </c>
      <c r="D694" s="10">
        <v>24.52</v>
      </c>
      <c r="E694" s="10">
        <v>23.664999999999999</v>
      </c>
      <c r="F694" s="10" t="s">
        <v>3160</v>
      </c>
      <c r="G694" s="11">
        <v>-1.1900000000000001E-2</v>
      </c>
    </row>
    <row r="695" spans="1:7" x14ac:dyDescent="0.35">
      <c r="A695" s="5" t="s">
        <v>1612</v>
      </c>
      <c r="B695" s="9">
        <v>23.928999999999998</v>
      </c>
      <c r="C695" s="10">
        <v>24.33</v>
      </c>
      <c r="D695" s="10">
        <v>24.175000000000001</v>
      </c>
      <c r="E695" s="10">
        <v>23.715</v>
      </c>
      <c r="F695" s="10" t="s">
        <v>3256</v>
      </c>
      <c r="G695" s="11">
        <v>-9.7999999999999997E-3</v>
      </c>
    </row>
    <row r="696" spans="1:7" x14ac:dyDescent="0.35">
      <c r="A696" s="5" t="s">
        <v>1614</v>
      </c>
      <c r="B696" s="9">
        <v>24.212</v>
      </c>
      <c r="C696" s="10">
        <v>23.965</v>
      </c>
      <c r="D696" s="10">
        <v>24.01</v>
      </c>
      <c r="E696" s="10">
        <v>23.27</v>
      </c>
      <c r="F696" s="10" t="s">
        <v>3257</v>
      </c>
      <c r="G696" s="11">
        <v>1.18E-2</v>
      </c>
    </row>
    <row r="697" spans="1:7" x14ac:dyDescent="0.35">
      <c r="A697" s="5" t="s">
        <v>1615</v>
      </c>
      <c r="B697" s="9">
        <v>24.044</v>
      </c>
      <c r="C697" s="10">
        <v>24.055</v>
      </c>
      <c r="D697" s="10">
        <v>24.29</v>
      </c>
      <c r="E697" s="10">
        <v>23.91</v>
      </c>
      <c r="F697" s="10" t="s">
        <v>3258</v>
      </c>
      <c r="G697" s="11">
        <v>-6.8999999999999999E-3</v>
      </c>
    </row>
    <row r="698" spans="1:7" x14ac:dyDescent="0.35">
      <c r="A698" s="5" t="s">
        <v>3735</v>
      </c>
      <c r="B698" s="9">
        <v>24.198</v>
      </c>
      <c r="C698" s="10">
        <v>24.234999999999999</v>
      </c>
      <c r="D698" s="10">
        <v>24.26</v>
      </c>
      <c r="E698" s="10">
        <v>23.1</v>
      </c>
      <c r="F698" s="10" t="s">
        <v>3259</v>
      </c>
      <c r="G698" s="11">
        <v>6.4000000000000003E-3</v>
      </c>
    </row>
    <row r="699" spans="1:7" x14ac:dyDescent="0.35">
      <c r="A699" s="5" t="s">
        <v>1617</v>
      </c>
      <c r="B699" s="9">
        <v>23.334</v>
      </c>
      <c r="C699" s="10">
        <v>24.27</v>
      </c>
      <c r="D699" s="10">
        <v>23.23</v>
      </c>
      <c r="E699" s="10">
        <v>22.515000000000001</v>
      </c>
      <c r="F699" s="10" t="s">
        <v>3260</v>
      </c>
      <c r="G699" s="11">
        <v>-3.5700000000000003E-2</v>
      </c>
    </row>
    <row r="700" spans="1:7" x14ac:dyDescent="0.35">
      <c r="A700" s="5" t="s">
        <v>1619</v>
      </c>
      <c r="B700" s="9">
        <v>22.911000000000001</v>
      </c>
      <c r="C700" s="10">
        <v>23.33</v>
      </c>
      <c r="D700" s="10">
        <v>22.75</v>
      </c>
      <c r="E700" s="10">
        <v>22.2</v>
      </c>
      <c r="F700" s="10" t="s">
        <v>3261</v>
      </c>
      <c r="G700" s="11">
        <v>-1.8100000000000002E-2</v>
      </c>
    </row>
    <row r="701" spans="1:7" x14ac:dyDescent="0.35">
      <c r="A701" s="5" t="s">
        <v>1621</v>
      </c>
      <c r="B701" s="9">
        <v>22.567</v>
      </c>
      <c r="C701" s="10">
        <v>22.77</v>
      </c>
      <c r="D701" s="10">
        <v>22.71</v>
      </c>
      <c r="E701" s="10">
        <v>22.14</v>
      </c>
      <c r="F701" s="10" t="s">
        <v>3262</v>
      </c>
      <c r="G701" s="11">
        <v>-1.4999999999999999E-2</v>
      </c>
    </row>
    <row r="702" spans="1:7" x14ac:dyDescent="0.35">
      <c r="A702" s="5" t="s">
        <v>1623</v>
      </c>
      <c r="B702" s="9">
        <v>22.922999999999998</v>
      </c>
      <c r="C702" s="10">
        <v>22.55</v>
      </c>
      <c r="D702" s="10">
        <v>23.15</v>
      </c>
      <c r="E702" s="10">
        <v>22.785</v>
      </c>
      <c r="F702" s="10" t="s">
        <v>3263</v>
      </c>
      <c r="G702" s="11">
        <v>1.5800000000000002E-2</v>
      </c>
    </row>
    <row r="703" spans="1:7" x14ac:dyDescent="0.35">
      <c r="A703" s="5" t="s">
        <v>1625</v>
      </c>
      <c r="B703" s="9">
        <v>23.048999999999999</v>
      </c>
      <c r="C703" s="10">
        <v>22.89</v>
      </c>
      <c r="D703" s="10">
        <v>22.995000000000001</v>
      </c>
      <c r="E703" s="10">
        <v>22.6</v>
      </c>
      <c r="F703" s="10" t="s">
        <v>3264</v>
      </c>
      <c r="G703" s="11">
        <v>5.4999999999999997E-3</v>
      </c>
    </row>
    <row r="704" spans="1:7" x14ac:dyDescent="0.35">
      <c r="A704" s="5" t="s">
        <v>1627</v>
      </c>
      <c r="B704" s="9">
        <v>22.981000000000002</v>
      </c>
      <c r="C704" s="10">
        <v>22.965</v>
      </c>
      <c r="D704" s="10">
        <v>23.11</v>
      </c>
      <c r="E704" s="10">
        <v>22.484999999999999</v>
      </c>
      <c r="F704" s="10" t="s">
        <v>3265</v>
      </c>
      <c r="G704" s="11">
        <v>-3.0000000000000001E-3</v>
      </c>
    </row>
    <row r="705" spans="1:7" x14ac:dyDescent="0.35">
      <c r="A705" s="5" t="s">
        <v>1629</v>
      </c>
      <c r="B705" s="9">
        <v>22.797999999999998</v>
      </c>
      <c r="C705" s="10">
        <v>22.94</v>
      </c>
      <c r="D705" s="10">
        <v>23.05</v>
      </c>
      <c r="E705" s="10">
        <v>22.54</v>
      </c>
      <c r="F705" s="10" t="s">
        <v>2927</v>
      </c>
      <c r="G705" s="11">
        <v>-8.0000000000000002E-3</v>
      </c>
    </row>
    <row r="706" spans="1:7" x14ac:dyDescent="0.35">
      <c r="A706" s="5" t="s">
        <v>1631</v>
      </c>
      <c r="B706" s="9">
        <v>23.111999999999998</v>
      </c>
      <c r="C706" s="10">
        <v>22.995000000000001</v>
      </c>
      <c r="D706" s="10">
        <v>23.535</v>
      </c>
      <c r="E706" s="10">
        <v>22.97</v>
      </c>
      <c r="F706" s="10" t="s">
        <v>3266</v>
      </c>
      <c r="G706" s="11">
        <v>1.38E-2</v>
      </c>
    </row>
    <row r="707" spans="1:7" x14ac:dyDescent="0.35">
      <c r="A707" s="5" t="s">
        <v>1633</v>
      </c>
      <c r="B707" s="9">
        <v>23.402000000000001</v>
      </c>
      <c r="C707" s="10">
        <v>23.12</v>
      </c>
      <c r="D707" s="10">
        <v>23.47</v>
      </c>
      <c r="E707" s="10">
        <v>22.72</v>
      </c>
      <c r="F707" s="10" t="s">
        <v>3267</v>
      </c>
      <c r="G707" s="11">
        <v>1.2500000000000001E-2</v>
      </c>
    </row>
    <row r="708" spans="1:7" x14ac:dyDescent="0.35">
      <c r="A708" s="5" t="s">
        <v>1635</v>
      </c>
      <c r="B708" s="9">
        <v>22.89</v>
      </c>
      <c r="C708" s="10">
        <v>23.355</v>
      </c>
      <c r="D708" s="10">
        <v>23.364999999999998</v>
      </c>
      <c r="E708" s="10">
        <v>22.8</v>
      </c>
      <c r="F708" s="10" t="s">
        <v>3268</v>
      </c>
      <c r="G708" s="11">
        <v>-2.1899999999999999E-2</v>
      </c>
    </row>
    <row r="709" spans="1:7" x14ac:dyDescent="0.35">
      <c r="A709" s="5" t="s">
        <v>1637</v>
      </c>
      <c r="B709" s="9">
        <v>23.344999999999999</v>
      </c>
      <c r="C709" s="10">
        <v>23.34</v>
      </c>
      <c r="D709" s="10">
        <v>23.594999999999999</v>
      </c>
      <c r="E709" s="10">
        <v>23.22</v>
      </c>
      <c r="F709" s="10" t="s">
        <v>3264</v>
      </c>
      <c r="G709" s="11">
        <v>1.9900000000000001E-2</v>
      </c>
    </row>
    <row r="710" spans="1:7" x14ac:dyDescent="0.35">
      <c r="A710" s="5" t="s">
        <v>1639</v>
      </c>
      <c r="B710" s="9">
        <v>23.280999999999999</v>
      </c>
      <c r="C710" s="10">
        <v>23.335000000000001</v>
      </c>
      <c r="D710" s="10">
        <v>24.375</v>
      </c>
      <c r="E710" s="10">
        <v>23.31</v>
      </c>
      <c r="F710" s="10" t="s">
        <v>3269</v>
      </c>
      <c r="G710" s="11">
        <v>-2.7000000000000001E-3</v>
      </c>
    </row>
    <row r="711" spans="1:7" x14ac:dyDescent="0.35">
      <c r="A711" s="5" t="s">
        <v>1641</v>
      </c>
      <c r="B711" s="9">
        <v>24.31</v>
      </c>
      <c r="C711" s="10">
        <v>23.324999999999999</v>
      </c>
      <c r="D711" s="10">
        <v>25.11</v>
      </c>
      <c r="E711" s="10">
        <v>24.31</v>
      </c>
      <c r="F711" s="10" t="s">
        <v>3270</v>
      </c>
      <c r="G711" s="11">
        <v>4.4200000000000003E-2</v>
      </c>
    </row>
    <row r="712" spans="1:7" x14ac:dyDescent="0.35">
      <c r="A712" s="5" t="s">
        <v>1643</v>
      </c>
      <c r="B712" s="9">
        <v>24.949000000000002</v>
      </c>
      <c r="C712" s="10">
        <v>24.33</v>
      </c>
      <c r="D712" s="10">
        <v>25.254999999999999</v>
      </c>
      <c r="E712" s="10">
        <v>24.91</v>
      </c>
      <c r="F712" s="10" t="s">
        <v>3271</v>
      </c>
      <c r="G712" s="11">
        <v>2.63E-2</v>
      </c>
    </row>
    <row r="713" spans="1:7" x14ac:dyDescent="0.35">
      <c r="A713" s="5" t="s">
        <v>1645</v>
      </c>
      <c r="B713" s="9">
        <v>25.018000000000001</v>
      </c>
      <c r="C713" s="10">
        <v>25.155000000000001</v>
      </c>
      <c r="D713" s="10">
        <v>25.405000000000001</v>
      </c>
      <c r="E713" s="10">
        <v>24.975000000000001</v>
      </c>
      <c r="F713" s="10" t="s">
        <v>3272</v>
      </c>
      <c r="G713" s="11">
        <v>2.8E-3</v>
      </c>
    </row>
    <row r="714" spans="1:7" x14ac:dyDescent="0.35">
      <c r="A714" s="5" t="s">
        <v>1647</v>
      </c>
      <c r="B714" s="9">
        <v>25.256</v>
      </c>
      <c r="C714" s="10">
        <v>25.06</v>
      </c>
      <c r="D714" s="10">
        <v>25.46</v>
      </c>
      <c r="E714" s="10">
        <v>25.145</v>
      </c>
      <c r="F714" s="10" t="s">
        <v>3273</v>
      </c>
      <c r="G714" s="11">
        <v>9.4999999999999998E-3</v>
      </c>
    </row>
    <row r="715" spans="1:7" x14ac:dyDescent="0.35">
      <c r="A715" s="5" t="s">
        <v>1649</v>
      </c>
      <c r="B715" s="9">
        <v>25.387</v>
      </c>
      <c r="C715" s="10">
        <v>25.274999999999999</v>
      </c>
      <c r="D715" s="10">
        <v>25.475000000000001</v>
      </c>
      <c r="E715" s="10">
        <v>24.895</v>
      </c>
      <c r="F715" s="10" t="s">
        <v>3274</v>
      </c>
      <c r="G715" s="11">
        <v>5.1999999999999998E-3</v>
      </c>
    </row>
    <row r="716" spans="1:7" x14ac:dyDescent="0.35">
      <c r="A716" s="5" t="s">
        <v>1651</v>
      </c>
      <c r="B716" s="9">
        <v>24.962</v>
      </c>
      <c r="C716" s="10">
        <v>25.344999999999999</v>
      </c>
      <c r="D716" s="10">
        <v>25.11</v>
      </c>
      <c r="E716" s="10">
        <v>24.765000000000001</v>
      </c>
      <c r="F716" s="10" t="s">
        <v>3275</v>
      </c>
      <c r="G716" s="11">
        <v>-1.67E-2</v>
      </c>
    </row>
    <row r="717" spans="1:7" x14ac:dyDescent="0.35">
      <c r="A717" s="5" t="s">
        <v>1653</v>
      </c>
      <c r="B717" s="9">
        <v>24.581</v>
      </c>
      <c r="C717" s="10">
        <v>24.79</v>
      </c>
      <c r="D717" s="10">
        <v>24.91</v>
      </c>
      <c r="E717" s="10">
        <v>24.45</v>
      </c>
      <c r="F717" s="10" t="s">
        <v>3276</v>
      </c>
      <c r="G717" s="11">
        <v>-1.5299999999999999E-2</v>
      </c>
    </row>
    <row r="718" spans="1:7" x14ac:dyDescent="0.35">
      <c r="A718" s="5" t="s">
        <v>1655</v>
      </c>
      <c r="B718" s="9">
        <v>24.824000000000002</v>
      </c>
      <c r="C718" s="10">
        <v>24.524999999999999</v>
      </c>
      <c r="D718" s="10">
        <v>25.21</v>
      </c>
      <c r="E718" s="10">
        <v>24.675000000000001</v>
      </c>
      <c r="F718" s="10" t="s">
        <v>3277</v>
      </c>
      <c r="G718" s="11">
        <v>9.9000000000000008E-3</v>
      </c>
    </row>
    <row r="719" spans="1:7" x14ac:dyDescent="0.35">
      <c r="A719" s="5" t="s">
        <v>1657</v>
      </c>
      <c r="B719" s="9">
        <v>24.97</v>
      </c>
      <c r="C719" s="10">
        <v>24.87</v>
      </c>
      <c r="D719" s="10">
        <v>25.324999999999999</v>
      </c>
      <c r="E719" s="10">
        <v>24.18</v>
      </c>
      <c r="F719" s="10" t="s">
        <v>3278</v>
      </c>
      <c r="G719" s="11">
        <v>5.8999999999999999E-3</v>
      </c>
    </row>
    <row r="720" spans="1:7" x14ac:dyDescent="0.35">
      <c r="A720" s="5" t="s">
        <v>1659</v>
      </c>
      <c r="B720" s="9">
        <v>24.367000000000001</v>
      </c>
      <c r="C720" s="10">
        <v>25.074999999999999</v>
      </c>
      <c r="D720" s="10">
        <v>24.545000000000002</v>
      </c>
      <c r="E720" s="10">
        <v>24.24</v>
      </c>
      <c r="F720" s="10" t="s">
        <v>2671</v>
      </c>
      <c r="G720" s="11">
        <v>-2.41E-2</v>
      </c>
    </row>
    <row r="721" spans="1:7" x14ac:dyDescent="0.35">
      <c r="A721" s="5" t="s">
        <v>1660</v>
      </c>
      <c r="B721" s="9">
        <v>25.091999999999999</v>
      </c>
      <c r="C721" s="10">
        <v>24.585000000000001</v>
      </c>
      <c r="D721" s="10">
        <v>24.905000000000001</v>
      </c>
      <c r="E721" s="10">
        <v>24.254999999999999</v>
      </c>
      <c r="F721" s="10" t="s">
        <v>3279</v>
      </c>
      <c r="G721" s="11">
        <v>2.98E-2</v>
      </c>
    </row>
    <row r="722" spans="1:7" x14ac:dyDescent="0.35">
      <c r="A722" s="5" t="s">
        <v>1662</v>
      </c>
      <c r="B722" s="9">
        <v>24.445</v>
      </c>
      <c r="C722" s="10">
        <v>24.54</v>
      </c>
      <c r="D722" s="10">
        <v>24.63</v>
      </c>
      <c r="E722" s="10">
        <v>23.76</v>
      </c>
      <c r="F722" s="10" t="s">
        <v>3280</v>
      </c>
      <c r="G722" s="11">
        <v>-2.58E-2</v>
      </c>
    </row>
    <row r="723" spans="1:7" x14ac:dyDescent="0.35">
      <c r="A723" s="5" t="s">
        <v>1664</v>
      </c>
      <c r="B723" s="9">
        <v>23.991</v>
      </c>
      <c r="C723" s="10">
        <v>24.645</v>
      </c>
      <c r="D723" s="10">
        <v>23.94</v>
      </c>
      <c r="E723" s="10">
        <v>23.41</v>
      </c>
      <c r="F723" s="10" t="s">
        <v>3281</v>
      </c>
      <c r="G723" s="11">
        <v>-1.8599999999999998E-2</v>
      </c>
    </row>
    <row r="724" spans="1:7" x14ac:dyDescent="0.35">
      <c r="A724" s="5" t="s">
        <v>1666</v>
      </c>
      <c r="B724" s="9">
        <v>23.815999999999999</v>
      </c>
      <c r="C724" s="10">
        <v>23.725000000000001</v>
      </c>
      <c r="D724" s="10">
        <v>23.895</v>
      </c>
      <c r="E724" s="10">
        <v>23.274999999999999</v>
      </c>
      <c r="F724" s="10" t="s">
        <v>2709</v>
      </c>
      <c r="G724" s="11">
        <v>-7.3000000000000001E-3</v>
      </c>
    </row>
    <row r="725" spans="1:7" x14ac:dyDescent="0.35">
      <c r="A725" s="5" t="s">
        <v>1668</v>
      </c>
      <c r="B725" s="9">
        <v>23.352</v>
      </c>
      <c r="C725" s="10">
        <v>23.76</v>
      </c>
      <c r="D725" s="10">
        <v>23.254999999999999</v>
      </c>
      <c r="E725" s="10">
        <v>22.72</v>
      </c>
      <c r="F725" s="10" t="s">
        <v>3282</v>
      </c>
      <c r="G725" s="11">
        <v>-1.95E-2</v>
      </c>
    </row>
    <row r="726" spans="1:7" x14ac:dyDescent="0.35">
      <c r="A726" s="5" t="s">
        <v>1670</v>
      </c>
      <c r="B726" s="9">
        <v>22.922000000000001</v>
      </c>
      <c r="C726" s="10">
        <v>23.33</v>
      </c>
      <c r="D726" s="10">
        <v>22.99</v>
      </c>
      <c r="E726" s="10">
        <v>22.68</v>
      </c>
      <c r="F726" s="10" t="s">
        <v>3283</v>
      </c>
      <c r="G726" s="11">
        <v>-1.84E-2</v>
      </c>
    </row>
    <row r="727" spans="1:7" x14ac:dyDescent="0.35">
      <c r="A727" s="5" t="s">
        <v>1672</v>
      </c>
      <c r="B727" s="9">
        <v>22.841000000000001</v>
      </c>
      <c r="C727" s="10">
        <v>23.015000000000001</v>
      </c>
      <c r="D727" s="10">
        <v>23.06</v>
      </c>
      <c r="E727" s="10">
        <v>22.664999999999999</v>
      </c>
      <c r="F727" s="10" t="s">
        <v>3002</v>
      </c>
      <c r="G727" s="11">
        <v>-3.5000000000000001E-3</v>
      </c>
    </row>
    <row r="728" spans="1:7" x14ac:dyDescent="0.35">
      <c r="A728" s="5" t="s">
        <v>1674</v>
      </c>
      <c r="B728" s="9">
        <v>22.928999999999998</v>
      </c>
      <c r="C728" s="10">
        <v>22.835000000000001</v>
      </c>
      <c r="D728" s="10">
        <v>22.91</v>
      </c>
      <c r="E728" s="10">
        <v>22.61</v>
      </c>
      <c r="F728" s="10" t="s">
        <v>3284</v>
      </c>
      <c r="G728" s="11">
        <v>3.8999999999999998E-3</v>
      </c>
    </row>
    <row r="729" spans="1:7" x14ac:dyDescent="0.35">
      <c r="A729" s="5" t="s">
        <v>1676</v>
      </c>
      <c r="B729" s="9">
        <v>22.812999999999999</v>
      </c>
      <c r="C729" s="10">
        <v>22.725000000000001</v>
      </c>
      <c r="D729" s="10">
        <v>22.77</v>
      </c>
      <c r="E729" s="10">
        <v>22.265000000000001</v>
      </c>
      <c r="F729" s="10" t="s">
        <v>3285</v>
      </c>
      <c r="G729" s="11">
        <v>-5.1000000000000004E-3</v>
      </c>
    </row>
    <row r="730" spans="1:7" x14ac:dyDescent="0.35">
      <c r="A730" s="5" t="s">
        <v>1678</v>
      </c>
      <c r="B730" s="9">
        <v>22.759</v>
      </c>
      <c r="C730" s="10">
        <v>22.885000000000002</v>
      </c>
      <c r="D730" s="10">
        <v>22.855</v>
      </c>
      <c r="E730" s="10">
        <v>22.445</v>
      </c>
      <c r="F730" s="10" t="s">
        <v>3286</v>
      </c>
      <c r="G730" s="11">
        <v>-2.3999999999999998E-3</v>
      </c>
    </row>
    <row r="731" spans="1:7" x14ac:dyDescent="0.35">
      <c r="A731" s="5" t="s">
        <v>1680</v>
      </c>
      <c r="B731" s="9">
        <v>22.637</v>
      </c>
      <c r="C731" s="10">
        <v>22.795000000000002</v>
      </c>
      <c r="D731" s="10">
        <v>23.07</v>
      </c>
      <c r="E731" s="10">
        <v>22.39</v>
      </c>
      <c r="F731" s="10" t="s">
        <v>3287</v>
      </c>
      <c r="G731" s="11">
        <v>-5.4000000000000003E-3</v>
      </c>
    </row>
    <row r="732" spans="1:7" x14ac:dyDescent="0.35">
      <c r="A732" s="5" t="s">
        <v>1682</v>
      </c>
      <c r="B732" s="9">
        <v>22.821000000000002</v>
      </c>
      <c r="C732" s="10">
        <v>22.734999999999999</v>
      </c>
      <c r="D732" s="10">
        <v>22.92</v>
      </c>
      <c r="E732" s="10">
        <v>22.67</v>
      </c>
      <c r="F732" s="10" t="s">
        <v>3288</v>
      </c>
      <c r="G732" s="11">
        <v>8.0999999999999996E-3</v>
      </c>
    </row>
    <row r="733" spans="1:7" x14ac:dyDescent="0.35">
      <c r="A733" s="5" t="s">
        <v>1684</v>
      </c>
      <c r="B733" s="9">
        <v>23.443000000000001</v>
      </c>
      <c r="C733" s="10">
        <v>22.84</v>
      </c>
      <c r="D733" s="10">
        <v>23.515000000000001</v>
      </c>
      <c r="E733" s="10">
        <v>23.265000000000001</v>
      </c>
      <c r="F733" s="10" t="s">
        <v>3289</v>
      </c>
      <c r="G733" s="11">
        <v>2.7300000000000001E-2</v>
      </c>
    </row>
    <row r="734" spans="1:7" x14ac:dyDescent="0.35">
      <c r="A734" s="5" t="s">
        <v>1686</v>
      </c>
      <c r="B734" s="9">
        <v>23.553000000000001</v>
      </c>
      <c r="C734" s="10">
        <v>23.47</v>
      </c>
      <c r="D734" s="10">
        <v>24.43</v>
      </c>
      <c r="E734" s="10">
        <v>23.475000000000001</v>
      </c>
      <c r="F734" s="10" t="s">
        <v>3290</v>
      </c>
      <c r="G734" s="11">
        <v>4.7000000000000002E-3</v>
      </c>
    </row>
    <row r="735" spans="1:7" x14ac:dyDescent="0.35">
      <c r="A735" s="5" t="s">
        <v>1688</v>
      </c>
      <c r="B735" s="9">
        <v>24.495000000000001</v>
      </c>
      <c r="C735" s="10">
        <v>23.6</v>
      </c>
      <c r="D735" s="10">
        <v>24.42</v>
      </c>
      <c r="E735" s="10">
        <v>24.114999999999998</v>
      </c>
      <c r="F735" s="10" t="s">
        <v>3291</v>
      </c>
      <c r="G735" s="11">
        <v>0.04</v>
      </c>
    </row>
    <row r="736" spans="1:7" x14ac:dyDescent="0.35">
      <c r="A736" s="5" t="s">
        <v>1690</v>
      </c>
      <c r="B736" s="9">
        <v>24.343</v>
      </c>
      <c r="C736" s="10">
        <v>24.414999999999999</v>
      </c>
      <c r="D736" s="10">
        <v>24.44</v>
      </c>
      <c r="E736" s="10">
        <v>23.97</v>
      </c>
      <c r="F736" s="10" t="s">
        <v>3292</v>
      </c>
      <c r="G736" s="11">
        <v>-6.1999999999999998E-3</v>
      </c>
    </row>
    <row r="737" spans="1:7" x14ac:dyDescent="0.35">
      <c r="A737" s="5" t="s">
        <v>1692</v>
      </c>
      <c r="B737" s="9">
        <v>24.369</v>
      </c>
      <c r="C737" s="10">
        <v>24.41</v>
      </c>
      <c r="D737" s="10">
        <v>24.844999999999999</v>
      </c>
      <c r="E737" s="10">
        <v>24.204999999999998</v>
      </c>
      <c r="F737" s="10" t="s">
        <v>3293</v>
      </c>
      <c r="G737" s="11">
        <v>1.1000000000000001E-3</v>
      </c>
    </row>
    <row r="738" spans="1:7" x14ac:dyDescent="0.35">
      <c r="A738" s="5" t="s">
        <v>1694</v>
      </c>
      <c r="B738" s="9">
        <v>24.901</v>
      </c>
      <c r="C738" s="10">
        <v>24.385000000000002</v>
      </c>
      <c r="D738" s="10">
        <v>25.425000000000001</v>
      </c>
      <c r="E738" s="10">
        <v>24.92</v>
      </c>
      <c r="F738" s="10" t="s">
        <v>3294</v>
      </c>
      <c r="G738" s="11">
        <v>2.18E-2</v>
      </c>
    </row>
    <row r="739" spans="1:7" x14ac:dyDescent="0.35">
      <c r="A739" s="5" t="s">
        <v>1696</v>
      </c>
      <c r="B739" s="9">
        <v>24.978000000000002</v>
      </c>
      <c r="C739" s="10">
        <v>25.135000000000002</v>
      </c>
      <c r="D739" s="10">
        <v>25.06</v>
      </c>
      <c r="E739" s="10">
        <v>24.745000000000001</v>
      </c>
      <c r="F739" s="10" t="s">
        <v>3042</v>
      </c>
      <c r="G739" s="11">
        <v>3.0999999999999999E-3</v>
      </c>
    </row>
    <row r="740" spans="1:7" x14ac:dyDescent="0.35">
      <c r="A740" s="5" t="s">
        <v>1698</v>
      </c>
      <c r="B740" s="9">
        <v>24.692</v>
      </c>
      <c r="C740" s="10">
        <v>25.02</v>
      </c>
      <c r="D740" s="10">
        <v>25.22</v>
      </c>
      <c r="E740" s="10">
        <v>24.52</v>
      </c>
      <c r="F740" s="10" t="s">
        <v>3295</v>
      </c>
      <c r="G740" s="11">
        <v>-1.15E-2</v>
      </c>
    </row>
    <row r="741" spans="1:7" x14ac:dyDescent="0.35">
      <c r="A741" s="5" t="s">
        <v>3736</v>
      </c>
      <c r="B741" s="9">
        <v>24.532</v>
      </c>
      <c r="C741" s="10">
        <v>24.54</v>
      </c>
      <c r="D741" s="10">
        <v>24.655000000000001</v>
      </c>
      <c r="E741" s="10">
        <v>23.815000000000001</v>
      </c>
      <c r="F741" s="10" t="s">
        <v>3296</v>
      </c>
      <c r="G741" s="11">
        <v>-6.4999999999999997E-3</v>
      </c>
    </row>
    <row r="742" spans="1:7" x14ac:dyDescent="0.35">
      <c r="A742" s="5" t="s">
        <v>1700</v>
      </c>
      <c r="B742" s="9">
        <v>23.762</v>
      </c>
      <c r="C742" s="10">
        <v>24.254999999999999</v>
      </c>
      <c r="D742" s="10">
        <v>23.934999999999999</v>
      </c>
      <c r="E742" s="10">
        <v>23.315000000000001</v>
      </c>
      <c r="F742" s="10" t="s">
        <v>3297</v>
      </c>
      <c r="G742" s="11">
        <v>-3.1399999999999997E-2</v>
      </c>
    </row>
    <row r="743" spans="1:7" x14ac:dyDescent="0.35">
      <c r="A743" s="5" t="s">
        <v>1702</v>
      </c>
      <c r="B743" s="9">
        <v>23.396999999999998</v>
      </c>
      <c r="C743" s="10">
        <v>23.71</v>
      </c>
      <c r="D743" s="10">
        <v>23.5</v>
      </c>
      <c r="E743" s="10">
        <v>23.13</v>
      </c>
      <c r="F743" s="10" t="s">
        <v>3298</v>
      </c>
      <c r="G743" s="11">
        <v>-1.54E-2</v>
      </c>
    </row>
    <row r="744" spans="1:7" x14ac:dyDescent="0.35">
      <c r="A744" s="5" t="s">
        <v>1704</v>
      </c>
      <c r="B744" s="9">
        <v>23.134</v>
      </c>
      <c r="C744" s="10">
        <v>23.2</v>
      </c>
      <c r="D744" s="10">
        <v>23.454999999999998</v>
      </c>
      <c r="E744" s="10">
        <v>23.13</v>
      </c>
      <c r="F744" s="10" t="s">
        <v>3299</v>
      </c>
      <c r="G744" s="11">
        <v>-1.12E-2</v>
      </c>
    </row>
    <row r="745" spans="1:7" x14ac:dyDescent="0.35">
      <c r="A745" s="5" t="s">
        <v>1705</v>
      </c>
      <c r="B745" s="9">
        <v>23.282</v>
      </c>
      <c r="C745" s="10">
        <v>23.28</v>
      </c>
      <c r="D745" s="10">
        <v>23.48</v>
      </c>
      <c r="E745" s="10">
        <v>23.11</v>
      </c>
      <c r="F745" s="10" t="s">
        <v>3300</v>
      </c>
      <c r="G745" s="11">
        <v>6.4000000000000003E-3</v>
      </c>
    </row>
    <row r="746" spans="1:7" x14ac:dyDescent="0.35">
      <c r="A746" s="5" t="s">
        <v>1707</v>
      </c>
      <c r="B746" s="9">
        <v>23.300999999999998</v>
      </c>
      <c r="C746" s="10">
        <v>23.344999999999999</v>
      </c>
      <c r="D746" s="10">
        <v>23.39</v>
      </c>
      <c r="E746" s="10">
        <v>23.024999999999999</v>
      </c>
      <c r="F746" s="10" t="s">
        <v>3301</v>
      </c>
      <c r="G746" s="11">
        <v>8.0000000000000004E-4</v>
      </c>
    </row>
    <row r="747" spans="1:7" x14ac:dyDescent="0.35">
      <c r="A747" s="5" t="s">
        <v>1709</v>
      </c>
      <c r="B747" s="9">
        <v>23.08</v>
      </c>
      <c r="C747" s="10">
        <v>23.295000000000002</v>
      </c>
      <c r="D747" s="10">
        <v>23.265000000000001</v>
      </c>
      <c r="E747" s="10">
        <v>22.555</v>
      </c>
      <c r="F747" s="10" t="s">
        <v>3302</v>
      </c>
      <c r="G747" s="11">
        <v>-9.4999999999999998E-3</v>
      </c>
    </row>
    <row r="748" spans="1:7" x14ac:dyDescent="0.35">
      <c r="A748" s="5" t="s">
        <v>1711</v>
      </c>
      <c r="B748" s="9">
        <v>22.902000000000001</v>
      </c>
      <c r="C748" s="10">
        <v>22.984999999999999</v>
      </c>
      <c r="D748" s="10">
        <v>23.585000000000001</v>
      </c>
      <c r="E748" s="10">
        <v>22.91</v>
      </c>
      <c r="F748" s="10" t="s">
        <v>3303</v>
      </c>
      <c r="G748" s="11">
        <v>-7.7000000000000002E-3</v>
      </c>
    </row>
    <row r="749" spans="1:7" x14ac:dyDescent="0.35">
      <c r="A749" s="5" t="s">
        <v>1713</v>
      </c>
      <c r="B749" s="9">
        <v>23.399000000000001</v>
      </c>
      <c r="C749" s="10">
        <v>23.22</v>
      </c>
      <c r="D749" s="10">
        <v>23.704999999999998</v>
      </c>
      <c r="E749" s="10">
        <v>23.364999999999998</v>
      </c>
      <c r="F749" s="10" t="s">
        <v>3304</v>
      </c>
      <c r="G749" s="11">
        <v>2.1700000000000001E-2</v>
      </c>
    </row>
    <row r="750" spans="1:7" x14ac:dyDescent="0.35">
      <c r="A750" s="5" t="s">
        <v>1715</v>
      </c>
      <c r="B750" s="9">
        <v>23.350999999999999</v>
      </c>
      <c r="C750" s="10">
        <v>23.49</v>
      </c>
      <c r="D750" s="10">
        <v>23.88</v>
      </c>
      <c r="E750" s="10">
        <v>23.324999999999999</v>
      </c>
      <c r="F750" s="10" t="s">
        <v>3305</v>
      </c>
      <c r="G750" s="11">
        <v>-2.0999999999999999E-3</v>
      </c>
    </row>
    <row r="751" spans="1:7" x14ac:dyDescent="0.35">
      <c r="A751" s="5" t="s">
        <v>1717</v>
      </c>
      <c r="B751" s="9">
        <v>23.728000000000002</v>
      </c>
      <c r="C751" s="10">
        <v>23.225000000000001</v>
      </c>
      <c r="D751" s="10">
        <v>23.745000000000001</v>
      </c>
      <c r="E751" s="10">
        <v>23.06</v>
      </c>
      <c r="F751" s="10" t="s">
        <v>3306</v>
      </c>
      <c r="G751" s="11">
        <v>1.61E-2</v>
      </c>
    </row>
    <row r="752" spans="1:7" x14ac:dyDescent="0.35">
      <c r="A752" s="5" t="s">
        <v>1719</v>
      </c>
      <c r="B752" s="9">
        <v>23.582000000000001</v>
      </c>
      <c r="C752" s="10">
        <v>23.335000000000001</v>
      </c>
      <c r="D752" s="10">
        <v>24.05</v>
      </c>
      <c r="E752" s="10">
        <v>23.664999999999999</v>
      </c>
      <c r="F752" s="10" t="s">
        <v>3115</v>
      </c>
      <c r="G752" s="11">
        <v>-6.1999999999999998E-3</v>
      </c>
    </row>
    <row r="753" spans="1:7" x14ac:dyDescent="0.35">
      <c r="A753" s="5" t="s">
        <v>1721</v>
      </c>
      <c r="B753" s="9">
        <v>23.277000000000001</v>
      </c>
      <c r="C753" s="10">
        <v>23.695</v>
      </c>
      <c r="D753" s="10">
        <v>23.39</v>
      </c>
      <c r="E753" s="10">
        <v>23.1</v>
      </c>
      <c r="F753" s="10" t="s">
        <v>3307</v>
      </c>
      <c r="G753" s="11">
        <v>-1.29E-2</v>
      </c>
    </row>
    <row r="754" spans="1:7" x14ac:dyDescent="0.35">
      <c r="A754" s="5" t="s">
        <v>1723</v>
      </c>
      <c r="B754" s="9">
        <v>23.085999999999999</v>
      </c>
      <c r="C754" s="10">
        <v>23.17</v>
      </c>
      <c r="D754" s="10">
        <v>23.12</v>
      </c>
      <c r="E754" s="10">
        <v>22.64</v>
      </c>
      <c r="F754" s="10" t="s">
        <v>3308</v>
      </c>
      <c r="G754" s="11">
        <v>-8.2000000000000007E-3</v>
      </c>
    </row>
    <row r="755" spans="1:7" x14ac:dyDescent="0.35">
      <c r="A755" s="5" t="s">
        <v>1725</v>
      </c>
      <c r="B755" s="9">
        <v>22.609000000000002</v>
      </c>
      <c r="C755" s="10">
        <v>22.94</v>
      </c>
      <c r="D755" s="10">
        <v>22.954999999999998</v>
      </c>
      <c r="E755" s="10">
        <v>22.61</v>
      </c>
      <c r="F755" s="10" t="s">
        <v>3309</v>
      </c>
      <c r="G755" s="11">
        <v>-2.07E-2</v>
      </c>
    </row>
    <row r="756" spans="1:7" x14ac:dyDescent="0.35">
      <c r="A756" s="5" t="s">
        <v>1727</v>
      </c>
      <c r="B756" s="9">
        <v>22.741</v>
      </c>
      <c r="C756" s="10">
        <v>22.8</v>
      </c>
      <c r="D756" s="10">
        <v>23.805</v>
      </c>
      <c r="E756" s="10">
        <v>22.324999999999999</v>
      </c>
      <c r="F756" s="10" t="s">
        <v>3310</v>
      </c>
      <c r="G756" s="11">
        <v>5.7999999999999996E-3</v>
      </c>
    </row>
    <row r="757" spans="1:7" x14ac:dyDescent="0.35">
      <c r="A757" s="5" t="s">
        <v>1729</v>
      </c>
      <c r="B757" s="9">
        <v>21.420999999999999</v>
      </c>
      <c r="C757" s="10">
        <v>22.41</v>
      </c>
      <c r="D757" s="10">
        <v>21.594999999999999</v>
      </c>
      <c r="E757" s="10">
        <v>20.87</v>
      </c>
      <c r="F757" s="10" t="s">
        <v>3311</v>
      </c>
      <c r="G757" s="11">
        <v>-5.8000000000000003E-2</v>
      </c>
    </row>
    <row r="758" spans="1:7" x14ac:dyDescent="0.35">
      <c r="A758" s="5" t="s">
        <v>1731</v>
      </c>
      <c r="B758" s="9">
        <v>21.376999999999999</v>
      </c>
      <c r="C758" s="10">
        <v>21.31</v>
      </c>
      <c r="D758" s="10">
        <v>21.57</v>
      </c>
      <c r="E758" s="10">
        <v>20.85</v>
      </c>
      <c r="F758" s="10" t="s">
        <v>3312</v>
      </c>
      <c r="G758" s="11">
        <v>-2.0999999999999999E-3</v>
      </c>
    </row>
    <row r="759" spans="1:7" x14ac:dyDescent="0.35">
      <c r="A759" s="5" t="s">
        <v>1733</v>
      </c>
      <c r="B759" s="9">
        <v>21.146000000000001</v>
      </c>
      <c r="C759" s="10">
        <v>21.375</v>
      </c>
      <c r="D759" s="10">
        <v>21.454999999999998</v>
      </c>
      <c r="E759" s="10">
        <v>20.855</v>
      </c>
      <c r="F759" s="10" t="s">
        <v>3313</v>
      </c>
      <c r="G759" s="11">
        <v>-1.0800000000000001E-2</v>
      </c>
    </row>
    <row r="760" spans="1:7" x14ac:dyDescent="0.35">
      <c r="A760" s="5" t="s">
        <v>1735</v>
      </c>
      <c r="B760" s="9">
        <v>21.018999999999998</v>
      </c>
      <c r="C760" s="10">
        <v>21.18</v>
      </c>
      <c r="D760" s="10">
        <v>21.78</v>
      </c>
      <c r="E760" s="10">
        <v>20.94</v>
      </c>
      <c r="F760" s="10" t="s">
        <v>3314</v>
      </c>
      <c r="G760" s="11">
        <v>-6.0000000000000001E-3</v>
      </c>
    </row>
    <row r="761" spans="1:7" x14ac:dyDescent="0.35">
      <c r="A761" s="5" t="s">
        <v>1736</v>
      </c>
      <c r="B761" s="9">
        <v>21.923999999999999</v>
      </c>
      <c r="C761" s="10">
        <v>21.94</v>
      </c>
      <c r="D761" s="10">
        <v>22.11</v>
      </c>
      <c r="E761" s="10">
        <v>21.774999999999999</v>
      </c>
      <c r="F761" s="10" t="s">
        <v>3315</v>
      </c>
      <c r="G761" s="11">
        <v>4.3099999999999999E-2</v>
      </c>
    </row>
    <row r="762" spans="1:7" x14ac:dyDescent="0.35">
      <c r="A762" s="5" t="s">
        <v>1738</v>
      </c>
      <c r="B762" s="9">
        <v>21.952999999999999</v>
      </c>
      <c r="C762" s="10">
        <v>22.03</v>
      </c>
      <c r="D762" s="10">
        <v>22.274999999999999</v>
      </c>
      <c r="E762" s="10">
        <v>21.954999999999998</v>
      </c>
      <c r="F762" s="10" t="s">
        <v>3316</v>
      </c>
      <c r="G762" s="11">
        <v>1.2999999999999999E-3</v>
      </c>
    </row>
    <row r="763" spans="1:7" x14ac:dyDescent="0.35">
      <c r="A763" s="5" t="s">
        <v>1740</v>
      </c>
      <c r="B763" s="9">
        <v>22.132999999999999</v>
      </c>
      <c r="C763" s="10">
        <v>22.015000000000001</v>
      </c>
      <c r="D763" s="10">
        <v>22.39</v>
      </c>
      <c r="E763" s="10">
        <v>21.88</v>
      </c>
      <c r="F763" s="10" t="s">
        <v>3317</v>
      </c>
      <c r="G763" s="11">
        <v>8.2000000000000007E-3</v>
      </c>
    </row>
    <row r="764" spans="1:7" x14ac:dyDescent="0.35">
      <c r="A764" s="5" t="s">
        <v>1742</v>
      </c>
      <c r="B764" s="9">
        <v>21.959</v>
      </c>
      <c r="C764" s="10">
        <v>22.204999999999998</v>
      </c>
      <c r="D764" s="10">
        <v>22.99</v>
      </c>
      <c r="E764" s="10">
        <v>21.96</v>
      </c>
      <c r="F764" s="10" t="s">
        <v>3318</v>
      </c>
      <c r="G764" s="11">
        <v>-7.9000000000000008E-3</v>
      </c>
    </row>
    <row r="765" spans="1:7" x14ac:dyDescent="0.35">
      <c r="A765" s="5" t="s">
        <v>1744</v>
      </c>
      <c r="B765" s="9">
        <v>22.765000000000001</v>
      </c>
      <c r="C765" s="10">
        <v>22.91</v>
      </c>
      <c r="D765" s="10">
        <v>23.18</v>
      </c>
      <c r="E765" s="10">
        <v>22.535</v>
      </c>
      <c r="F765" s="10" t="s">
        <v>3319</v>
      </c>
      <c r="G765" s="11">
        <v>3.6700000000000003E-2</v>
      </c>
    </row>
    <row r="766" spans="1:7" x14ac:dyDescent="0.35">
      <c r="A766" s="5" t="s">
        <v>1746</v>
      </c>
      <c r="B766" s="9">
        <v>23.024000000000001</v>
      </c>
      <c r="C766" s="10">
        <v>22.78</v>
      </c>
      <c r="D766" s="10">
        <v>23.49</v>
      </c>
      <c r="E766" s="10">
        <v>22.84</v>
      </c>
      <c r="F766" s="10" t="s">
        <v>2937</v>
      </c>
      <c r="G766" s="11">
        <v>1.14E-2</v>
      </c>
    </row>
    <row r="767" spans="1:7" x14ac:dyDescent="0.35">
      <c r="A767" s="5" t="s">
        <v>1748</v>
      </c>
      <c r="B767" s="9">
        <v>23.099</v>
      </c>
      <c r="C767" s="10">
        <v>22.975000000000001</v>
      </c>
      <c r="D767" s="10">
        <v>23.23</v>
      </c>
      <c r="E767" s="10">
        <v>22.785</v>
      </c>
      <c r="F767" s="10" t="s">
        <v>3320</v>
      </c>
      <c r="G767" s="11">
        <v>3.3E-3</v>
      </c>
    </row>
    <row r="768" spans="1:7" x14ac:dyDescent="0.35">
      <c r="A768" s="5" t="s">
        <v>1750</v>
      </c>
      <c r="B768" s="9">
        <v>23.030999999999999</v>
      </c>
      <c r="C768" s="10">
        <v>23.015000000000001</v>
      </c>
      <c r="D768" s="10">
        <v>23.88</v>
      </c>
      <c r="E768" s="10">
        <v>23.015000000000001</v>
      </c>
      <c r="F768" s="10" t="s">
        <v>3321</v>
      </c>
      <c r="G768" s="11">
        <v>-2.8999999999999998E-3</v>
      </c>
    </row>
    <row r="769" spans="1:7" x14ac:dyDescent="0.35">
      <c r="A769" s="5" t="s">
        <v>1752</v>
      </c>
      <c r="B769" s="9">
        <v>23.21</v>
      </c>
      <c r="C769" s="10">
        <v>23.504999999999999</v>
      </c>
      <c r="D769" s="10">
        <v>23.35</v>
      </c>
      <c r="E769" s="10">
        <v>22.805</v>
      </c>
      <c r="F769" s="10" t="s">
        <v>3322</v>
      </c>
      <c r="G769" s="11">
        <v>7.7999999999999996E-3</v>
      </c>
    </row>
    <row r="770" spans="1:7" x14ac:dyDescent="0.35">
      <c r="A770" s="5" t="s">
        <v>1754</v>
      </c>
      <c r="B770" s="9">
        <v>23.116</v>
      </c>
      <c r="C770" s="10">
        <v>23.094999999999999</v>
      </c>
      <c r="D770" s="10">
        <v>23.16</v>
      </c>
      <c r="E770" s="10">
        <v>22.69</v>
      </c>
      <c r="F770" s="10" t="s">
        <v>3323</v>
      </c>
      <c r="G770" s="11">
        <v>-4.0000000000000001E-3</v>
      </c>
    </row>
    <row r="771" spans="1:7" x14ac:dyDescent="0.35">
      <c r="A771" s="5" t="s">
        <v>1755</v>
      </c>
      <c r="B771" s="9">
        <v>23.007000000000001</v>
      </c>
      <c r="C771" s="10">
        <v>23.06</v>
      </c>
      <c r="D771" s="10">
        <v>23.274999999999999</v>
      </c>
      <c r="E771" s="10">
        <v>22.565000000000001</v>
      </c>
      <c r="F771" s="10" t="s">
        <v>3324</v>
      </c>
      <c r="G771" s="11">
        <v>-4.7000000000000002E-3</v>
      </c>
    </row>
    <row r="772" spans="1:7" x14ac:dyDescent="0.35">
      <c r="A772" s="5" t="s">
        <v>1757</v>
      </c>
      <c r="B772" s="9">
        <v>22.908000000000001</v>
      </c>
      <c r="C772" s="10">
        <v>23.004999999999999</v>
      </c>
      <c r="D772" s="10">
        <v>23.254999999999999</v>
      </c>
      <c r="E772" s="10">
        <v>22.774999999999999</v>
      </c>
      <c r="F772" s="10" t="s">
        <v>3325</v>
      </c>
      <c r="G772" s="11">
        <v>-4.3E-3</v>
      </c>
    </row>
    <row r="773" spans="1:7" x14ac:dyDescent="0.35">
      <c r="A773" s="5" t="s">
        <v>1759</v>
      </c>
      <c r="B773" s="9">
        <v>23.518999999999998</v>
      </c>
      <c r="C773" s="10">
        <v>23.324999999999999</v>
      </c>
      <c r="D773" s="10">
        <v>23.465</v>
      </c>
      <c r="E773" s="10">
        <v>22.84</v>
      </c>
      <c r="F773" s="10" t="s">
        <v>3326</v>
      </c>
      <c r="G773" s="11">
        <v>2.6700000000000002E-2</v>
      </c>
    </row>
    <row r="774" spans="1:7" x14ac:dyDescent="0.35">
      <c r="A774" s="5" t="s">
        <v>1761</v>
      </c>
      <c r="B774" s="9">
        <v>23.074999999999999</v>
      </c>
      <c r="C774" s="10">
        <v>23.555</v>
      </c>
      <c r="D774" s="10">
        <v>23.13</v>
      </c>
      <c r="E774" s="10">
        <v>22.645</v>
      </c>
      <c r="F774" s="10" t="s">
        <v>3327</v>
      </c>
      <c r="G774" s="11">
        <v>-1.89E-2</v>
      </c>
    </row>
    <row r="775" spans="1:7" x14ac:dyDescent="0.35">
      <c r="A775" s="5" t="s">
        <v>1763</v>
      </c>
      <c r="B775" s="9">
        <v>22.911999999999999</v>
      </c>
      <c r="C775" s="10">
        <v>22.97</v>
      </c>
      <c r="D775" s="10">
        <v>23.24</v>
      </c>
      <c r="E775" s="10">
        <v>22.754999999999999</v>
      </c>
      <c r="F775" s="10" t="s">
        <v>3328</v>
      </c>
      <c r="G775" s="11">
        <v>-7.1000000000000004E-3</v>
      </c>
    </row>
    <row r="776" spans="1:7" x14ac:dyDescent="0.35">
      <c r="A776" s="5" t="s">
        <v>1765</v>
      </c>
      <c r="B776" s="9">
        <v>22.971</v>
      </c>
      <c r="C776" s="10">
        <v>23.234999999999999</v>
      </c>
      <c r="D776" s="10">
        <v>23.414999999999999</v>
      </c>
      <c r="E776" s="10">
        <v>22.675000000000001</v>
      </c>
      <c r="F776" s="10" t="s">
        <v>3329</v>
      </c>
      <c r="G776" s="11">
        <v>2.5999999999999999E-3</v>
      </c>
    </row>
    <row r="777" spans="1:7" x14ac:dyDescent="0.35">
      <c r="A777" s="5" t="s">
        <v>1767</v>
      </c>
      <c r="B777" s="9">
        <v>23.355</v>
      </c>
      <c r="C777" s="10">
        <v>23.395</v>
      </c>
      <c r="D777" s="10">
        <v>23.17</v>
      </c>
      <c r="E777" s="10">
        <v>22.504999999999999</v>
      </c>
      <c r="F777" s="10" t="s">
        <v>3330</v>
      </c>
      <c r="G777" s="11">
        <v>1.67E-2</v>
      </c>
    </row>
    <row r="778" spans="1:7" x14ac:dyDescent="0.35">
      <c r="A778" s="5" t="s">
        <v>1769</v>
      </c>
      <c r="B778" s="9">
        <v>22.709</v>
      </c>
      <c r="C778" s="10">
        <v>23.245000000000001</v>
      </c>
      <c r="D778" s="10">
        <v>22.934999999999999</v>
      </c>
      <c r="E778" s="10">
        <v>22.375</v>
      </c>
      <c r="F778" s="10" t="s">
        <v>3186</v>
      </c>
      <c r="G778" s="11">
        <v>-2.7699999999999999E-2</v>
      </c>
    </row>
    <row r="779" spans="1:7" x14ac:dyDescent="0.35">
      <c r="A779" s="5" t="s">
        <v>1771</v>
      </c>
      <c r="B779" s="9">
        <v>22.846</v>
      </c>
      <c r="C779" s="10">
        <v>22.72</v>
      </c>
      <c r="D779" s="10">
        <v>23.07</v>
      </c>
      <c r="E779" s="10">
        <v>22.414999999999999</v>
      </c>
      <c r="F779" s="10" t="s">
        <v>3331</v>
      </c>
      <c r="G779" s="11">
        <v>6.0000000000000001E-3</v>
      </c>
    </row>
    <row r="780" spans="1:7" x14ac:dyDescent="0.35">
      <c r="A780" s="5" t="s">
        <v>1773</v>
      </c>
      <c r="B780" s="9">
        <v>23.023</v>
      </c>
      <c r="C780" s="10">
        <v>22.61</v>
      </c>
      <c r="D780" s="10">
        <v>22.8</v>
      </c>
      <c r="E780" s="10">
        <v>22.23</v>
      </c>
      <c r="F780" s="10" t="s">
        <v>3332</v>
      </c>
      <c r="G780" s="11">
        <v>7.7000000000000002E-3</v>
      </c>
    </row>
    <row r="781" spans="1:7" x14ac:dyDescent="0.35">
      <c r="A781" s="5" t="s">
        <v>1775</v>
      </c>
      <c r="B781" s="9">
        <v>22.477</v>
      </c>
      <c r="C781" s="10">
        <v>22.5</v>
      </c>
      <c r="D781" s="10">
        <v>23.254999999999999</v>
      </c>
      <c r="E781" s="10">
        <v>22.15</v>
      </c>
      <c r="F781" s="10" t="s">
        <v>3333</v>
      </c>
      <c r="G781" s="11">
        <v>-2.3699999999999999E-2</v>
      </c>
    </row>
    <row r="782" spans="1:7" x14ac:dyDescent="0.35">
      <c r="A782" s="5" t="s">
        <v>1777</v>
      </c>
      <c r="B782" s="9">
        <v>23.248999999999999</v>
      </c>
      <c r="C782" s="10">
        <v>22.53</v>
      </c>
      <c r="D782" s="10">
        <v>23.71</v>
      </c>
      <c r="E782" s="10">
        <v>23.094999999999999</v>
      </c>
      <c r="F782" s="10" t="s">
        <v>3334</v>
      </c>
      <c r="G782" s="11">
        <v>3.4299999999999997E-2</v>
      </c>
    </row>
    <row r="783" spans="1:7" x14ac:dyDescent="0.35">
      <c r="A783" s="5" t="s">
        <v>1779</v>
      </c>
      <c r="B783" s="9">
        <v>23.658999999999999</v>
      </c>
      <c r="C783" s="10">
        <v>23.27</v>
      </c>
      <c r="D783" s="10">
        <v>24.164999999999999</v>
      </c>
      <c r="E783" s="10">
        <v>23.35</v>
      </c>
      <c r="F783" s="10" t="s">
        <v>3335</v>
      </c>
      <c r="G783" s="11">
        <v>1.7600000000000001E-2</v>
      </c>
    </row>
    <row r="784" spans="1:7" x14ac:dyDescent="0.35">
      <c r="A784" s="5" t="s">
        <v>1781</v>
      </c>
      <c r="B784" s="9">
        <v>24.053000000000001</v>
      </c>
      <c r="C784" s="10">
        <v>23.664999999999999</v>
      </c>
      <c r="D784" s="10">
        <v>24.22</v>
      </c>
      <c r="E784" s="10">
        <v>23.73</v>
      </c>
      <c r="F784" s="10" t="s">
        <v>3336</v>
      </c>
      <c r="G784" s="11">
        <v>1.67E-2</v>
      </c>
    </row>
    <row r="785" spans="1:7" x14ac:dyDescent="0.35">
      <c r="A785" s="5" t="s">
        <v>1783</v>
      </c>
      <c r="B785" s="9">
        <v>23.731999999999999</v>
      </c>
      <c r="C785" s="10">
        <v>23.835000000000001</v>
      </c>
      <c r="D785" s="10">
        <v>24.08</v>
      </c>
      <c r="E785" s="10">
        <v>23.47</v>
      </c>
      <c r="F785" s="10" t="s">
        <v>3337</v>
      </c>
      <c r="G785" s="11">
        <v>-1.3299999999999999E-2</v>
      </c>
    </row>
    <row r="786" spans="1:7" x14ac:dyDescent="0.35">
      <c r="A786" s="5" t="s">
        <v>1785</v>
      </c>
      <c r="B786" s="9">
        <v>23.989000000000001</v>
      </c>
      <c r="C786" s="10">
        <v>23.695</v>
      </c>
      <c r="D786" s="10">
        <v>24.004999999999999</v>
      </c>
      <c r="E786" s="10">
        <v>23.58</v>
      </c>
      <c r="F786" s="10" t="s">
        <v>2952</v>
      </c>
      <c r="G786" s="11">
        <v>1.0800000000000001E-2</v>
      </c>
    </row>
    <row r="787" spans="1:7" x14ac:dyDescent="0.35">
      <c r="A787" s="5" t="s">
        <v>1787</v>
      </c>
      <c r="B787" s="9">
        <v>23.808</v>
      </c>
      <c r="C787" s="10">
        <v>23.96</v>
      </c>
      <c r="D787" s="10">
        <v>24.395</v>
      </c>
      <c r="E787" s="10">
        <v>23.61</v>
      </c>
      <c r="F787" s="10" t="s">
        <v>3338</v>
      </c>
      <c r="G787" s="11">
        <v>-7.4999999999999997E-3</v>
      </c>
    </row>
    <row r="788" spans="1:7" x14ac:dyDescent="0.35">
      <c r="A788" s="5" t="s">
        <v>1788</v>
      </c>
      <c r="B788" s="9">
        <v>24.803000000000001</v>
      </c>
      <c r="C788" s="10">
        <v>24.51</v>
      </c>
      <c r="D788" s="10">
        <v>25.065000000000001</v>
      </c>
      <c r="E788" s="10">
        <v>24.585000000000001</v>
      </c>
      <c r="F788" s="10" t="s">
        <v>3339</v>
      </c>
      <c r="G788" s="11">
        <v>4.1799999999999997E-2</v>
      </c>
    </row>
    <row r="789" spans="1:7" x14ac:dyDescent="0.35">
      <c r="A789" s="5" t="s">
        <v>1790</v>
      </c>
      <c r="B789" s="9">
        <v>25.065999999999999</v>
      </c>
      <c r="C789" s="10">
        <v>24.815000000000001</v>
      </c>
      <c r="D789" s="10">
        <v>25.68</v>
      </c>
      <c r="E789" s="10">
        <v>25.245000000000001</v>
      </c>
      <c r="F789" s="10" t="s">
        <v>3340</v>
      </c>
      <c r="G789" s="11">
        <v>1.06E-2</v>
      </c>
    </row>
    <row r="790" spans="1:7" x14ac:dyDescent="0.35">
      <c r="A790" s="5" t="s">
        <v>1792</v>
      </c>
      <c r="B790" s="9">
        <v>25.341999999999999</v>
      </c>
      <c r="C790" s="10">
        <v>25.43</v>
      </c>
      <c r="D790" s="10">
        <v>25.7</v>
      </c>
      <c r="E790" s="10">
        <v>25.324999999999999</v>
      </c>
      <c r="F790" s="10" t="s">
        <v>3341</v>
      </c>
      <c r="G790" s="11">
        <v>1.0999999999999999E-2</v>
      </c>
    </row>
    <row r="791" spans="1:7" x14ac:dyDescent="0.35">
      <c r="A791" s="5" t="s">
        <v>1794</v>
      </c>
      <c r="B791" s="9">
        <v>25.541</v>
      </c>
      <c r="C791" s="10">
        <v>25.375</v>
      </c>
      <c r="D791" s="10">
        <v>25.94</v>
      </c>
      <c r="E791" s="10">
        <v>25.48</v>
      </c>
      <c r="F791" s="10" t="s">
        <v>3342</v>
      </c>
      <c r="G791" s="11">
        <v>7.9000000000000008E-3</v>
      </c>
    </row>
    <row r="792" spans="1:7" x14ac:dyDescent="0.35">
      <c r="A792" s="5" t="s">
        <v>1796</v>
      </c>
      <c r="B792" s="9">
        <v>24.786000000000001</v>
      </c>
      <c r="C792" s="10">
        <v>26.05</v>
      </c>
      <c r="D792" s="10">
        <v>25.02</v>
      </c>
      <c r="E792" s="10">
        <v>24.32</v>
      </c>
      <c r="F792" s="10" t="s">
        <v>3250</v>
      </c>
      <c r="G792" s="11">
        <v>-2.9600000000000001E-2</v>
      </c>
    </row>
    <row r="793" spans="1:7" x14ac:dyDescent="0.35">
      <c r="A793" s="5" t="s">
        <v>1798</v>
      </c>
      <c r="B793" s="9">
        <v>24.43</v>
      </c>
      <c r="C793" s="10">
        <v>24.78</v>
      </c>
      <c r="D793" s="10">
        <v>24.715</v>
      </c>
      <c r="E793" s="10">
        <v>24.21</v>
      </c>
      <c r="F793" s="10" t="s">
        <v>3343</v>
      </c>
      <c r="G793" s="11">
        <v>-1.44E-2</v>
      </c>
    </row>
    <row r="794" spans="1:7" x14ac:dyDescent="0.35">
      <c r="A794" s="5" t="s">
        <v>1800</v>
      </c>
      <c r="B794" s="9">
        <v>24.111999999999998</v>
      </c>
      <c r="C794" s="10">
        <v>24.475000000000001</v>
      </c>
      <c r="D794" s="10">
        <v>24.35</v>
      </c>
      <c r="E794" s="10">
        <v>23.905000000000001</v>
      </c>
      <c r="F794" s="10" t="s">
        <v>3344</v>
      </c>
      <c r="G794" s="11">
        <v>-1.2999999999999999E-2</v>
      </c>
    </row>
    <row r="795" spans="1:7" x14ac:dyDescent="0.35">
      <c r="A795" s="5" t="s">
        <v>1802</v>
      </c>
      <c r="B795" s="9">
        <v>23.942</v>
      </c>
      <c r="C795" s="10">
        <v>24.125</v>
      </c>
      <c r="D795" s="10">
        <v>24.225000000000001</v>
      </c>
      <c r="E795" s="10">
        <v>23.245000000000001</v>
      </c>
      <c r="F795" s="10" t="s">
        <v>3345</v>
      </c>
      <c r="G795" s="11">
        <v>-7.1000000000000004E-3</v>
      </c>
    </row>
    <row r="796" spans="1:7" x14ac:dyDescent="0.35">
      <c r="A796" s="5" t="s">
        <v>1804</v>
      </c>
      <c r="B796" s="9">
        <v>22.952999999999999</v>
      </c>
      <c r="C796" s="10">
        <v>23.225000000000001</v>
      </c>
      <c r="D796" s="10">
        <v>23.45</v>
      </c>
      <c r="E796" s="10">
        <v>22.975000000000001</v>
      </c>
      <c r="F796" s="10" t="s">
        <v>3346</v>
      </c>
      <c r="G796" s="11">
        <v>-4.1300000000000003E-2</v>
      </c>
    </row>
    <row r="797" spans="1:7" x14ac:dyDescent="0.35">
      <c r="A797" s="5" t="s">
        <v>1806</v>
      </c>
      <c r="B797" s="9">
        <v>22.905999999999999</v>
      </c>
      <c r="C797" s="10">
        <v>23.02</v>
      </c>
      <c r="D797" s="10">
        <v>24.125</v>
      </c>
      <c r="E797" s="10">
        <v>22.785</v>
      </c>
      <c r="F797" s="10" t="s">
        <v>3347</v>
      </c>
      <c r="G797" s="11">
        <v>-2E-3</v>
      </c>
    </row>
    <row r="798" spans="1:7" x14ac:dyDescent="0.35">
      <c r="A798" s="5" t="s">
        <v>1808</v>
      </c>
      <c r="B798" s="9">
        <v>22.815000000000001</v>
      </c>
      <c r="C798" s="10">
        <v>22.85</v>
      </c>
      <c r="D798" s="10">
        <v>24.524999999999999</v>
      </c>
      <c r="E798" s="10">
        <v>24.06</v>
      </c>
      <c r="F798" s="10" t="s">
        <v>3348</v>
      </c>
      <c r="G798" s="11">
        <v>-4.0000000000000001E-3</v>
      </c>
    </row>
    <row r="799" spans="1:7" x14ac:dyDescent="0.35">
      <c r="A799" s="5" t="s">
        <v>1810</v>
      </c>
      <c r="B799" s="9">
        <v>24.273</v>
      </c>
      <c r="C799" s="10">
        <v>23.98</v>
      </c>
      <c r="D799" s="10">
        <v>24.59</v>
      </c>
      <c r="E799" s="10">
        <v>24.05</v>
      </c>
      <c r="F799" s="10" t="s">
        <v>3349</v>
      </c>
      <c r="G799" s="11">
        <v>6.3899999999999998E-2</v>
      </c>
    </row>
    <row r="800" spans="1:7" x14ac:dyDescent="0.35">
      <c r="A800" s="5" t="s">
        <v>1812</v>
      </c>
      <c r="B800" s="9">
        <v>23.994</v>
      </c>
      <c r="C800" s="10">
        <v>23.98</v>
      </c>
      <c r="D800" s="10">
        <v>24.475000000000001</v>
      </c>
      <c r="E800" s="10">
        <v>24.04</v>
      </c>
      <c r="F800" s="10" t="s">
        <v>3350</v>
      </c>
      <c r="G800" s="11">
        <v>-1.15E-2</v>
      </c>
    </row>
    <row r="801" spans="1:7" x14ac:dyDescent="0.35">
      <c r="A801" s="5" t="s">
        <v>1814</v>
      </c>
      <c r="B801" s="9">
        <v>24.206</v>
      </c>
      <c r="C801" s="10">
        <v>24.024999999999999</v>
      </c>
      <c r="D801" s="10">
        <v>24.75</v>
      </c>
      <c r="E801" s="10">
        <v>24.245000000000001</v>
      </c>
      <c r="F801" s="10" t="s">
        <v>3351</v>
      </c>
      <c r="G801" s="11">
        <v>8.8000000000000005E-3</v>
      </c>
    </row>
    <row r="802" spans="1:7" x14ac:dyDescent="0.35">
      <c r="A802" s="5" t="s">
        <v>1816</v>
      </c>
      <c r="B802" s="9">
        <v>24.515999999999998</v>
      </c>
      <c r="C802" s="10">
        <v>24.285</v>
      </c>
      <c r="D802" s="10">
        <v>24.79</v>
      </c>
      <c r="E802" s="10">
        <v>24.43</v>
      </c>
      <c r="F802" s="10" t="s">
        <v>3352</v>
      </c>
      <c r="G802" s="11">
        <v>1.2800000000000001E-2</v>
      </c>
    </row>
    <row r="803" spans="1:7" x14ac:dyDescent="0.35">
      <c r="A803" s="5" t="s">
        <v>1818</v>
      </c>
      <c r="B803" s="9">
        <v>24.468</v>
      </c>
      <c r="C803" s="10">
        <v>24.42</v>
      </c>
      <c r="D803" s="10">
        <v>24.895</v>
      </c>
      <c r="E803" s="10">
        <v>24.37</v>
      </c>
      <c r="F803" s="10" t="s">
        <v>3353</v>
      </c>
      <c r="G803" s="11">
        <v>-2E-3</v>
      </c>
    </row>
    <row r="804" spans="1:7" x14ac:dyDescent="0.35">
      <c r="A804" s="5" t="s">
        <v>3737</v>
      </c>
      <c r="B804" s="9">
        <v>24.51</v>
      </c>
      <c r="C804" s="10">
        <v>24.475000000000001</v>
      </c>
      <c r="D804" s="10">
        <v>24.7</v>
      </c>
      <c r="E804" s="10">
        <v>24.34</v>
      </c>
      <c r="F804" s="10" t="s">
        <v>3354</v>
      </c>
      <c r="G804" s="11">
        <v>1.6999999999999999E-3</v>
      </c>
    </row>
    <row r="805" spans="1:7" x14ac:dyDescent="0.35">
      <c r="A805" s="5" t="s">
        <v>1820</v>
      </c>
      <c r="B805" s="9">
        <v>24.285</v>
      </c>
      <c r="C805" s="10">
        <v>24.38</v>
      </c>
      <c r="D805" s="10">
        <v>24.73</v>
      </c>
      <c r="E805" s="10">
        <v>24.22</v>
      </c>
      <c r="F805" s="10" t="s">
        <v>3355</v>
      </c>
      <c r="G805" s="11">
        <v>-9.1999999999999998E-3</v>
      </c>
    </row>
    <row r="806" spans="1:7" x14ac:dyDescent="0.35">
      <c r="A806" s="5" t="s">
        <v>1822</v>
      </c>
      <c r="B806" s="9">
        <v>24.526</v>
      </c>
      <c r="C806" s="10">
        <v>24.38</v>
      </c>
      <c r="D806" s="10">
        <v>24.74</v>
      </c>
      <c r="E806" s="10">
        <v>24.184999999999999</v>
      </c>
      <c r="F806" s="10" t="s">
        <v>3356</v>
      </c>
      <c r="G806" s="11">
        <v>9.9000000000000008E-3</v>
      </c>
    </row>
    <row r="807" spans="1:7" x14ac:dyDescent="0.35">
      <c r="A807" s="5" t="s">
        <v>1824</v>
      </c>
      <c r="B807" s="9">
        <v>24.372</v>
      </c>
      <c r="C807" s="10">
        <v>24.55</v>
      </c>
      <c r="D807" s="10">
        <v>24.234999999999999</v>
      </c>
      <c r="E807" s="10">
        <v>23.76</v>
      </c>
      <c r="F807" s="10" t="s">
        <v>3357</v>
      </c>
      <c r="G807" s="11">
        <v>-6.3E-3</v>
      </c>
    </row>
    <row r="808" spans="1:7" x14ac:dyDescent="0.35">
      <c r="A808" s="5" t="s">
        <v>3738</v>
      </c>
      <c r="B808" s="9">
        <v>24.05</v>
      </c>
      <c r="C808" s="10">
        <v>24.027000000000001</v>
      </c>
      <c r="D808" s="10">
        <v>24.335000000000001</v>
      </c>
      <c r="E808" s="10">
        <v>23.875</v>
      </c>
      <c r="F808" s="10" t="s">
        <v>3358</v>
      </c>
      <c r="G808" s="11">
        <v>-1.32E-2</v>
      </c>
    </row>
    <row r="809" spans="1:7" x14ac:dyDescent="0.35">
      <c r="A809" s="5" t="s">
        <v>1826</v>
      </c>
      <c r="B809" s="9">
        <v>23.952999999999999</v>
      </c>
      <c r="C809" s="10">
        <v>24.045000000000002</v>
      </c>
      <c r="D809" s="10">
        <v>23.95</v>
      </c>
      <c r="E809" s="10">
        <v>23.045000000000002</v>
      </c>
      <c r="F809" s="10" t="s">
        <v>3359</v>
      </c>
      <c r="G809" s="11">
        <v>-4.0000000000000001E-3</v>
      </c>
    </row>
    <row r="810" spans="1:7" x14ac:dyDescent="0.35">
      <c r="A810" s="5" t="s">
        <v>1828</v>
      </c>
      <c r="B810" s="9">
        <v>23.157</v>
      </c>
      <c r="C810" s="10">
        <v>23.885000000000002</v>
      </c>
      <c r="D810" s="10">
        <v>23.26</v>
      </c>
      <c r="E810" s="10">
        <v>22.88</v>
      </c>
      <c r="F810" s="10" t="s">
        <v>3012</v>
      </c>
      <c r="G810" s="11">
        <v>-3.32E-2</v>
      </c>
    </row>
    <row r="811" spans="1:7" x14ac:dyDescent="0.35">
      <c r="A811" s="5" t="s">
        <v>1830</v>
      </c>
      <c r="B811" s="9">
        <v>23.187000000000001</v>
      </c>
      <c r="C811" s="10">
        <v>23.19</v>
      </c>
      <c r="D811" s="10">
        <v>23.715</v>
      </c>
      <c r="E811" s="10">
        <v>22.97</v>
      </c>
      <c r="F811" s="10" t="s">
        <v>3360</v>
      </c>
      <c r="G811" s="11">
        <v>1.2999999999999999E-3</v>
      </c>
    </row>
    <row r="812" spans="1:7" x14ac:dyDescent="0.35">
      <c r="A812" s="5" t="s">
        <v>1832</v>
      </c>
      <c r="B812" s="9">
        <v>23.31</v>
      </c>
      <c r="C812" s="10">
        <v>23.38</v>
      </c>
      <c r="D812" s="10">
        <v>23.565000000000001</v>
      </c>
      <c r="E812" s="10">
        <v>23.08</v>
      </c>
      <c r="F812" s="10" t="s">
        <v>3361</v>
      </c>
      <c r="G812" s="11">
        <v>5.3E-3</v>
      </c>
    </row>
    <row r="813" spans="1:7" x14ac:dyDescent="0.35">
      <c r="A813" s="5" t="s">
        <v>1834</v>
      </c>
      <c r="B813" s="9">
        <v>23.091000000000001</v>
      </c>
      <c r="C813" s="10">
        <v>23.315000000000001</v>
      </c>
      <c r="D813" s="10">
        <v>23.29</v>
      </c>
      <c r="E813" s="10">
        <v>22.934999999999999</v>
      </c>
      <c r="F813" s="10" t="s">
        <v>3362</v>
      </c>
      <c r="G813" s="11">
        <v>-9.4000000000000004E-3</v>
      </c>
    </row>
    <row r="814" spans="1:7" x14ac:dyDescent="0.35">
      <c r="A814" s="5" t="s">
        <v>1836</v>
      </c>
      <c r="B814" s="9">
        <v>23.065999999999999</v>
      </c>
      <c r="C814" s="10">
        <v>23.16</v>
      </c>
      <c r="D814" s="10">
        <v>23.4</v>
      </c>
      <c r="E814" s="10">
        <v>22.63</v>
      </c>
      <c r="F814" s="10" t="s">
        <v>3363</v>
      </c>
      <c r="G814" s="11">
        <v>-1.1000000000000001E-3</v>
      </c>
    </row>
    <row r="815" spans="1:7" x14ac:dyDescent="0.35">
      <c r="A815" s="5" t="s">
        <v>1838</v>
      </c>
      <c r="B815" s="9">
        <v>22.704999999999998</v>
      </c>
      <c r="C815" s="10">
        <v>23.085000000000001</v>
      </c>
      <c r="D815" s="10">
        <v>23.72</v>
      </c>
      <c r="E815" s="10">
        <v>22.914999999999999</v>
      </c>
      <c r="F815" s="10" t="s">
        <v>3364</v>
      </c>
      <c r="G815" s="11">
        <v>-1.5699999999999999E-2</v>
      </c>
    </row>
    <row r="816" spans="1:7" x14ac:dyDescent="0.35">
      <c r="A816" s="5" t="s">
        <v>3739</v>
      </c>
      <c r="B816" s="9">
        <v>23.323</v>
      </c>
      <c r="C816" s="10">
        <v>23.35</v>
      </c>
      <c r="D816" s="10">
        <v>23.5</v>
      </c>
      <c r="E816" s="10">
        <v>23.015000000000001</v>
      </c>
      <c r="F816" s="10" t="s">
        <v>3365</v>
      </c>
      <c r="G816" s="11">
        <v>2.7199999999999998E-2</v>
      </c>
    </row>
    <row r="817" spans="1:7" x14ac:dyDescent="0.35">
      <c r="A817" s="5" t="s">
        <v>1840</v>
      </c>
      <c r="B817" s="9">
        <v>23.093</v>
      </c>
      <c r="C817" s="10">
        <v>23.35</v>
      </c>
      <c r="D817" s="10">
        <v>23.11</v>
      </c>
      <c r="E817" s="10">
        <v>22.66</v>
      </c>
      <c r="F817" s="10" t="s">
        <v>2953</v>
      </c>
      <c r="G817" s="11">
        <v>-9.9000000000000008E-3</v>
      </c>
    </row>
    <row r="818" spans="1:7" x14ac:dyDescent="0.35">
      <c r="A818" s="5" t="s">
        <v>1842</v>
      </c>
      <c r="B818" s="9">
        <v>22.669</v>
      </c>
      <c r="C818" s="10">
        <v>23.094999999999999</v>
      </c>
      <c r="D818" s="10">
        <v>22.9</v>
      </c>
      <c r="E818" s="10">
        <v>22.52</v>
      </c>
      <c r="F818" s="10" t="s">
        <v>3366</v>
      </c>
      <c r="G818" s="11">
        <v>-1.84E-2</v>
      </c>
    </row>
    <row r="819" spans="1:7" x14ac:dyDescent="0.35">
      <c r="A819" s="5" t="s">
        <v>1844</v>
      </c>
      <c r="B819" s="9">
        <v>22.806999999999999</v>
      </c>
      <c r="C819" s="10">
        <v>22.715</v>
      </c>
      <c r="D819" s="10">
        <v>22.98</v>
      </c>
      <c r="E819" s="10">
        <v>22.594999999999999</v>
      </c>
      <c r="F819" s="10" t="s">
        <v>3367</v>
      </c>
      <c r="G819" s="11">
        <v>6.1000000000000004E-3</v>
      </c>
    </row>
    <row r="820" spans="1:7" x14ac:dyDescent="0.35">
      <c r="A820" s="5" t="s">
        <v>1846</v>
      </c>
      <c r="B820" s="9">
        <v>22.295999999999999</v>
      </c>
      <c r="C820" s="10">
        <v>22.745000000000001</v>
      </c>
      <c r="D820" s="10">
        <v>22.58</v>
      </c>
      <c r="E820" s="10">
        <v>22.164999999999999</v>
      </c>
      <c r="F820" s="10" t="s">
        <v>3368</v>
      </c>
      <c r="G820" s="11">
        <v>-2.24E-2</v>
      </c>
    </row>
    <row r="821" spans="1:7" x14ac:dyDescent="0.35">
      <c r="A821" s="5" t="s">
        <v>1848</v>
      </c>
      <c r="B821" s="9">
        <v>22.462</v>
      </c>
      <c r="C821" s="10">
        <v>22.2</v>
      </c>
      <c r="D821" s="10">
        <v>23.09</v>
      </c>
      <c r="E821" s="10">
        <v>22.465</v>
      </c>
      <c r="F821" s="10" t="s">
        <v>3369</v>
      </c>
      <c r="G821" s="11">
        <v>7.4000000000000003E-3</v>
      </c>
    </row>
    <row r="822" spans="1:7" x14ac:dyDescent="0.35">
      <c r="A822" s="5" t="s">
        <v>1850</v>
      </c>
      <c r="B822" s="9">
        <v>22.888999999999999</v>
      </c>
      <c r="C822" s="10">
        <v>22.57</v>
      </c>
      <c r="D822" s="10">
        <v>23.155000000000001</v>
      </c>
      <c r="E822" s="10">
        <v>22.765000000000001</v>
      </c>
      <c r="F822" s="10" t="s">
        <v>3370</v>
      </c>
      <c r="G822" s="11">
        <v>1.9E-2</v>
      </c>
    </row>
    <row r="823" spans="1:7" x14ac:dyDescent="0.35">
      <c r="A823" s="5" t="s">
        <v>1852</v>
      </c>
      <c r="B823" s="9">
        <v>22.927</v>
      </c>
      <c r="C823" s="10">
        <v>22.8</v>
      </c>
      <c r="D823" s="10">
        <v>23.1</v>
      </c>
      <c r="E823" s="10">
        <v>22.81</v>
      </c>
      <c r="F823" s="10" t="s">
        <v>3252</v>
      </c>
      <c r="G823" s="11">
        <v>1.6999999999999999E-3</v>
      </c>
    </row>
    <row r="824" spans="1:7" x14ac:dyDescent="0.35">
      <c r="A824" s="5" t="s">
        <v>1854</v>
      </c>
      <c r="B824" s="9">
        <v>23.251000000000001</v>
      </c>
      <c r="C824" s="10">
        <v>22.92</v>
      </c>
      <c r="D824" s="10">
        <v>23.43</v>
      </c>
      <c r="E824" s="10">
        <v>23.055</v>
      </c>
      <c r="F824" s="10" t="s">
        <v>2208</v>
      </c>
      <c r="G824" s="11">
        <v>1.41E-2</v>
      </c>
    </row>
    <row r="825" spans="1:7" x14ac:dyDescent="0.35">
      <c r="A825" s="5" t="s">
        <v>1856</v>
      </c>
      <c r="B825" s="9">
        <v>23.343</v>
      </c>
      <c r="C825" s="10">
        <v>23.55</v>
      </c>
      <c r="D825" s="10">
        <v>23.445</v>
      </c>
      <c r="E825" s="10">
        <v>22.895</v>
      </c>
      <c r="F825" s="10" t="s">
        <v>3371</v>
      </c>
      <c r="G825" s="11">
        <v>4.0000000000000001E-3</v>
      </c>
    </row>
    <row r="826" spans="1:7" x14ac:dyDescent="0.35">
      <c r="A826" s="5" t="s">
        <v>1858</v>
      </c>
      <c r="B826" s="9">
        <v>23.282</v>
      </c>
      <c r="C826" s="10">
        <v>23.41</v>
      </c>
      <c r="D826" s="10">
        <v>23.364999999999998</v>
      </c>
      <c r="E826" s="10">
        <v>22.605</v>
      </c>
      <c r="F826" s="10" t="s">
        <v>3372</v>
      </c>
      <c r="G826" s="11">
        <v>-2.5999999999999999E-3</v>
      </c>
    </row>
    <row r="827" spans="1:7" x14ac:dyDescent="0.35">
      <c r="A827" s="5" t="s">
        <v>1860</v>
      </c>
      <c r="B827" s="9">
        <v>23.347000000000001</v>
      </c>
      <c r="C827" s="10">
        <v>23.434999999999999</v>
      </c>
      <c r="D827" s="10">
        <v>23.355</v>
      </c>
      <c r="E827" s="10">
        <v>22.484999999999999</v>
      </c>
      <c r="F827" s="10" t="s">
        <v>3373</v>
      </c>
      <c r="G827" s="11">
        <v>2.8E-3</v>
      </c>
    </row>
    <row r="828" spans="1:7" x14ac:dyDescent="0.35">
      <c r="A828" s="5" t="s">
        <v>1862</v>
      </c>
      <c r="B828" s="9">
        <v>22.533999999999999</v>
      </c>
      <c r="C828" s="10">
        <v>22.77</v>
      </c>
      <c r="D828" s="10">
        <v>22.574999999999999</v>
      </c>
      <c r="E828" s="10">
        <v>22.34</v>
      </c>
      <c r="F828" s="10" t="s">
        <v>3374</v>
      </c>
      <c r="G828" s="11">
        <v>-3.4799999999999998E-2</v>
      </c>
    </row>
    <row r="829" spans="1:7" x14ac:dyDescent="0.35">
      <c r="A829" s="5" t="s">
        <v>1863</v>
      </c>
      <c r="B829" s="9">
        <v>22.588000000000001</v>
      </c>
      <c r="C829" s="10">
        <v>22.57</v>
      </c>
      <c r="D829" s="10">
        <v>22.535</v>
      </c>
      <c r="E829" s="10">
        <v>22.274999999999999</v>
      </c>
      <c r="F829" s="10" t="s">
        <v>3375</v>
      </c>
      <c r="G829" s="11">
        <v>2.3999999999999998E-3</v>
      </c>
    </row>
    <row r="830" spans="1:7" x14ac:dyDescent="0.35">
      <c r="A830" s="5" t="s">
        <v>1865</v>
      </c>
      <c r="B830" s="9">
        <v>22.471</v>
      </c>
      <c r="C830" s="10">
        <v>22.49</v>
      </c>
      <c r="D830" s="10">
        <v>22.704999999999998</v>
      </c>
      <c r="E830" s="10">
        <v>22.195</v>
      </c>
      <c r="F830" s="10" t="s">
        <v>3376</v>
      </c>
      <c r="G830" s="11">
        <v>-5.1999999999999998E-3</v>
      </c>
    </row>
    <row r="831" spans="1:7" x14ac:dyDescent="0.35">
      <c r="A831" s="5" t="s">
        <v>1867</v>
      </c>
      <c r="B831" s="9">
        <v>22.748999999999999</v>
      </c>
      <c r="C831" s="10">
        <v>22.405000000000001</v>
      </c>
      <c r="D831" s="10">
        <v>22.795000000000002</v>
      </c>
      <c r="E831" s="10">
        <v>22.42</v>
      </c>
      <c r="F831" s="10" t="s">
        <v>3377</v>
      </c>
      <c r="G831" s="11">
        <v>1.24E-2</v>
      </c>
    </row>
    <row r="832" spans="1:7" x14ac:dyDescent="0.35">
      <c r="A832" s="5" t="s">
        <v>1869</v>
      </c>
      <c r="B832" s="9">
        <v>22.878</v>
      </c>
      <c r="C832" s="10">
        <v>22.995000000000001</v>
      </c>
      <c r="D832" s="10">
        <v>23.05</v>
      </c>
      <c r="E832" s="10">
        <v>22.03</v>
      </c>
      <c r="F832" s="10" t="s">
        <v>3378</v>
      </c>
      <c r="G832" s="11">
        <v>5.7000000000000002E-3</v>
      </c>
    </row>
    <row r="833" spans="1:7" x14ac:dyDescent="0.35">
      <c r="A833" s="5" t="s">
        <v>1871</v>
      </c>
      <c r="B833" s="9">
        <v>22.265999999999998</v>
      </c>
      <c r="C833" s="10">
        <v>22.635000000000002</v>
      </c>
      <c r="D833" s="10">
        <v>22.515000000000001</v>
      </c>
      <c r="E833" s="10">
        <v>21.975000000000001</v>
      </c>
      <c r="F833" s="10" t="s">
        <v>3379</v>
      </c>
      <c r="G833" s="11">
        <v>-2.6800000000000001E-2</v>
      </c>
    </row>
    <row r="834" spans="1:7" x14ac:dyDescent="0.35">
      <c r="A834" s="5" t="s">
        <v>1873</v>
      </c>
      <c r="B834" s="9">
        <v>22.495000000000001</v>
      </c>
      <c r="C834" s="10">
        <v>22.135000000000002</v>
      </c>
      <c r="D834" s="10">
        <v>23.09</v>
      </c>
      <c r="E834" s="10">
        <v>22.4</v>
      </c>
      <c r="F834" s="10" t="s">
        <v>3380</v>
      </c>
      <c r="G834" s="11">
        <v>1.03E-2</v>
      </c>
    </row>
    <row r="835" spans="1:7" x14ac:dyDescent="0.35">
      <c r="A835" s="5" t="s">
        <v>1875</v>
      </c>
      <c r="B835" s="9">
        <v>23.061</v>
      </c>
      <c r="C835" s="10">
        <v>22.72</v>
      </c>
      <c r="D835" s="10">
        <v>23.56</v>
      </c>
      <c r="E835" s="10">
        <v>22.84</v>
      </c>
      <c r="F835" s="10" t="s">
        <v>3381</v>
      </c>
      <c r="G835" s="11">
        <v>2.52E-2</v>
      </c>
    </row>
    <row r="836" spans="1:7" x14ac:dyDescent="0.35">
      <c r="A836" s="5" t="s">
        <v>3740</v>
      </c>
      <c r="B836" s="9">
        <v>23.452999999999999</v>
      </c>
      <c r="C836" s="10">
        <v>23.472999999999999</v>
      </c>
      <c r="D836" s="10">
        <v>23.51</v>
      </c>
      <c r="E836" s="10">
        <v>22.954999999999998</v>
      </c>
      <c r="F836" s="10" t="s">
        <v>3382</v>
      </c>
      <c r="G836" s="11">
        <v>1.7000000000000001E-2</v>
      </c>
    </row>
    <row r="837" spans="1:7" x14ac:dyDescent="0.35">
      <c r="A837" s="5" t="s">
        <v>1877</v>
      </c>
      <c r="B837" s="9">
        <v>23.25</v>
      </c>
      <c r="C837" s="10">
        <v>23.53</v>
      </c>
      <c r="D837" s="10">
        <v>23.22</v>
      </c>
      <c r="E837" s="10">
        <v>22.79</v>
      </c>
      <c r="F837" s="10" t="s">
        <v>3383</v>
      </c>
      <c r="G837" s="11">
        <v>-8.6999999999999994E-3</v>
      </c>
    </row>
    <row r="838" spans="1:7" x14ac:dyDescent="0.35">
      <c r="A838" s="5" t="s">
        <v>1879</v>
      </c>
      <c r="B838" s="9">
        <v>22.989000000000001</v>
      </c>
      <c r="C838" s="10">
        <v>23.254999999999999</v>
      </c>
      <c r="D838" s="10">
        <v>23.2</v>
      </c>
      <c r="E838" s="10">
        <v>22.76</v>
      </c>
      <c r="F838" s="10" t="s">
        <v>3384</v>
      </c>
      <c r="G838" s="11">
        <v>-1.12E-2</v>
      </c>
    </row>
    <row r="839" spans="1:7" x14ac:dyDescent="0.35">
      <c r="A839" s="5" t="s">
        <v>1880</v>
      </c>
      <c r="B839" s="9">
        <v>22.899000000000001</v>
      </c>
      <c r="C839" s="10">
        <v>23.035</v>
      </c>
      <c r="D839" s="10">
        <v>23.03</v>
      </c>
      <c r="E839" s="10">
        <v>22.58</v>
      </c>
      <c r="F839" s="10" t="s">
        <v>2679</v>
      </c>
      <c r="G839" s="11">
        <v>-3.8999999999999998E-3</v>
      </c>
    </row>
    <row r="840" spans="1:7" x14ac:dyDescent="0.35">
      <c r="A840" s="5" t="s">
        <v>1882</v>
      </c>
      <c r="B840" s="9">
        <v>22.638000000000002</v>
      </c>
      <c r="C840" s="10">
        <v>23.03</v>
      </c>
      <c r="D840" s="10">
        <v>22.71</v>
      </c>
      <c r="E840" s="10">
        <v>22.405000000000001</v>
      </c>
      <c r="F840" s="10" t="s">
        <v>3385</v>
      </c>
      <c r="G840" s="11">
        <v>-1.14E-2</v>
      </c>
    </row>
    <row r="841" spans="1:7" x14ac:dyDescent="0.35">
      <c r="A841" s="5" t="s">
        <v>1883</v>
      </c>
      <c r="B841" s="9">
        <v>22.651</v>
      </c>
      <c r="C841" s="10">
        <v>22.605</v>
      </c>
      <c r="D841" s="10">
        <v>22.734999999999999</v>
      </c>
      <c r="E841" s="10">
        <v>22.47</v>
      </c>
      <c r="F841" s="10" t="s">
        <v>3386</v>
      </c>
      <c r="G841" s="11">
        <v>5.9999999999999995E-4</v>
      </c>
    </row>
    <row r="842" spans="1:7" x14ac:dyDescent="0.35">
      <c r="A842" s="5" t="s">
        <v>1884</v>
      </c>
      <c r="B842" s="9">
        <v>22.635999999999999</v>
      </c>
      <c r="C842" s="10">
        <v>22.67</v>
      </c>
      <c r="D842" s="10">
        <v>23</v>
      </c>
      <c r="E842" s="10">
        <v>22.5</v>
      </c>
      <c r="F842" s="10" t="s">
        <v>3387</v>
      </c>
      <c r="G842" s="11">
        <v>-6.9999999999999999E-4</v>
      </c>
    </row>
    <row r="843" spans="1:7" x14ac:dyDescent="0.35">
      <c r="A843" s="5" t="s">
        <v>1885</v>
      </c>
      <c r="B843" s="9">
        <v>22.885000000000002</v>
      </c>
      <c r="C843" s="10">
        <v>22.675000000000001</v>
      </c>
      <c r="D843" s="10">
        <v>23.484999999999999</v>
      </c>
      <c r="E843" s="10">
        <v>22.71</v>
      </c>
      <c r="F843" s="10" t="s">
        <v>3388</v>
      </c>
      <c r="G843" s="11">
        <v>1.0999999999999999E-2</v>
      </c>
    </row>
    <row r="844" spans="1:7" x14ac:dyDescent="0.35">
      <c r="A844" s="5" t="s">
        <v>1887</v>
      </c>
      <c r="B844" s="9">
        <v>23.991</v>
      </c>
      <c r="C844" s="10">
        <v>23.37</v>
      </c>
      <c r="D844" s="10">
        <v>24.454999999999998</v>
      </c>
      <c r="E844" s="10">
        <v>23.844999999999999</v>
      </c>
      <c r="F844" s="10" t="s">
        <v>3389</v>
      </c>
      <c r="G844" s="11">
        <v>4.8300000000000003E-2</v>
      </c>
    </row>
    <row r="845" spans="1:7" x14ac:dyDescent="0.35">
      <c r="A845" s="5" t="s">
        <v>1889</v>
      </c>
      <c r="B845" s="9">
        <v>23.984000000000002</v>
      </c>
      <c r="C845" s="10">
        <v>24.125</v>
      </c>
      <c r="D845" s="10">
        <v>24.535</v>
      </c>
      <c r="E845" s="10">
        <v>23.785</v>
      </c>
      <c r="F845" s="10" t="s">
        <v>3390</v>
      </c>
      <c r="G845" s="11">
        <v>-2.9999999999999997E-4</v>
      </c>
    </row>
    <row r="846" spans="1:7" x14ac:dyDescent="0.35">
      <c r="A846" s="5" t="s">
        <v>1891</v>
      </c>
      <c r="B846" s="9">
        <v>24.492999999999999</v>
      </c>
      <c r="C846" s="10">
        <v>23.895</v>
      </c>
      <c r="D846" s="10">
        <v>24.734999999999999</v>
      </c>
      <c r="E846" s="10">
        <v>24.225000000000001</v>
      </c>
      <c r="F846" s="10" t="s">
        <v>3391</v>
      </c>
      <c r="G846" s="11">
        <v>2.12E-2</v>
      </c>
    </row>
    <row r="847" spans="1:7" x14ac:dyDescent="0.35">
      <c r="A847" s="5" t="s">
        <v>1893</v>
      </c>
      <c r="B847" s="9">
        <v>24.577999999999999</v>
      </c>
      <c r="C847" s="10">
        <v>24.4</v>
      </c>
      <c r="D847" s="10">
        <v>24.86</v>
      </c>
      <c r="E847" s="10">
        <v>24.38</v>
      </c>
      <c r="F847" s="10" t="s">
        <v>3392</v>
      </c>
      <c r="G847" s="11">
        <v>3.5000000000000001E-3</v>
      </c>
    </row>
    <row r="848" spans="1:7" x14ac:dyDescent="0.35">
      <c r="A848" s="5" t="s">
        <v>1895</v>
      </c>
      <c r="B848" s="9">
        <v>24.715</v>
      </c>
      <c r="C848" s="10">
        <v>24.58</v>
      </c>
      <c r="D848" s="10">
        <v>24.9</v>
      </c>
      <c r="E848" s="10">
        <v>24.22</v>
      </c>
      <c r="F848" s="10" t="s">
        <v>3393</v>
      </c>
      <c r="G848" s="11">
        <v>5.5999999999999999E-3</v>
      </c>
    </row>
    <row r="849" spans="1:7" x14ac:dyDescent="0.35">
      <c r="A849" s="5" t="s">
        <v>1896</v>
      </c>
      <c r="B849" s="9">
        <v>24.393999999999998</v>
      </c>
      <c r="C849" s="10">
        <v>24.675000000000001</v>
      </c>
      <c r="D849" s="10">
        <v>25.25</v>
      </c>
      <c r="E849" s="10">
        <v>24.274999999999999</v>
      </c>
      <c r="F849" s="10" t="s">
        <v>3394</v>
      </c>
      <c r="G849" s="11">
        <v>-1.2999999999999999E-2</v>
      </c>
    </row>
    <row r="850" spans="1:7" x14ac:dyDescent="0.35">
      <c r="A850" s="5" t="s">
        <v>1898</v>
      </c>
      <c r="B850" s="9">
        <v>25.155999999999999</v>
      </c>
      <c r="C850" s="10">
        <v>24.335000000000001</v>
      </c>
      <c r="D850" s="10">
        <v>25.37</v>
      </c>
      <c r="E850" s="10">
        <v>24.95</v>
      </c>
      <c r="F850" s="10" t="s">
        <v>3395</v>
      </c>
      <c r="G850" s="11">
        <v>3.1199999999999999E-2</v>
      </c>
    </row>
    <row r="851" spans="1:7" x14ac:dyDescent="0.35">
      <c r="A851" s="5" t="s">
        <v>1900</v>
      </c>
      <c r="B851" s="9">
        <v>25.06</v>
      </c>
      <c r="C851" s="10">
        <v>25.225000000000001</v>
      </c>
      <c r="D851" s="10">
        <v>25.66</v>
      </c>
      <c r="E851" s="10">
        <v>25</v>
      </c>
      <c r="F851" s="10" t="s">
        <v>3396</v>
      </c>
      <c r="G851" s="11">
        <v>-3.8E-3</v>
      </c>
    </row>
    <row r="852" spans="1:7" x14ac:dyDescent="0.35">
      <c r="A852" s="5" t="s">
        <v>1902</v>
      </c>
      <c r="B852" s="9">
        <v>25.265000000000001</v>
      </c>
      <c r="C852" s="10">
        <v>25.4</v>
      </c>
      <c r="D852" s="10">
        <v>25.36</v>
      </c>
      <c r="E852" s="10">
        <v>24.92</v>
      </c>
      <c r="F852" s="10" t="s">
        <v>3397</v>
      </c>
      <c r="G852" s="11">
        <v>8.2000000000000007E-3</v>
      </c>
    </row>
    <row r="853" spans="1:7" x14ac:dyDescent="0.35">
      <c r="A853" s="5" t="s">
        <v>1904</v>
      </c>
      <c r="B853" s="9">
        <v>25.135000000000002</v>
      </c>
      <c r="C853" s="10">
        <v>25.25</v>
      </c>
      <c r="D853" s="10">
        <v>25.835000000000001</v>
      </c>
      <c r="E853" s="10">
        <v>24.93</v>
      </c>
      <c r="F853" s="10" t="s">
        <v>3398</v>
      </c>
      <c r="G853" s="11">
        <v>-5.1000000000000004E-3</v>
      </c>
    </row>
    <row r="854" spans="1:7" x14ac:dyDescent="0.35">
      <c r="A854" s="5" t="s">
        <v>1906</v>
      </c>
      <c r="B854" s="9">
        <v>25.103999999999999</v>
      </c>
      <c r="C854" s="10">
        <v>25.09</v>
      </c>
      <c r="D854" s="10">
        <v>25.975000000000001</v>
      </c>
      <c r="E854" s="10">
        <v>24.82</v>
      </c>
      <c r="F854" s="10" t="s">
        <v>3399</v>
      </c>
      <c r="G854" s="11">
        <v>-1.1999999999999999E-3</v>
      </c>
    </row>
    <row r="855" spans="1:7" x14ac:dyDescent="0.35">
      <c r="A855" s="5" t="s">
        <v>1908</v>
      </c>
      <c r="B855" s="9">
        <v>25.007000000000001</v>
      </c>
      <c r="C855" s="10">
        <v>25.79</v>
      </c>
      <c r="D855" s="10">
        <v>25.11</v>
      </c>
      <c r="E855" s="10">
        <v>24.58</v>
      </c>
      <c r="F855" s="10" t="s">
        <v>3400</v>
      </c>
      <c r="G855" s="11">
        <v>-3.8999999999999998E-3</v>
      </c>
    </row>
    <row r="856" spans="1:7" x14ac:dyDescent="0.35">
      <c r="A856" s="5" t="s">
        <v>1910</v>
      </c>
      <c r="B856" s="9">
        <v>24.890999999999998</v>
      </c>
      <c r="C856" s="10">
        <v>24.85</v>
      </c>
      <c r="D856" s="10">
        <v>25.055</v>
      </c>
      <c r="E856" s="10">
        <v>24.515000000000001</v>
      </c>
      <c r="F856" s="10" t="s">
        <v>3401</v>
      </c>
      <c r="G856" s="11">
        <v>-4.5999999999999999E-3</v>
      </c>
    </row>
    <row r="857" spans="1:7" x14ac:dyDescent="0.35">
      <c r="A857" s="5" t="s">
        <v>1912</v>
      </c>
      <c r="B857" s="9">
        <v>24.623000000000001</v>
      </c>
      <c r="C857" s="10">
        <v>24.844999999999999</v>
      </c>
      <c r="D857" s="10">
        <v>24.79</v>
      </c>
      <c r="E857" s="10">
        <v>24.445</v>
      </c>
      <c r="F857" s="10" t="s">
        <v>3402</v>
      </c>
      <c r="G857" s="11">
        <v>-1.0800000000000001E-2</v>
      </c>
    </row>
    <row r="858" spans="1:7" x14ac:dyDescent="0.35">
      <c r="A858" s="5" t="s">
        <v>1914</v>
      </c>
      <c r="B858" s="9">
        <v>24.879000000000001</v>
      </c>
      <c r="C858" s="10">
        <v>24.855</v>
      </c>
      <c r="D858" s="10">
        <v>25.13</v>
      </c>
      <c r="E858" s="10">
        <v>24.504999999999999</v>
      </c>
      <c r="F858" s="10" t="s">
        <v>3403</v>
      </c>
      <c r="G858" s="11">
        <v>1.04E-2</v>
      </c>
    </row>
    <row r="859" spans="1:7" x14ac:dyDescent="0.35">
      <c r="A859" s="5" t="s">
        <v>1916</v>
      </c>
      <c r="B859" s="9">
        <v>25.202999999999999</v>
      </c>
      <c r="C859" s="10">
        <v>25.36</v>
      </c>
      <c r="D859" s="10">
        <v>26.295000000000002</v>
      </c>
      <c r="E859" s="10">
        <v>25.195</v>
      </c>
      <c r="F859" s="10" t="s">
        <v>3404</v>
      </c>
      <c r="G859" s="11">
        <v>1.2999999999999999E-2</v>
      </c>
    </row>
    <row r="860" spans="1:7" x14ac:dyDescent="0.35">
      <c r="A860" s="5" t="s">
        <v>1918</v>
      </c>
      <c r="B860" s="9">
        <v>26.056999999999999</v>
      </c>
      <c r="C860" s="10">
        <v>25.4</v>
      </c>
      <c r="D860" s="10">
        <v>27.324999999999999</v>
      </c>
      <c r="E860" s="10">
        <v>26.234999999999999</v>
      </c>
      <c r="F860" s="10" t="s">
        <v>3405</v>
      </c>
      <c r="G860" s="11">
        <v>3.39E-2</v>
      </c>
    </row>
    <row r="861" spans="1:7" x14ac:dyDescent="0.35">
      <c r="A861" s="5" t="s">
        <v>1920</v>
      </c>
      <c r="B861" s="9">
        <v>27.195</v>
      </c>
      <c r="C861" s="10">
        <v>26.46</v>
      </c>
      <c r="D861" s="10">
        <v>27.454999999999998</v>
      </c>
      <c r="E861" s="10">
        <v>26.785</v>
      </c>
      <c r="F861" s="10" t="s">
        <v>2828</v>
      </c>
      <c r="G861" s="11">
        <v>4.3700000000000003E-2</v>
      </c>
    </row>
    <row r="862" spans="1:7" x14ac:dyDescent="0.35">
      <c r="A862" s="5" t="s">
        <v>1922</v>
      </c>
      <c r="B862" s="9">
        <v>27.385000000000002</v>
      </c>
      <c r="C862" s="10">
        <v>27.454999999999998</v>
      </c>
      <c r="D862" s="10">
        <v>27.614999999999998</v>
      </c>
      <c r="E862" s="10">
        <v>26.4</v>
      </c>
      <c r="F862" s="10" t="s">
        <v>3406</v>
      </c>
      <c r="G862" s="11">
        <v>7.0000000000000001E-3</v>
      </c>
    </row>
    <row r="863" spans="1:7" x14ac:dyDescent="0.35">
      <c r="A863" s="5" t="s">
        <v>1924</v>
      </c>
      <c r="B863" s="9">
        <v>27.956</v>
      </c>
      <c r="C863" s="10">
        <v>27.434999999999999</v>
      </c>
      <c r="D863" s="10">
        <v>28.44</v>
      </c>
      <c r="E863" s="10">
        <v>27.725000000000001</v>
      </c>
      <c r="F863" s="10" t="s">
        <v>3407</v>
      </c>
      <c r="G863" s="11">
        <v>2.0899999999999998E-2</v>
      </c>
    </row>
    <row r="864" spans="1:7" x14ac:dyDescent="0.35">
      <c r="A864" s="5" t="s">
        <v>1926</v>
      </c>
      <c r="B864" s="9">
        <v>28.134</v>
      </c>
      <c r="C864" s="10">
        <v>28.18</v>
      </c>
      <c r="D864" s="10">
        <v>28.655000000000001</v>
      </c>
      <c r="E864" s="10">
        <v>27.64</v>
      </c>
      <c r="F864" s="10" t="s">
        <v>3408</v>
      </c>
      <c r="G864" s="11">
        <v>6.4000000000000003E-3</v>
      </c>
    </row>
    <row r="865" spans="1:7" x14ac:dyDescent="0.35">
      <c r="A865" s="5" t="s">
        <v>1928</v>
      </c>
      <c r="B865" s="9">
        <v>28.204000000000001</v>
      </c>
      <c r="C865" s="10">
        <v>28.46</v>
      </c>
      <c r="D865" s="10">
        <v>28.6</v>
      </c>
      <c r="E865" s="10">
        <v>27.84</v>
      </c>
      <c r="F865" s="10" t="s">
        <v>3409</v>
      </c>
      <c r="G865" s="11">
        <v>2.5000000000000001E-3</v>
      </c>
    </row>
    <row r="866" spans="1:7" x14ac:dyDescent="0.35">
      <c r="A866" s="5" t="s">
        <v>1930</v>
      </c>
      <c r="B866" s="9">
        <v>28.401</v>
      </c>
      <c r="C866" s="10">
        <v>28.114999999999998</v>
      </c>
      <c r="D866" s="10">
        <v>29.905000000000001</v>
      </c>
      <c r="E866" s="10">
        <v>27.945</v>
      </c>
      <c r="F866" s="10" t="s">
        <v>3410</v>
      </c>
      <c r="G866" s="11">
        <v>7.0000000000000001E-3</v>
      </c>
    </row>
    <row r="867" spans="1:7" x14ac:dyDescent="0.35">
      <c r="A867" s="5" t="s">
        <v>1932</v>
      </c>
      <c r="B867" s="9">
        <v>28.866</v>
      </c>
      <c r="C867" s="10">
        <v>28.38</v>
      </c>
      <c r="D867" s="10">
        <v>29.1</v>
      </c>
      <c r="E867" s="10">
        <v>28.03</v>
      </c>
      <c r="F867" s="10" t="s">
        <v>3411</v>
      </c>
      <c r="G867" s="11">
        <v>1.6400000000000001E-2</v>
      </c>
    </row>
    <row r="868" spans="1:7" x14ac:dyDescent="0.35">
      <c r="A868" s="5" t="s">
        <v>1934</v>
      </c>
      <c r="B868" s="9">
        <v>28.526</v>
      </c>
      <c r="C868" s="10">
        <v>29.14</v>
      </c>
      <c r="D868" s="10">
        <v>28.895</v>
      </c>
      <c r="E868" s="10">
        <v>28.145</v>
      </c>
      <c r="F868" s="10" t="s">
        <v>3412</v>
      </c>
      <c r="G868" s="11">
        <v>-1.18E-2</v>
      </c>
    </row>
    <row r="869" spans="1:7" x14ac:dyDescent="0.35">
      <c r="A869" s="5" t="s">
        <v>1936</v>
      </c>
      <c r="B869" s="9">
        <v>28.553000000000001</v>
      </c>
      <c r="C869" s="10">
        <v>28.405000000000001</v>
      </c>
      <c r="D869" s="10">
        <v>28.734999999999999</v>
      </c>
      <c r="E869" s="10">
        <v>28.21</v>
      </c>
      <c r="F869" s="10" t="s">
        <v>2754</v>
      </c>
      <c r="G869" s="11">
        <v>8.9999999999999998E-4</v>
      </c>
    </row>
    <row r="870" spans="1:7" x14ac:dyDescent="0.35">
      <c r="A870" s="5" t="s">
        <v>1938</v>
      </c>
      <c r="B870" s="9">
        <v>28.532</v>
      </c>
      <c r="C870" s="10">
        <v>28.454999999999998</v>
      </c>
      <c r="D870" s="10">
        <v>29.01</v>
      </c>
      <c r="E870" s="10">
        <v>28.12</v>
      </c>
      <c r="F870" s="10" t="s">
        <v>3413</v>
      </c>
      <c r="G870" s="11">
        <v>-6.9999999999999999E-4</v>
      </c>
    </row>
    <row r="871" spans="1:7" x14ac:dyDescent="0.35">
      <c r="A871" s="5" t="s">
        <v>1940</v>
      </c>
      <c r="B871" s="9">
        <v>27.396999999999998</v>
      </c>
      <c r="C871" s="10">
        <v>28.78</v>
      </c>
      <c r="D871" s="10">
        <v>27.42</v>
      </c>
      <c r="E871" s="10">
        <v>26.715</v>
      </c>
      <c r="F871" s="10" t="s">
        <v>3414</v>
      </c>
      <c r="G871" s="11">
        <v>-3.9800000000000002E-2</v>
      </c>
    </row>
    <row r="872" spans="1:7" x14ac:dyDescent="0.35">
      <c r="A872" s="5" t="s">
        <v>1942</v>
      </c>
      <c r="B872" s="9">
        <v>27.510999999999999</v>
      </c>
      <c r="C872" s="10">
        <v>27.42</v>
      </c>
      <c r="D872" s="10">
        <v>27.524999999999999</v>
      </c>
      <c r="E872" s="10">
        <v>27.06</v>
      </c>
      <c r="F872" s="10" t="s">
        <v>3415</v>
      </c>
      <c r="G872" s="11">
        <v>4.1999999999999997E-3</v>
      </c>
    </row>
    <row r="873" spans="1:7" x14ac:dyDescent="0.35">
      <c r="A873" s="5" t="s">
        <v>1944</v>
      </c>
      <c r="B873" s="9">
        <v>27.495999999999999</v>
      </c>
      <c r="C873" s="10">
        <v>27.45</v>
      </c>
      <c r="D873" s="10">
        <v>27.61</v>
      </c>
      <c r="E873" s="10">
        <v>27</v>
      </c>
      <c r="F873" s="10" t="s">
        <v>3132</v>
      </c>
      <c r="G873" s="11">
        <v>-5.0000000000000001E-4</v>
      </c>
    </row>
    <row r="874" spans="1:7" x14ac:dyDescent="0.35">
      <c r="A874" s="5" t="s">
        <v>1946</v>
      </c>
      <c r="B874" s="9">
        <v>27.501999999999999</v>
      </c>
      <c r="C874" s="10">
        <v>27.385000000000002</v>
      </c>
      <c r="D874" s="10">
        <v>27.745000000000001</v>
      </c>
      <c r="E874" s="10">
        <v>27.09</v>
      </c>
      <c r="F874" s="10" t="s">
        <v>3416</v>
      </c>
      <c r="G874" s="11">
        <v>2.0000000000000001E-4</v>
      </c>
    </row>
    <row r="875" spans="1:7" x14ac:dyDescent="0.35">
      <c r="A875" s="5" t="s">
        <v>1948</v>
      </c>
      <c r="B875" s="9">
        <v>27.66</v>
      </c>
      <c r="C875" s="10">
        <v>27.5</v>
      </c>
      <c r="D875" s="10">
        <v>27.454999999999998</v>
      </c>
      <c r="E875" s="10">
        <v>26.515000000000001</v>
      </c>
      <c r="F875" s="10" t="s">
        <v>3417</v>
      </c>
      <c r="G875" s="11">
        <v>5.7000000000000002E-3</v>
      </c>
    </row>
    <row r="876" spans="1:7" x14ac:dyDescent="0.35">
      <c r="A876" s="5" t="s">
        <v>1950</v>
      </c>
      <c r="B876" s="9">
        <v>26.654</v>
      </c>
      <c r="C876" s="10">
        <v>27.454999999999998</v>
      </c>
      <c r="D876" s="10">
        <v>27.25</v>
      </c>
      <c r="E876" s="10">
        <v>26.52</v>
      </c>
      <c r="F876" s="10" t="s">
        <v>3418</v>
      </c>
      <c r="G876" s="11">
        <v>-3.6400000000000002E-2</v>
      </c>
    </row>
    <row r="877" spans="1:7" x14ac:dyDescent="0.35">
      <c r="A877" s="5" t="s">
        <v>1952</v>
      </c>
      <c r="B877" s="9">
        <v>26.748000000000001</v>
      </c>
      <c r="C877" s="10">
        <v>26.55</v>
      </c>
      <c r="D877" s="10">
        <v>27.065000000000001</v>
      </c>
      <c r="E877" s="10">
        <v>26.254999999999999</v>
      </c>
      <c r="F877" s="10" t="s">
        <v>3419</v>
      </c>
      <c r="G877" s="11">
        <v>3.5000000000000001E-3</v>
      </c>
    </row>
    <row r="878" spans="1:7" x14ac:dyDescent="0.35">
      <c r="A878" s="5" t="s">
        <v>1954</v>
      </c>
      <c r="B878" s="9">
        <v>26.829000000000001</v>
      </c>
      <c r="C878" s="10">
        <v>26.905000000000001</v>
      </c>
      <c r="D878" s="10">
        <v>27.14</v>
      </c>
      <c r="E878" s="10">
        <v>26.344999999999999</v>
      </c>
      <c r="F878" s="10" t="s">
        <v>3420</v>
      </c>
      <c r="G878" s="11">
        <v>3.0000000000000001E-3</v>
      </c>
    </row>
    <row r="879" spans="1:7" x14ac:dyDescent="0.35">
      <c r="A879" s="5" t="s">
        <v>1956</v>
      </c>
      <c r="B879" s="9">
        <v>27.614000000000001</v>
      </c>
      <c r="C879" s="10">
        <v>26.81</v>
      </c>
      <c r="D879" s="10">
        <v>27.77</v>
      </c>
      <c r="E879" s="10">
        <v>27.39</v>
      </c>
      <c r="F879" s="10" t="s">
        <v>3421</v>
      </c>
      <c r="G879" s="11">
        <v>2.93E-2</v>
      </c>
    </row>
    <row r="880" spans="1:7" x14ac:dyDescent="0.35">
      <c r="A880" s="5" t="s">
        <v>1958</v>
      </c>
      <c r="B880" s="9">
        <v>27.544</v>
      </c>
      <c r="C880" s="10">
        <v>27.715</v>
      </c>
      <c r="D880" s="10">
        <v>27.725000000000001</v>
      </c>
      <c r="E880" s="10">
        <v>27.24</v>
      </c>
      <c r="F880" s="10" t="s">
        <v>3422</v>
      </c>
      <c r="G880" s="11">
        <v>-2.5000000000000001E-3</v>
      </c>
    </row>
    <row r="881" spans="1:7" x14ac:dyDescent="0.35">
      <c r="A881" s="5" t="s">
        <v>1960</v>
      </c>
      <c r="B881" s="9">
        <v>27.600999999999999</v>
      </c>
      <c r="C881" s="10">
        <v>27.475000000000001</v>
      </c>
      <c r="D881" s="10">
        <v>28.58</v>
      </c>
      <c r="E881" s="10">
        <v>27.515000000000001</v>
      </c>
      <c r="F881" s="10" t="s">
        <v>3423</v>
      </c>
      <c r="G881" s="11">
        <v>2.0999999999999999E-3</v>
      </c>
    </row>
    <row r="882" spans="1:7" x14ac:dyDescent="0.35">
      <c r="A882" s="5" t="s">
        <v>1962</v>
      </c>
      <c r="B882" s="9">
        <v>28.364999999999998</v>
      </c>
      <c r="C882" s="10">
        <v>27.56</v>
      </c>
      <c r="D882" s="10">
        <v>29</v>
      </c>
      <c r="E882" s="10">
        <v>28.27</v>
      </c>
      <c r="F882" s="10" t="s">
        <v>3424</v>
      </c>
      <c r="G882" s="11">
        <v>2.7699999999999999E-2</v>
      </c>
    </row>
    <row r="883" spans="1:7" x14ac:dyDescent="0.35">
      <c r="A883" s="5" t="s">
        <v>1964</v>
      </c>
      <c r="B883" s="9">
        <v>28.443000000000001</v>
      </c>
      <c r="C883" s="10">
        <v>28.42</v>
      </c>
      <c r="D883" s="10">
        <v>28.984999999999999</v>
      </c>
      <c r="E883" s="10">
        <v>28.31</v>
      </c>
      <c r="F883" s="10" t="s">
        <v>3425</v>
      </c>
      <c r="G883" s="11">
        <v>2.7000000000000001E-3</v>
      </c>
    </row>
    <row r="884" spans="1:7" x14ac:dyDescent="0.35">
      <c r="A884" s="5" t="s">
        <v>1966</v>
      </c>
      <c r="B884" s="9">
        <v>28.702000000000002</v>
      </c>
      <c r="C884" s="10">
        <v>28.42</v>
      </c>
      <c r="D884" s="10">
        <v>29.99</v>
      </c>
      <c r="E884" s="10">
        <v>28.675000000000001</v>
      </c>
      <c r="F884" s="10" t="s">
        <v>3426</v>
      </c>
      <c r="G884" s="11">
        <v>9.1000000000000004E-3</v>
      </c>
    </row>
    <row r="885" spans="1:7" x14ac:dyDescent="0.35">
      <c r="A885" s="5" t="s">
        <v>1968</v>
      </c>
      <c r="B885" s="9">
        <v>29.728999999999999</v>
      </c>
      <c r="C885" s="10">
        <v>28.855</v>
      </c>
      <c r="D885" s="10">
        <v>30.105</v>
      </c>
      <c r="E885" s="10">
        <v>29.555</v>
      </c>
      <c r="F885" s="10" t="s">
        <v>3427</v>
      </c>
      <c r="G885" s="11">
        <v>3.5799999999999998E-2</v>
      </c>
    </row>
    <row r="886" spans="1:7" x14ac:dyDescent="0.35">
      <c r="A886" s="5" t="s">
        <v>1970</v>
      </c>
      <c r="B886" s="9">
        <v>29.876000000000001</v>
      </c>
      <c r="C886" s="10">
        <v>29.9</v>
      </c>
      <c r="D886" s="10">
        <v>31.85</v>
      </c>
      <c r="E886" s="10">
        <v>29.7</v>
      </c>
      <c r="F886" s="10" t="s">
        <v>3428</v>
      </c>
      <c r="G886" s="11">
        <v>4.8999999999999998E-3</v>
      </c>
    </row>
    <row r="887" spans="1:7" x14ac:dyDescent="0.35">
      <c r="A887" s="5" t="s">
        <v>1972</v>
      </c>
      <c r="B887" s="9">
        <v>32.426000000000002</v>
      </c>
      <c r="C887" s="10">
        <v>31.85</v>
      </c>
      <c r="D887" s="10">
        <v>32.72</v>
      </c>
      <c r="E887" s="10">
        <v>31.28</v>
      </c>
      <c r="F887" s="10" t="s">
        <v>3429</v>
      </c>
      <c r="G887" s="11">
        <v>8.5400000000000004E-2</v>
      </c>
    </row>
    <row r="888" spans="1:7" x14ac:dyDescent="0.35">
      <c r="A888" s="5" t="s">
        <v>1974</v>
      </c>
      <c r="B888" s="9">
        <v>32.078000000000003</v>
      </c>
      <c r="C888" s="10">
        <v>32.055</v>
      </c>
      <c r="D888" s="10">
        <v>32.44</v>
      </c>
      <c r="E888" s="10">
        <v>30.965</v>
      </c>
      <c r="F888" s="10" t="s">
        <v>3430</v>
      </c>
      <c r="G888" s="11">
        <v>-1.0699999999999999E-2</v>
      </c>
    </row>
    <row r="889" spans="1:7" x14ac:dyDescent="0.35">
      <c r="A889" s="5" t="s">
        <v>1976</v>
      </c>
      <c r="B889" s="9">
        <v>31.495999999999999</v>
      </c>
      <c r="C889" s="10">
        <v>32.225000000000001</v>
      </c>
      <c r="D889" s="10">
        <v>31.184999999999999</v>
      </c>
      <c r="E889" s="10">
        <v>30.265000000000001</v>
      </c>
      <c r="F889" s="10" t="s">
        <v>3431</v>
      </c>
      <c r="G889" s="11">
        <v>-1.8100000000000002E-2</v>
      </c>
    </row>
    <row r="890" spans="1:7" x14ac:dyDescent="0.35">
      <c r="A890" s="5" t="s">
        <v>1978</v>
      </c>
      <c r="B890" s="9">
        <v>30.454999999999998</v>
      </c>
      <c r="C890" s="10">
        <v>31.015000000000001</v>
      </c>
      <c r="D890" s="10">
        <v>30.835000000000001</v>
      </c>
      <c r="E890" s="10">
        <v>30.234999999999999</v>
      </c>
      <c r="F890" s="10" t="s">
        <v>3432</v>
      </c>
      <c r="G890" s="11">
        <v>-3.3099999999999997E-2</v>
      </c>
    </row>
    <row r="891" spans="1:7" x14ac:dyDescent="0.35">
      <c r="A891" s="5" t="s">
        <v>3741</v>
      </c>
      <c r="B891" s="9">
        <v>30.715</v>
      </c>
      <c r="C891" s="10">
        <v>30.545000000000002</v>
      </c>
      <c r="D891" s="10">
        <v>32.450000000000003</v>
      </c>
      <c r="E891" s="10">
        <v>30.555</v>
      </c>
      <c r="F891" s="10" t="s">
        <v>3433</v>
      </c>
      <c r="G891" s="11">
        <v>8.5000000000000006E-3</v>
      </c>
    </row>
    <row r="892" spans="1:7" x14ac:dyDescent="0.35">
      <c r="A892" s="5" t="s">
        <v>1980</v>
      </c>
      <c r="B892" s="9">
        <v>32.137</v>
      </c>
      <c r="C892" s="10">
        <v>30.565000000000001</v>
      </c>
      <c r="D892" s="10">
        <v>32.515000000000001</v>
      </c>
      <c r="E892" s="10">
        <v>31.78</v>
      </c>
      <c r="F892" s="10" t="s">
        <v>3434</v>
      </c>
      <c r="G892" s="11">
        <v>4.6300000000000001E-2</v>
      </c>
    </row>
    <row r="893" spans="1:7" x14ac:dyDescent="0.35">
      <c r="A893" s="5" t="s">
        <v>1982</v>
      </c>
      <c r="B893" s="9">
        <v>32.372999999999998</v>
      </c>
      <c r="C893" s="10">
        <v>32.31</v>
      </c>
      <c r="D893" s="10">
        <v>32.28</v>
      </c>
      <c r="E893" s="10">
        <v>31.18</v>
      </c>
      <c r="F893" s="10" t="s">
        <v>3435</v>
      </c>
      <c r="G893" s="11">
        <v>7.3000000000000001E-3</v>
      </c>
    </row>
    <row r="894" spans="1:7" x14ac:dyDescent="0.35">
      <c r="A894" s="5" t="s">
        <v>1984</v>
      </c>
      <c r="B894" s="9">
        <v>31.68</v>
      </c>
      <c r="C894" s="10">
        <v>32.5</v>
      </c>
      <c r="D894" s="10">
        <v>31.945</v>
      </c>
      <c r="E894" s="10">
        <v>30.344999999999999</v>
      </c>
      <c r="F894" s="10" t="s">
        <v>3436</v>
      </c>
      <c r="G894" s="11">
        <v>-2.1399999999999999E-2</v>
      </c>
    </row>
    <row r="895" spans="1:7" x14ac:dyDescent="0.35">
      <c r="A895" s="5" t="s">
        <v>1986</v>
      </c>
      <c r="B895" s="9">
        <v>30.942</v>
      </c>
      <c r="C895" s="10">
        <v>30.765000000000001</v>
      </c>
      <c r="D895" s="10">
        <v>31.04</v>
      </c>
      <c r="E895" s="10">
        <v>29.504999999999999</v>
      </c>
      <c r="F895" s="10" t="s">
        <v>3437</v>
      </c>
      <c r="G895" s="11">
        <v>-2.3300000000000001E-2</v>
      </c>
    </row>
    <row r="896" spans="1:7" x14ac:dyDescent="0.35">
      <c r="A896" s="5" t="s">
        <v>1988</v>
      </c>
      <c r="B896" s="9">
        <v>29.771999999999998</v>
      </c>
      <c r="C896" s="10">
        <v>31.07</v>
      </c>
      <c r="D896" s="10">
        <v>30.184999999999999</v>
      </c>
      <c r="E896" s="10">
        <v>29.524999999999999</v>
      </c>
      <c r="F896" s="10" t="s">
        <v>3438</v>
      </c>
      <c r="G896" s="11">
        <v>-3.78E-2</v>
      </c>
    </row>
    <row r="897" spans="1:7" x14ac:dyDescent="0.35">
      <c r="A897" s="5" t="s">
        <v>1990</v>
      </c>
      <c r="B897" s="9">
        <v>30.228999999999999</v>
      </c>
      <c r="C897" s="10">
        <v>29.96</v>
      </c>
      <c r="D897" s="10">
        <v>31.47</v>
      </c>
      <c r="E897" s="10">
        <v>30.065000000000001</v>
      </c>
      <c r="F897" s="10" t="s">
        <v>3439</v>
      </c>
      <c r="G897" s="11">
        <v>1.54E-2</v>
      </c>
    </row>
    <row r="898" spans="1:7" x14ac:dyDescent="0.35">
      <c r="A898" s="5" t="s">
        <v>1992</v>
      </c>
      <c r="B898" s="9">
        <v>31.532</v>
      </c>
      <c r="C898" s="10">
        <v>30.614999999999998</v>
      </c>
      <c r="D898" s="10">
        <v>31.67</v>
      </c>
      <c r="E898" s="10">
        <v>29.22</v>
      </c>
      <c r="F898" s="10" t="s">
        <v>3440</v>
      </c>
      <c r="G898" s="11">
        <v>4.3099999999999999E-2</v>
      </c>
    </row>
    <row r="899" spans="1:7" x14ac:dyDescent="0.35">
      <c r="A899" s="5" t="s">
        <v>1994</v>
      </c>
      <c r="B899" s="9">
        <v>30.03</v>
      </c>
      <c r="C899" s="10">
        <v>29.454999999999998</v>
      </c>
      <c r="D899" s="10">
        <v>29.984999999999999</v>
      </c>
      <c r="E899" s="10">
        <v>29.135000000000002</v>
      </c>
      <c r="F899" s="10" t="s">
        <v>3441</v>
      </c>
      <c r="G899" s="11">
        <v>-4.7600000000000003E-2</v>
      </c>
    </row>
    <row r="900" spans="1:7" x14ac:dyDescent="0.35">
      <c r="A900" s="5" t="s">
        <v>1996</v>
      </c>
      <c r="B900" s="9">
        <v>29.385999999999999</v>
      </c>
      <c r="C900" s="10">
        <v>29.515000000000001</v>
      </c>
      <c r="D900" s="10">
        <v>30.355</v>
      </c>
      <c r="E900" s="10">
        <v>29.28</v>
      </c>
      <c r="F900" s="10" t="s">
        <v>3442</v>
      </c>
      <c r="G900" s="11">
        <v>-2.1399999999999999E-2</v>
      </c>
    </row>
    <row r="901" spans="1:7" x14ac:dyDescent="0.35">
      <c r="A901" s="5" t="s">
        <v>1998</v>
      </c>
      <c r="B901" s="9">
        <v>30.422000000000001</v>
      </c>
      <c r="C901" s="10">
        <v>29.63</v>
      </c>
      <c r="D901" s="10">
        <v>29.83</v>
      </c>
      <c r="E901" s="10">
        <v>28.73</v>
      </c>
      <c r="F901" s="10" t="s">
        <v>3443</v>
      </c>
      <c r="G901" s="11">
        <v>3.5299999999999998E-2</v>
      </c>
    </row>
    <row r="902" spans="1:7" x14ac:dyDescent="0.35">
      <c r="A902" s="5" t="s">
        <v>2000</v>
      </c>
      <c r="B902" s="9">
        <v>29.216000000000001</v>
      </c>
      <c r="C902" s="10">
        <v>29.86</v>
      </c>
      <c r="D902" s="10">
        <v>29.65</v>
      </c>
      <c r="E902" s="10">
        <v>28.905000000000001</v>
      </c>
      <c r="F902" s="10" t="s">
        <v>3444</v>
      </c>
      <c r="G902" s="11">
        <v>-3.9600000000000003E-2</v>
      </c>
    </row>
    <row r="903" spans="1:7" x14ac:dyDescent="0.35">
      <c r="A903" s="5" t="s">
        <v>2002</v>
      </c>
      <c r="B903" s="9">
        <v>29.545000000000002</v>
      </c>
      <c r="C903" s="10">
        <v>29.71</v>
      </c>
      <c r="D903" s="10">
        <v>29.76</v>
      </c>
      <c r="E903" s="10">
        <v>28.984999999999999</v>
      </c>
      <c r="F903" s="10" t="s">
        <v>3445</v>
      </c>
      <c r="G903" s="11">
        <v>1.1299999999999999E-2</v>
      </c>
    </row>
    <row r="904" spans="1:7" x14ac:dyDescent="0.35">
      <c r="A904" s="5" t="s">
        <v>2004</v>
      </c>
      <c r="B904" s="9">
        <v>29.716999999999999</v>
      </c>
      <c r="C904" s="10">
        <v>29.72</v>
      </c>
      <c r="D904" s="10">
        <v>30.844999999999999</v>
      </c>
      <c r="E904" s="10">
        <v>29.41</v>
      </c>
      <c r="F904" s="10" t="s">
        <v>3446</v>
      </c>
      <c r="G904" s="11">
        <v>5.7999999999999996E-3</v>
      </c>
    </row>
    <row r="905" spans="1:7" x14ac:dyDescent="0.35">
      <c r="A905" s="5" t="s">
        <v>2006</v>
      </c>
      <c r="B905" s="9">
        <v>30.981000000000002</v>
      </c>
      <c r="C905" s="10">
        <v>29.74</v>
      </c>
      <c r="D905" s="10">
        <v>30.905000000000001</v>
      </c>
      <c r="E905" s="10">
        <v>29.504999999999999</v>
      </c>
      <c r="F905" s="10" t="s">
        <v>3447</v>
      </c>
      <c r="G905" s="11">
        <v>4.2500000000000003E-2</v>
      </c>
    </row>
    <row r="906" spans="1:7" x14ac:dyDescent="0.35">
      <c r="A906" s="5" t="s">
        <v>2008</v>
      </c>
      <c r="B906" s="9">
        <v>29.684999999999999</v>
      </c>
      <c r="C906" s="10">
        <v>29.75</v>
      </c>
      <c r="D906" s="10">
        <v>29.69</v>
      </c>
      <c r="E906" s="10">
        <v>28.855</v>
      </c>
      <c r="F906" s="10" t="s">
        <v>3448</v>
      </c>
      <c r="G906" s="11">
        <v>-4.1799999999999997E-2</v>
      </c>
    </row>
    <row r="907" spans="1:7" x14ac:dyDescent="0.35">
      <c r="A907" s="5" t="s">
        <v>2010</v>
      </c>
      <c r="B907" s="9">
        <v>29.027999999999999</v>
      </c>
      <c r="C907" s="10">
        <v>29.734999999999999</v>
      </c>
      <c r="D907" s="10">
        <v>29.094999999999999</v>
      </c>
      <c r="E907" s="10">
        <v>28.58</v>
      </c>
      <c r="F907" s="10" t="s">
        <v>3449</v>
      </c>
      <c r="G907" s="11">
        <v>-2.2100000000000002E-2</v>
      </c>
    </row>
    <row r="908" spans="1:7" x14ac:dyDescent="0.35">
      <c r="A908" s="5" t="s">
        <v>2012</v>
      </c>
      <c r="B908" s="9">
        <v>29.091000000000001</v>
      </c>
      <c r="C908" s="10">
        <v>29.145</v>
      </c>
      <c r="D908" s="10">
        <v>29.574999999999999</v>
      </c>
      <c r="E908" s="10">
        <v>28.99</v>
      </c>
      <c r="F908" s="10" t="s">
        <v>3450</v>
      </c>
      <c r="G908" s="11">
        <v>2.2000000000000001E-3</v>
      </c>
    </row>
    <row r="909" spans="1:7" x14ac:dyDescent="0.35">
      <c r="A909" s="5" t="s">
        <v>2014</v>
      </c>
      <c r="B909" s="9">
        <v>29.256</v>
      </c>
      <c r="C909" s="10">
        <v>29.08</v>
      </c>
      <c r="D909" s="10">
        <v>29.954999999999998</v>
      </c>
      <c r="E909" s="10">
        <v>29.07</v>
      </c>
      <c r="F909" s="10" t="s">
        <v>3451</v>
      </c>
      <c r="G909" s="11">
        <v>5.7000000000000002E-3</v>
      </c>
    </row>
    <row r="910" spans="1:7" x14ac:dyDescent="0.35">
      <c r="A910" s="5" t="s">
        <v>2016</v>
      </c>
      <c r="B910" s="9">
        <v>29.613</v>
      </c>
      <c r="C910" s="10">
        <v>29.445</v>
      </c>
      <c r="D910" s="10">
        <v>30.125</v>
      </c>
      <c r="E910" s="10">
        <v>29.49</v>
      </c>
      <c r="F910" s="10" t="s">
        <v>3452</v>
      </c>
      <c r="G910" s="11">
        <v>1.2200000000000001E-2</v>
      </c>
    </row>
    <row r="911" spans="1:7" x14ac:dyDescent="0.35">
      <c r="A911" s="5" t="s">
        <v>2018</v>
      </c>
      <c r="B911" s="9">
        <v>29.658000000000001</v>
      </c>
      <c r="C911" s="10">
        <v>29.765000000000001</v>
      </c>
      <c r="D911" s="10">
        <v>30.975000000000001</v>
      </c>
      <c r="E911" s="10">
        <v>29.77</v>
      </c>
      <c r="F911" s="10" t="s">
        <v>3453</v>
      </c>
      <c r="G911" s="11">
        <v>1.5E-3</v>
      </c>
    </row>
    <row r="912" spans="1:7" x14ac:dyDescent="0.35">
      <c r="A912" s="5" t="s">
        <v>2020</v>
      </c>
      <c r="B912" s="9">
        <v>30.841999999999999</v>
      </c>
      <c r="C912" s="10">
        <v>29.815000000000001</v>
      </c>
      <c r="D912" s="10">
        <v>31.79</v>
      </c>
      <c r="E912" s="10">
        <v>30.45</v>
      </c>
      <c r="F912" s="10" t="s">
        <v>3454</v>
      </c>
      <c r="G912" s="11">
        <v>3.9899999999999998E-2</v>
      </c>
    </row>
    <row r="913" spans="1:7" x14ac:dyDescent="0.35">
      <c r="A913" s="5" t="s">
        <v>2022</v>
      </c>
      <c r="B913" s="9">
        <v>30.913</v>
      </c>
      <c r="C913" s="10">
        <v>31.475000000000001</v>
      </c>
      <c r="D913" s="10">
        <v>31.434999999999999</v>
      </c>
      <c r="E913" s="10">
        <v>30.785</v>
      </c>
      <c r="F913" s="10" t="s">
        <v>3455</v>
      </c>
      <c r="G913" s="11">
        <v>2.3E-3</v>
      </c>
    </row>
    <row r="914" spans="1:7" x14ac:dyDescent="0.35">
      <c r="A914" s="5" t="s">
        <v>2024</v>
      </c>
      <c r="B914" s="9">
        <v>31.056000000000001</v>
      </c>
      <c r="C914" s="10">
        <v>31.02</v>
      </c>
      <c r="D914" s="10">
        <v>31.445</v>
      </c>
      <c r="E914" s="10">
        <v>30.914999999999999</v>
      </c>
      <c r="F914" s="10" t="s">
        <v>3456</v>
      </c>
      <c r="G914" s="11">
        <v>4.5999999999999999E-3</v>
      </c>
    </row>
    <row r="915" spans="1:7" x14ac:dyDescent="0.35">
      <c r="A915" s="5" t="s">
        <v>2026</v>
      </c>
      <c r="B915" s="9">
        <v>31.013999999999999</v>
      </c>
      <c r="C915" s="10">
        <v>31.085000000000001</v>
      </c>
      <c r="D915" s="10">
        <v>32.015000000000001</v>
      </c>
      <c r="E915" s="10">
        <v>31.07</v>
      </c>
      <c r="F915" s="10" t="s">
        <v>3457</v>
      </c>
      <c r="G915" s="11">
        <v>-1.4E-3</v>
      </c>
    </row>
    <row r="916" spans="1:7" x14ac:dyDescent="0.35">
      <c r="A916" s="5" t="s">
        <v>2028</v>
      </c>
      <c r="B916" s="9">
        <v>31.670999999999999</v>
      </c>
      <c r="C916" s="10">
        <v>31.07</v>
      </c>
      <c r="D916" s="10">
        <v>31.725000000000001</v>
      </c>
      <c r="E916" s="10">
        <v>30.62</v>
      </c>
      <c r="F916" s="10" t="s">
        <v>3458</v>
      </c>
      <c r="G916" s="11">
        <v>2.12E-2</v>
      </c>
    </row>
    <row r="917" spans="1:7" x14ac:dyDescent="0.35">
      <c r="A917" s="5" t="s">
        <v>2029</v>
      </c>
      <c r="B917" s="9">
        <v>30.936</v>
      </c>
      <c r="C917" s="10">
        <v>31.1</v>
      </c>
      <c r="D917" s="10">
        <v>31.635000000000002</v>
      </c>
      <c r="E917" s="10">
        <v>30.72</v>
      </c>
      <c r="F917" s="10" t="s">
        <v>3459</v>
      </c>
      <c r="G917" s="11">
        <v>-2.3199999999999998E-2</v>
      </c>
    </row>
    <row r="918" spans="1:7" x14ac:dyDescent="0.35">
      <c r="A918" s="5" t="s">
        <v>2031</v>
      </c>
      <c r="B918" s="9">
        <v>31.457999999999998</v>
      </c>
      <c r="C918" s="10">
        <v>30.93</v>
      </c>
      <c r="D918" s="10">
        <v>31.655000000000001</v>
      </c>
      <c r="E918" s="10">
        <v>30.254999999999999</v>
      </c>
      <c r="F918" s="10" t="s">
        <v>3460</v>
      </c>
      <c r="G918" s="11">
        <v>1.6899999999999998E-2</v>
      </c>
    </row>
    <row r="919" spans="1:7" x14ac:dyDescent="0.35">
      <c r="A919" s="5" t="s">
        <v>2033</v>
      </c>
      <c r="B919" s="9">
        <v>30.376999999999999</v>
      </c>
      <c r="C919" s="10">
        <v>31.495000000000001</v>
      </c>
      <c r="D919" s="10">
        <v>30.8</v>
      </c>
      <c r="E919" s="10">
        <v>29.94</v>
      </c>
      <c r="F919" s="10" t="s">
        <v>3461</v>
      </c>
      <c r="G919" s="11">
        <v>-3.44E-2</v>
      </c>
    </row>
    <row r="920" spans="1:7" x14ac:dyDescent="0.35">
      <c r="A920" s="5" t="s">
        <v>2035</v>
      </c>
      <c r="B920" s="9">
        <v>30.224</v>
      </c>
      <c r="C920" s="10">
        <v>30.504999999999999</v>
      </c>
      <c r="D920" s="10">
        <v>30.03</v>
      </c>
      <c r="E920" s="10">
        <v>29.06</v>
      </c>
      <c r="F920" s="10" t="s">
        <v>3462</v>
      </c>
      <c r="G920" s="11">
        <v>-5.0000000000000001E-3</v>
      </c>
    </row>
    <row r="921" spans="1:7" x14ac:dyDescent="0.35">
      <c r="A921" s="5" t="s">
        <v>2037</v>
      </c>
      <c r="B921" s="9">
        <v>29.321000000000002</v>
      </c>
      <c r="C921" s="10">
        <v>29.425000000000001</v>
      </c>
      <c r="D921" s="10">
        <v>29.48</v>
      </c>
      <c r="E921" s="10">
        <v>28.824999999999999</v>
      </c>
      <c r="F921" s="10" t="s">
        <v>3463</v>
      </c>
      <c r="G921" s="11">
        <v>-2.9899999999999999E-2</v>
      </c>
    </row>
    <row r="922" spans="1:7" x14ac:dyDescent="0.35">
      <c r="A922" s="5" t="s">
        <v>2039</v>
      </c>
      <c r="B922" s="9">
        <v>29.331</v>
      </c>
      <c r="C922" s="10">
        <v>29.315000000000001</v>
      </c>
      <c r="D922" s="10">
        <v>29.63</v>
      </c>
      <c r="E922" s="10">
        <v>29.065000000000001</v>
      </c>
      <c r="F922" s="10" t="s">
        <v>3464</v>
      </c>
      <c r="G922" s="11">
        <v>2.9999999999999997E-4</v>
      </c>
    </row>
    <row r="923" spans="1:7" x14ac:dyDescent="0.35">
      <c r="A923" s="5" t="s">
        <v>2041</v>
      </c>
      <c r="B923" s="9">
        <v>29.315999999999999</v>
      </c>
      <c r="C923" s="10">
        <v>29.42</v>
      </c>
      <c r="D923" s="10">
        <v>29.08</v>
      </c>
      <c r="E923" s="10">
        <v>27.555</v>
      </c>
      <c r="F923" s="10" t="s">
        <v>3465</v>
      </c>
      <c r="G923" s="11">
        <v>-5.0000000000000001E-4</v>
      </c>
    </row>
    <row r="924" spans="1:7" x14ac:dyDescent="0.35">
      <c r="A924" s="5" t="s">
        <v>2043</v>
      </c>
      <c r="B924" s="9">
        <v>27.975000000000001</v>
      </c>
      <c r="C924" s="10">
        <v>29.074999999999999</v>
      </c>
      <c r="D924" s="10">
        <v>28.22</v>
      </c>
      <c r="E924" s="10">
        <v>27.75</v>
      </c>
      <c r="F924" s="10" t="s">
        <v>3466</v>
      </c>
      <c r="G924" s="11">
        <v>-4.5699999999999998E-2</v>
      </c>
    </row>
    <row r="925" spans="1:7" x14ac:dyDescent="0.35">
      <c r="A925" s="5" t="s">
        <v>2045</v>
      </c>
      <c r="B925" s="9">
        <v>27.866</v>
      </c>
      <c r="C925" s="10">
        <v>28.06</v>
      </c>
      <c r="D925" s="10">
        <v>28.56</v>
      </c>
      <c r="E925" s="10">
        <v>27.765000000000001</v>
      </c>
      <c r="F925" s="10" t="s">
        <v>2710</v>
      </c>
      <c r="G925" s="11">
        <v>-3.8999999999999998E-3</v>
      </c>
    </row>
    <row r="926" spans="1:7" x14ac:dyDescent="0.35">
      <c r="A926" s="5" t="s">
        <v>2047</v>
      </c>
      <c r="B926" s="9">
        <v>28.684999999999999</v>
      </c>
      <c r="C926" s="10">
        <v>28.434999999999999</v>
      </c>
      <c r="D926" s="10">
        <v>29.184999999999999</v>
      </c>
      <c r="E926" s="10">
        <v>28.39</v>
      </c>
      <c r="F926" s="10" t="s">
        <v>2679</v>
      </c>
      <c r="G926" s="11">
        <v>2.9399999999999999E-2</v>
      </c>
    </row>
    <row r="927" spans="1:7" x14ac:dyDescent="0.35">
      <c r="A927" s="5" t="s">
        <v>2049</v>
      </c>
      <c r="B927" s="9">
        <v>29.073</v>
      </c>
      <c r="C927" s="10">
        <v>28.965</v>
      </c>
      <c r="D927" s="10">
        <v>29.29</v>
      </c>
      <c r="E927" s="10">
        <v>28.335000000000001</v>
      </c>
      <c r="F927" s="10" t="s">
        <v>3467</v>
      </c>
      <c r="G927" s="11">
        <v>1.35E-2</v>
      </c>
    </row>
    <row r="928" spans="1:7" x14ac:dyDescent="0.35">
      <c r="A928" s="5" t="s">
        <v>2051</v>
      </c>
      <c r="B928" s="9">
        <v>28.606999999999999</v>
      </c>
      <c r="C928" s="10">
        <v>29.07</v>
      </c>
      <c r="D928" s="10">
        <v>29.355</v>
      </c>
      <c r="E928" s="10">
        <v>28.06</v>
      </c>
      <c r="F928" s="10" t="s">
        <v>3468</v>
      </c>
      <c r="G928" s="11">
        <v>-1.6E-2</v>
      </c>
    </row>
    <row r="929" spans="1:7" x14ac:dyDescent="0.35">
      <c r="A929" s="5" t="s">
        <v>2053</v>
      </c>
      <c r="B929" s="9">
        <v>27.338000000000001</v>
      </c>
      <c r="C929" s="10">
        <v>28.72</v>
      </c>
      <c r="D929" s="10">
        <v>27.67</v>
      </c>
      <c r="E929" s="10">
        <v>26.7</v>
      </c>
      <c r="F929" s="10" t="s">
        <v>3469</v>
      </c>
      <c r="G929" s="11">
        <v>-4.4400000000000002E-2</v>
      </c>
    </row>
    <row r="930" spans="1:7" x14ac:dyDescent="0.35">
      <c r="A930" s="5" t="s">
        <v>2055</v>
      </c>
      <c r="B930" s="9">
        <v>27.341000000000001</v>
      </c>
      <c r="C930" s="10">
        <v>27.55</v>
      </c>
      <c r="D930" s="10">
        <v>27.364999999999998</v>
      </c>
      <c r="E930" s="10">
        <v>26.664999999999999</v>
      </c>
      <c r="F930" s="10" t="s">
        <v>3470</v>
      </c>
      <c r="G930" s="11">
        <v>1E-4</v>
      </c>
    </row>
    <row r="931" spans="1:7" x14ac:dyDescent="0.35">
      <c r="A931" s="5" t="s">
        <v>2057</v>
      </c>
      <c r="B931" s="9">
        <v>27.068999999999999</v>
      </c>
      <c r="C931" s="10">
        <v>27.15</v>
      </c>
      <c r="D931" s="10">
        <v>27.69</v>
      </c>
      <c r="E931" s="10">
        <v>26.504999999999999</v>
      </c>
      <c r="F931" s="10" t="s">
        <v>3471</v>
      </c>
      <c r="G931" s="11">
        <v>-9.9000000000000008E-3</v>
      </c>
    </row>
    <row r="932" spans="1:7" x14ac:dyDescent="0.35">
      <c r="A932" s="5" t="s">
        <v>2059</v>
      </c>
      <c r="B932" s="9">
        <v>27.733000000000001</v>
      </c>
      <c r="C932" s="10">
        <v>27.024999999999999</v>
      </c>
      <c r="D932" s="10">
        <v>27.84</v>
      </c>
      <c r="E932" s="10">
        <v>27.324999999999999</v>
      </c>
      <c r="F932" s="10" t="s">
        <v>3472</v>
      </c>
      <c r="G932" s="11">
        <v>2.4500000000000001E-2</v>
      </c>
    </row>
    <row r="933" spans="1:7" x14ac:dyDescent="0.35">
      <c r="A933" s="5" t="s">
        <v>2061</v>
      </c>
      <c r="B933" s="9">
        <v>28.134</v>
      </c>
      <c r="C933" s="10">
        <v>27.63</v>
      </c>
      <c r="D933" s="10">
        <v>28.135000000000002</v>
      </c>
      <c r="E933" s="10">
        <v>27.51</v>
      </c>
      <c r="F933" s="10" t="s">
        <v>3473</v>
      </c>
      <c r="G933" s="11">
        <v>1.4500000000000001E-2</v>
      </c>
    </row>
    <row r="934" spans="1:7" x14ac:dyDescent="0.35">
      <c r="A934" s="5" t="s">
        <v>2063</v>
      </c>
      <c r="B934" s="9">
        <v>27.916</v>
      </c>
      <c r="C934" s="10">
        <v>28</v>
      </c>
      <c r="D934" s="10">
        <v>28.175000000000001</v>
      </c>
      <c r="E934" s="10">
        <v>27.23</v>
      </c>
      <c r="F934" s="10" t="s">
        <v>3474</v>
      </c>
      <c r="G934" s="11">
        <v>-7.7000000000000002E-3</v>
      </c>
    </row>
    <row r="935" spans="1:7" x14ac:dyDescent="0.35">
      <c r="A935" s="5" t="s">
        <v>2065</v>
      </c>
      <c r="B935" s="9">
        <v>27.469000000000001</v>
      </c>
      <c r="C935" s="10">
        <v>28.055</v>
      </c>
      <c r="D935" s="10">
        <v>28.58</v>
      </c>
      <c r="E935" s="10">
        <v>27.524999999999999</v>
      </c>
      <c r="F935" s="10" t="s">
        <v>3475</v>
      </c>
      <c r="G935" s="11">
        <v>-1.6E-2</v>
      </c>
    </row>
    <row r="936" spans="1:7" x14ac:dyDescent="0.35">
      <c r="A936" s="5" t="s">
        <v>2067</v>
      </c>
      <c r="B936" s="9">
        <v>28.547999999999998</v>
      </c>
      <c r="C936" s="10">
        <v>27.81</v>
      </c>
      <c r="D936" s="10">
        <v>29.094999999999999</v>
      </c>
      <c r="E936" s="10">
        <v>28.085000000000001</v>
      </c>
      <c r="F936" s="10" t="s">
        <v>3476</v>
      </c>
      <c r="G936" s="11">
        <v>3.9300000000000002E-2</v>
      </c>
    </row>
    <row r="937" spans="1:7" x14ac:dyDescent="0.35">
      <c r="A937" s="5" t="s">
        <v>2069</v>
      </c>
      <c r="B937" s="9">
        <v>29.44</v>
      </c>
      <c r="C937" s="10">
        <v>29.22</v>
      </c>
      <c r="D937" s="10">
        <v>30.035</v>
      </c>
      <c r="E937" s="10">
        <v>29.254999999999999</v>
      </c>
      <c r="F937" s="10" t="s">
        <v>3477</v>
      </c>
      <c r="G937" s="11">
        <v>3.1199999999999999E-2</v>
      </c>
    </row>
    <row r="938" spans="1:7" x14ac:dyDescent="0.35">
      <c r="A938" s="5" t="s">
        <v>2071</v>
      </c>
      <c r="B938" s="9">
        <v>29.658999999999999</v>
      </c>
      <c r="C938" s="10">
        <v>29.61</v>
      </c>
      <c r="D938" s="10">
        <v>29.77</v>
      </c>
      <c r="E938" s="10">
        <v>29.23</v>
      </c>
      <c r="F938" s="10" t="s">
        <v>3478</v>
      </c>
      <c r="G938" s="11">
        <v>7.4000000000000003E-3</v>
      </c>
    </row>
    <row r="939" spans="1:7" x14ac:dyDescent="0.35">
      <c r="A939" s="5" t="s">
        <v>2073</v>
      </c>
      <c r="B939" s="9">
        <v>29.675999999999998</v>
      </c>
      <c r="C939" s="10">
        <v>29.524999999999999</v>
      </c>
      <c r="D939" s="10">
        <v>29.7</v>
      </c>
      <c r="E939" s="10">
        <v>28.795000000000002</v>
      </c>
      <c r="F939" s="10" t="s">
        <v>3479</v>
      </c>
      <c r="G939" s="11">
        <v>5.9999999999999995E-4</v>
      </c>
    </row>
    <row r="940" spans="1:7" x14ac:dyDescent="0.35">
      <c r="A940" s="5" t="s">
        <v>2075</v>
      </c>
      <c r="B940" s="9">
        <v>29.184999999999999</v>
      </c>
      <c r="C940" s="10">
        <v>29.73</v>
      </c>
      <c r="D940" s="10">
        <v>29.914999999999999</v>
      </c>
      <c r="E940" s="10">
        <v>28.945</v>
      </c>
      <c r="F940" s="10" t="s">
        <v>2855</v>
      </c>
      <c r="G940" s="11">
        <v>-1.6500000000000001E-2</v>
      </c>
    </row>
    <row r="941" spans="1:7" x14ac:dyDescent="0.35">
      <c r="A941" s="5" t="s">
        <v>2077</v>
      </c>
      <c r="B941" s="9">
        <v>30.155000000000001</v>
      </c>
      <c r="C941" s="10">
        <v>30.03</v>
      </c>
      <c r="D941" s="10">
        <v>30.11</v>
      </c>
      <c r="E941" s="10">
        <v>29.7</v>
      </c>
      <c r="F941" s="10" t="s">
        <v>3480</v>
      </c>
      <c r="G941" s="11">
        <v>3.32E-2</v>
      </c>
    </row>
    <row r="942" spans="1:7" x14ac:dyDescent="0.35">
      <c r="A942" s="5" t="s">
        <v>2079</v>
      </c>
      <c r="B942" s="9">
        <v>30.125</v>
      </c>
      <c r="C942" s="10">
        <v>30.055</v>
      </c>
      <c r="D942" s="10">
        <v>30.1</v>
      </c>
      <c r="E942" s="10">
        <v>29.08</v>
      </c>
      <c r="F942" s="10" t="s">
        <v>3481</v>
      </c>
      <c r="G942" s="11">
        <v>-1E-3</v>
      </c>
    </row>
    <row r="943" spans="1:7" x14ac:dyDescent="0.35">
      <c r="A943" s="5" t="s">
        <v>2081</v>
      </c>
      <c r="B943" s="9">
        <v>29.34</v>
      </c>
      <c r="C943" s="10">
        <v>30.14</v>
      </c>
      <c r="D943" s="10">
        <v>30.085000000000001</v>
      </c>
      <c r="E943" s="10">
        <v>29.54</v>
      </c>
      <c r="F943" s="10" t="s">
        <v>3482</v>
      </c>
      <c r="G943" s="11">
        <v>-2.6100000000000002E-2</v>
      </c>
    </row>
    <row r="944" spans="1:7" x14ac:dyDescent="0.35">
      <c r="A944" s="5" t="s">
        <v>2083</v>
      </c>
      <c r="B944" s="9">
        <v>29.827000000000002</v>
      </c>
      <c r="C944" s="10">
        <v>29.56</v>
      </c>
      <c r="D944" s="10">
        <v>30</v>
      </c>
      <c r="E944" s="10">
        <v>29.08</v>
      </c>
      <c r="F944" s="10" t="s">
        <v>3483</v>
      </c>
      <c r="G944" s="11">
        <v>1.66E-2</v>
      </c>
    </row>
    <row r="945" spans="1:7" x14ac:dyDescent="0.35">
      <c r="A945" s="5" t="s">
        <v>3742</v>
      </c>
      <c r="B945" s="9">
        <v>29.25</v>
      </c>
      <c r="C945" s="10">
        <v>29.187999999999999</v>
      </c>
      <c r="D945" s="10">
        <v>29.35</v>
      </c>
      <c r="E945" s="10">
        <v>28.055</v>
      </c>
      <c r="F945" s="10" t="s">
        <v>3484</v>
      </c>
      <c r="G945" s="11">
        <v>-1.9300000000000001E-2</v>
      </c>
    </row>
    <row r="946" spans="1:7" x14ac:dyDescent="0.35">
      <c r="A946" s="5" t="s">
        <v>2085</v>
      </c>
      <c r="B946" s="9">
        <v>28.207999999999998</v>
      </c>
      <c r="C946" s="10">
        <v>28.65</v>
      </c>
      <c r="D946" s="10">
        <v>28.715</v>
      </c>
      <c r="E946" s="10">
        <v>28.11</v>
      </c>
      <c r="F946" s="10" t="s">
        <v>3351</v>
      </c>
      <c r="G946" s="11">
        <v>-3.56E-2</v>
      </c>
    </row>
    <row r="947" spans="1:7" x14ac:dyDescent="0.35">
      <c r="A947" s="5" t="s">
        <v>2087</v>
      </c>
      <c r="B947" s="9">
        <v>28.420999999999999</v>
      </c>
      <c r="C947" s="10">
        <v>28.05</v>
      </c>
      <c r="D947" s="10">
        <v>29.55</v>
      </c>
      <c r="E947" s="10">
        <v>28.535</v>
      </c>
      <c r="F947" s="10" t="s">
        <v>3485</v>
      </c>
      <c r="G947" s="11">
        <v>7.6E-3</v>
      </c>
    </row>
    <row r="948" spans="1:7" x14ac:dyDescent="0.35">
      <c r="A948" s="5" t="s">
        <v>2089</v>
      </c>
      <c r="B948" s="9">
        <v>28.96</v>
      </c>
      <c r="C948" s="10">
        <v>28.47</v>
      </c>
      <c r="D948" s="10">
        <v>29.47</v>
      </c>
      <c r="E948" s="10">
        <v>28.01</v>
      </c>
      <c r="F948" s="10" t="s">
        <v>3486</v>
      </c>
      <c r="G948" s="11">
        <v>1.9E-2</v>
      </c>
    </row>
    <row r="949" spans="1:7" x14ac:dyDescent="0.35">
      <c r="A949" s="5" t="s">
        <v>2091</v>
      </c>
      <c r="B949" s="9">
        <v>28.521000000000001</v>
      </c>
      <c r="C949" s="10">
        <v>27.96</v>
      </c>
      <c r="D949" s="10">
        <v>28.89</v>
      </c>
      <c r="E949" s="10">
        <v>28.36</v>
      </c>
      <c r="F949" s="10" t="s">
        <v>3487</v>
      </c>
      <c r="G949" s="11">
        <v>-1.52E-2</v>
      </c>
    </row>
    <row r="950" spans="1:7" x14ac:dyDescent="0.35">
      <c r="A950" s="5" t="s">
        <v>2093</v>
      </c>
      <c r="B950" s="9">
        <v>28.484000000000002</v>
      </c>
      <c r="C950" s="10">
        <v>28.5</v>
      </c>
      <c r="D950" s="10">
        <v>29.215</v>
      </c>
      <c r="E950" s="10">
        <v>28.39</v>
      </c>
      <c r="F950" s="10" t="s">
        <v>3488</v>
      </c>
      <c r="G950" s="11">
        <v>-1.2999999999999999E-3</v>
      </c>
    </row>
    <row r="951" spans="1:7" x14ac:dyDescent="0.35">
      <c r="A951" s="5" t="s">
        <v>2095</v>
      </c>
      <c r="B951" s="9">
        <v>28.792999999999999</v>
      </c>
      <c r="C951" s="10">
        <v>28.88</v>
      </c>
      <c r="D951" s="10">
        <v>30.25</v>
      </c>
      <c r="E951" s="10">
        <v>28.85</v>
      </c>
      <c r="F951" s="10" t="s">
        <v>3489</v>
      </c>
      <c r="G951" s="11">
        <v>1.0800000000000001E-2</v>
      </c>
    </row>
    <row r="952" spans="1:7" x14ac:dyDescent="0.35">
      <c r="A952" s="5" t="s">
        <v>2097</v>
      </c>
      <c r="B952" s="9">
        <v>29.966999999999999</v>
      </c>
      <c r="C952" s="10">
        <v>29.04</v>
      </c>
      <c r="D952" s="10">
        <v>31.28</v>
      </c>
      <c r="E952" s="10">
        <v>30.19</v>
      </c>
      <c r="F952" s="10" t="s">
        <v>3490</v>
      </c>
      <c r="G952" s="11">
        <v>4.0800000000000003E-2</v>
      </c>
    </row>
    <row r="953" spans="1:7" x14ac:dyDescent="0.35">
      <c r="A953" s="5" t="s">
        <v>2098</v>
      </c>
      <c r="B953" s="9">
        <v>30.99</v>
      </c>
      <c r="C953" s="10">
        <v>31.1</v>
      </c>
      <c r="D953" s="10">
        <v>31.35</v>
      </c>
      <c r="E953" s="10">
        <v>30.86</v>
      </c>
      <c r="F953" s="10" t="s">
        <v>3491</v>
      </c>
      <c r="G953" s="11">
        <v>3.4099999999999998E-2</v>
      </c>
    </row>
    <row r="954" spans="1:7" x14ac:dyDescent="0.35">
      <c r="A954" s="5" t="s">
        <v>2100</v>
      </c>
      <c r="B954" s="9">
        <v>30.834</v>
      </c>
      <c r="C954" s="10">
        <v>30.954999999999998</v>
      </c>
      <c r="D954" s="10">
        <v>31.585000000000001</v>
      </c>
      <c r="E954" s="10">
        <v>30.035</v>
      </c>
      <c r="F954" s="10" t="s">
        <v>3492</v>
      </c>
      <c r="G954" s="11">
        <v>-5.0000000000000001E-3</v>
      </c>
    </row>
    <row r="955" spans="1:7" x14ac:dyDescent="0.35">
      <c r="A955" s="5" t="s">
        <v>2102</v>
      </c>
      <c r="B955" s="9">
        <v>30.542000000000002</v>
      </c>
      <c r="C955" s="10">
        <v>30.67</v>
      </c>
      <c r="D955" s="10">
        <v>31.625</v>
      </c>
      <c r="E955" s="10">
        <v>30.22</v>
      </c>
      <c r="F955" s="10" t="s">
        <v>3493</v>
      </c>
      <c r="G955" s="11">
        <v>-9.4999999999999998E-3</v>
      </c>
    </row>
    <row r="956" spans="1:7" x14ac:dyDescent="0.35">
      <c r="A956" s="5" t="s">
        <v>2104</v>
      </c>
      <c r="B956" s="9">
        <v>31.280999999999999</v>
      </c>
      <c r="C956" s="10">
        <v>30.355</v>
      </c>
      <c r="D956" s="10">
        <v>31.754999999999999</v>
      </c>
      <c r="E956" s="10">
        <v>31.04</v>
      </c>
      <c r="F956" s="10" t="s">
        <v>3494</v>
      </c>
      <c r="G956" s="11">
        <v>2.4199999999999999E-2</v>
      </c>
    </row>
    <row r="957" spans="1:7" x14ac:dyDescent="0.35">
      <c r="A957" s="5" t="s">
        <v>2106</v>
      </c>
      <c r="B957" s="9">
        <v>30.94</v>
      </c>
      <c r="C957" s="10">
        <v>30.914999999999999</v>
      </c>
      <c r="D957" s="10">
        <v>32.6</v>
      </c>
      <c r="E957" s="10">
        <v>30.96</v>
      </c>
      <c r="F957" s="10" t="s">
        <v>3495</v>
      </c>
      <c r="G957" s="11">
        <v>-1.09E-2</v>
      </c>
    </row>
    <row r="958" spans="1:7" x14ac:dyDescent="0.35">
      <c r="A958" s="5" t="s">
        <v>2108</v>
      </c>
      <c r="B958" s="9">
        <v>32.28</v>
      </c>
      <c r="C958" s="10">
        <v>30.9</v>
      </c>
      <c r="D958" s="10">
        <v>32.61</v>
      </c>
      <c r="E958" s="10">
        <v>31.87</v>
      </c>
      <c r="F958" s="10" t="s">
        <v>3496</v>
      </c>
      <c r="G958" s="11">
        <v>4.3299999999999998E-2</v>
      </c>
    </row>
    <row r="959" spans="1:7" x14ac:dyDescent="0.35">
      <c r="A959" s="5" t="s">
        <v>2110</v>
      </c>
      <c r="B959" s="9">
        <v>31.87</v>
      </c>
      <c r="C959" s="10">
        <v>32.33</v>
      </c>
      <c r="D959" s="10">
        <v>33.020000000000003</v>
      </c>
      <c r="E959" s="10">
        <v>32.034999999999997</v>
      </c>
      <c r="F959" s="10" t="s">
        <v>3497</v>
      </c>
      <c r="G959" s="11">
        <v>-1.2699999999999999E-2</v>
      </c>
    </row>
    <row r="960" spans="1:7" x14ac:dyDescent="0.35">
      <c r="A960" s="5" t="s">
        <v>2112</v>
      </c>
      <c r="B960" s="9">
        <v>32.195</v>
      </c>
      <c r="C960" s="10">
        <v>32.04</v>
      </c>
      <c r="D960" s="10">
        <v>32.590000000000003</v>
      </c>
      <c r="E960" s="10">
        <v>31.635000000000002</v>
      </c>
      <c r="F960" s="10" t="s">
        <v>3498</v>
      </c>
      <c r="G960" s="11">
        <v>1.0200000000000001E-2</v>
      </c>
    </row>
    <row r="961" spans="1:7" x14ac:dyDescent="0.35">
      <c r="A961" s="5" t="s">
        <v>2114</v>
      </c>
      <c r="B961" s="9">
        <v>31.457999999999998</v>
      </c>
      <c r="C961" s="10">
        <v>31.945</v>
      </c>
      <c r="D961" s="10">
        <v>32.145000000000003</v>
      </c>
      <c r="E961" s="10">
        <v>31.38</v>
      </c>
      <c r="F961" s="10" t="s">
        <v>3499</v>
      </c>
      <c r="G961" s="11">
        <v>-2.29E-2</v>
      </c>
    </row>
    <row r="962" spans="1:7" x14ac:dyDescent="0.35">
      <c r="A962" s="5" t="s">
        <v>2116</v>
      </c>
      <c r="B962" s="9">
        <v>31.742000000000001</v>
      </c>
      <c r="C962" s="10">
        <v>31.42</v>
      </c>
      <c r="D962" s="10">
        <v>32.590000000000003</v>
      </c>
      <c r="E962" s="10">
        <v>31.26</v>
      </c>
      <c r="F962" s="10" t="s">
        <v>3500</v>
      </c>
      <c r="G962" s="11">
        <v>8.9999999999999993E-3</v>
      </c>
    </row>
    <row r="963" spans="1:7" x14ac:dyDescent="0.35">
      <c r="A963" s="5" t="s">
        <v>2118</v>
      </c>
      <c r="B963" s="9">
        <v>31.92</v>
      </c>
      <c r="C963" s="10">
        <v>31.704999999999998</v>
      </c>
      <c r="D963" s="10">
        <v>32.484999999999999</v>
      </c>
      <c r="E963" s="10">
        <v>31.65</v>
      </c>
      <c r="F963" s="10" t="s">
        <v>3501</v>
      </c>
      <c r="G963" s="11">
        <v>5.5999999999999999E-3</v>
      </c>
    </row>
    <row r="964" spans="1:7" x14ac:dyDescent="0.35">
      <c r="A964" s="5" t="s">
        <v>2120</v>
      </c>
      <c r="B964" s="9">
        <v>32.463999999999999</v>
      </c>
      <c r="C964" s="10">
        <v>32.1</v>
      </c>
      <c r="D964" s="10">
        <v>33.225000000000001</v>
      </c>
      <c r="E964" s="10">
        <v>31.754999999999999</v>
      </c>
      <c r="F964" s="10" t="s">
        <v>3502</v>
      </c>
      <c r="G964" s="11">
        <v>1.7000000000000001E-2</v>
      </c>
    </row>
    <row r="965" spans="1:7" x14ac:dyDescent="0.35">
      <c r="A965" s="5" t="s">
        <v>2122</v>
      </c>
      <c r="B965" s="9">
        <v>32.003999999999998</v>
      </c>
      <c r="C965" s="10">
        <v>32.450000000000003</v>
      </c>
      <c r="D965" s="10">
        <v>32.020000000000003</v>
      </c>
      <c r="E965" s="10">
        <v>30.344999999999999</v>
      </c>
      <c r="F965" s="10" t="s">
        <v>3503</v>
      </c>
      <c r="G965" s="11">
        <v>-1.4200000000000001E-2</v>
      </c>
    </row>
    <row r="966" spans="1:7" x14ac:dyDescent="0.35">
      <c r="A966" s="5" t="s">
        <v>2124</v>
      </c>
      <c r="B966" s="9">
        <v>30.6</v>
      </c>
      <c r="C966" s="10">
        <v>31.945</v>
      </c>
      <c r="D966" s="10">
        <v>31.004999999999999</v>
      </c>
      <c r="E966" s="10">
        <v>30.434999999999999</v>
      </c>
      <c r="F966" s="10" t="s">
        <v>3504</v>
      </c>
      <c r="G966" s="11">
        <v>-4.3900000000000002E-2</v>
      </c>
    </row>
    <row r="967" spans="1:7" x14ac:dyDescent="0.35">
      <c r="A967" s="5" t="s">
        <v>2126</v>
      </c>
      <c r="B967" s="9">
        <v>30.67</v>
      </c>
      <c r="C967" s="10">
        <v>30.86</v>
      </c>
      <c r="D967" s="10">
        <v>31.4</v>
      </c>
      <c r="E967" s="10">
        <v>30.57</v>
      </c>
      <c r="F967" s="10" t="s">
        <v>3505</v>
      </c>
      <c r="G967" s="11">
        <v>2.3E-3</v>
      </c>
    </row>
    <row r="968" spans="1:7" x14ac:dyDescent="0.35">
      <c r="A968" s="5" t="s">
        <v>2128</v>
      </c>
      <c r="B968" s="9">
        <v>31.24</v>
      </c>
      <c r="C968" s="10">
        <v>30.71</v>
      </c>
      <c r="D968" s="10">
        <v>31.844999999999999</v>
      </c>
      <c r="E968" s="10">
        <v>31.26</v>
      </c>
      <c r="F968" s="10" t="s">
        <v>3506</v>
      </c>
      <c r="G968" s="11">
        <v>1.8599999999999998E-2</v>
      </c>
    </row>
    <row r="969" spans="1:7" x14ac:dyDescent="0.35">
      <c r="A969" s="5" t="s">
        <v>2130</v>
      </c>
      <c r="B969" s="9">
        <v>31.315999999999999</v>
      </c>
      <c r="C969" s="10">
        <v>31.73</v>
      </c>
      <c r="D969" s="10">
        <v>31.89</v>
      </c>
      <c r="E969" s="10">
        <v>30.95</v>
      </c>
      <c r="F969" s="10" t="s">
        <v>3507</v>
      </c>
      <c r="G969" s="11">
        <v>2.3999999999999998E-3</v>
      </c>
    </row>
    <row r="970" spans="1:7" x14ac:dyDescent="0.35">
      <c r="A970" s="5" t="s">
        <v>2132</v>
      </c>
      <c r="B970" s="9">
        <v>31.756</v>
      </c>
      <c r="C970" s="10">
        <v>31.4</v>
      </c>
      <c r="D970" s="10">
        <v>32.384999999999998</v>
      </c>
      <c r="E970" s="10">
        <v>31.6</v>
      </c>
      <c r="F970" s="10" t="s">
        <v>3508</v>
      </c>
      <c r="G970" s="11">
        <v>1.41E-2</v>
      </c>
    </row>
    <row r="971" spans="1:7" x14ac:dyDescent="0.35">
      <c r="A971" s="5" t="s">
        <v>2134</v>
      </c>
      <c r="B971" s="9">
        <v>31.974</v>
      </c>
      <c r="C971" s="10">
        <v>31.684999999999999</v>
      </c>
      <c r="D971" s="10">
        <v>32.22</v>
      </c>
      <c r="E971" s="10">
        <v>31.484999999999999</v>
      </c>
      <c r="F971" s="10" t="s">
        <v>3509</v>
      </c>
      <c r="G971" s="11">
        <v>6.8999999999999999E-3</v>
      </c>
    </row>
    <row r="972" spans="1:7" x14ac:dyDescent="0.35">
      <c r="A972" s="5" t="s">
        <v>2136</v>
      </c>
      <c r="B972" s="9">
        <v>31.774000000000001</v>
      </c>
      <c r="C972" s="10">
        <v>31.905000000000001</v>
      </c>
      <c r="D972" s="10">
        <v>33.97</v>
      </c>
      <c r="E972" s="10">
        <v>31.855</v>
      </c>
      <c r="F972" s="10" t="s">
        <v>3510</v>
      </c>
      <c r="G972" s="11">
        <v>-6.3E-3</v>
      </c>
    </row>
    <row r="973" spans="1:7" x14ac:dyDescent="0.35">
      <c r="A973" s="5" t="s">
        <v>2138</v>
      </c>
      <c r="B973" s="9">
        <v>34.078000000000003</v>
      </c>
      <c r="C973" s="10">
        <v>33.9</v>
      </c>
      <c r="D973" s="10">
        <v>35.07</v>
      </c>
      <c r="E973" s="10">
        <v>33.97</v>
      </c>
      <c r="F973" s="10" t="s">
        <v>3511</v>
      </c>
      <c r="G973" s="11">
        <v>7.2499999999999995E-2</v>
      </c>
    </row>
    <row r="974" spans="1:7" x14ac:dyDescent="0.35">
      <c r="A974" s="5" t="s">
        <v>2140</v>
      </c>
      <c r="B974" s="9">
        <v>35.040999999999997</v>
      </c>
      <c r="C974" s="10">
        <v>34.01</v>
      </c>
      <c r="D974" s="10">
        <v>35.07</v>
      </c>
      <c r="E974" s="10">
        <v>33.61</v>
      </c>
      <c r="F974" s="10" t="s">
        <v>3512</v>
      </c>
      <c r="G974" s="11">
        <v>2.8299999999999999E-2</v>
      </c>
    </row>
    <row r="975" spans="1:7" x14ac:dyDescent="0.35">
      <c r="A975" s="5" t="s">
        <v>2142</v>
      </c>
      <c r="B975" s="9">
        <v>33.838999999999999</v>
      </c>
      <c r="C975" s="10">
        <v>35.055</v>
      </c>
      <c r="D975" s="10">
        <v>34.479999999999997</v>
      </c>
      <c r="E975" s="10">
        <v>33.42</v>
      </c>
      <c r="F975" s="10" t="s">
        <v>3513</v>
      </c>
      <c r="G975" s="11">
        <v>-3.4299999999999997E-2</v>
      </c>
    </row>
    <row r="976" spans="1:7" x14ac:dyDescent="0.35">
      <c r="A976" s="5" t="s">
        <v>2144</v>
      </c>
      <c r="B976" s="9">
        <v>33.795000000000002</v>
      </c>
      <c r="C976" s="10">
        <v>33.875</v>
      </c>
      <c r="D976" s="10">
        <v>34.195</v>
      </c>
      <c r="E976" s="10">
        <v>33.26</v>
      </c>
      <c r="F976" s="10" t="s">
        <v>3514</v>
      </c>
      <c r="G976" s="11">
        <v>-1.2999999999999999E-3</v>
      </c>
    </row>
    <row r="977" spans="1:7" x14ac:dyDescent="0.35">
      <c r="A977" s="5" t="s">
        <v>2146</v>
      </c>
      <c r="B977" s="9">
        <v>34.000999999999998</v>
      </c>
      <c r="C977" s="10">
        <v>33.83</v>
      </c>
      <c r="D977" s="10">
        <v>34.725000000000001</v>
      </c>
      <c r="E977" s="10">
        <v>33.765000000000001</v>
      </c>
      <c r="F977" s="10" t="s">
        <v>3515</v>
      </c>
      <c r="G977" s="11">
        <v>6.1000000000000004E-3</v>
      </c>
    </row>
    <row r="978" spans="1:7" x14ac:dyDescent="0.35">
      <c r="A978" s="5" t="s">
        <v>2148</v>
      </c>
      <c r="B978" s="9">
        <v>34.441000000000003</v>
      </c>
      <c r="C978" s="10">
        <v>33.844999999999999</v>
      </c>
      <c r="D978" s="10">
        <v>34.69</v>
      </c>
      <c r="E978" s="10">
        <v>33.564999999999998</v>
      </c>
      <c r="F978" s="10" t="s">
        <v>3182</v>
      </c>
      <c r="G978" s="11">
        <v>1.29E-2</v>
      </c>
    </row>
    <row r="979" spans="1:7" x14ac:dyDescent="0.35">
      <c r="A979" s="5" t="s">
        <v>2150</v>
      </c>
      <c r="B979" s="9">
        <v>34.234000000000002</v>
      </c>
      <c r="C979" s="10">
        <v>34.74</v>
      </c>
      <c r="D979" s="10">
        <v>34.04</v>
      </c>
      <c r="E979" s="10">
        <v>32.64</v>
      </c>
      <c r="F979" s="10" t="s">
        <v>3516</v>
      </c>
      <c r="G979" s="11">
        <v>-6.0000000000000001E-3</v>
      </c>
    </row>
    <row r="980" spans="1:7" x14ac:dyDescent="0.35">
      <c r="A980" s="5" t="s">
        <v>2152</v>
      </c>
      <c r="B980" s="9">
        <v>32.953000000000003</v>
      </c>
      <c r="C980" s="10">
        <v>34.01</v>
      </c>
      <c r="D980" s="10">
        <v>33.25</v>
      </c>
      <c r="E980" s="10">
        <v>32.46</v>
      </c>
      <c r="F980" s="10" t="s">
        <v>3416</v>
      </c>
      <c r="G980" s="11">
        <v>-3.7400000000000003E-2</v>
      </c>
    </row>
    <row r="981" spans="1:7" x14ac:dyDescent="0.35">
      <c r="A981" s="5" t="s">
        <v>2154</v>
      </c>
      <c r="B981" s="9">
        <v>32.765000000000001</v>
      </c>
      <c r="C981" s="10">
        <v>32.72</v>
      </c>
      <c r="D981" s="10">
        <v>33.055</v>
      </c>
      <c r="E981" s="10">
        <v>32.354999999999997</v>
      </c>
      <c r="F981" s="10" t="s">
        <v>3517</v>
      </c>
      <c r="G981" s="11">
        <v>-5.7000000000000002E-3</v>
      </c>
    </row>
    <row r="982" spans="1:7" x14ac:dyDescent="0.35">
      <c r="A982" s="5" t="s">
        <v>2156</v>
      </c>
      <c r="B982" s="9">
        <v>32.933999999999997</v>
      </c>
      <c r="C982" s="10">
        <v>32.734999999999999</v>
      </c>
      <c r="D982" s="10">
        <v>32.85</v>
      </c>
      <c r="E982" s="10">
        <v>30.94</v>
      </c>
      <c r="F982" s="10" t="s">
        <v>3518</v>
      </c>
      <c r="G982" s="11">
        <v>5.1999999999999998E-3</v>
      </c>
    </row>
    <row r="983" spans="1:7" x14ac:dyDescent="0.35">
      <c r="A983" s="5" t="s">
        <v>2158</v>
      </c>
      <c r="B983" s="9">
        <v>31.484999999999999</v>
      </c>
      <c r="C983" s="10">
        <v>32.935000000000002</v>
      </c>
      <c r="D983" s="10">
        <v>32.265000000000001</v>
      </c>
      <c r="E983" s="10">
        <v>30.96</v>
      </c>
      <c r="F983" s="10" t="s">
        <v>3519</v>
      </c>
      <c r="G983" s="11">
        <v>-4.3999999999999997E-2</v>
      </c>
    </row>
    <row r="984" spans="1:7" x14ac:dyDescent="0.35">
      <c r="A984" s="5" t="s">
        <v>2160</v>
      </c>
      <c r="B984" s="9">
        <v>32.012999999999998</v>
      </c>
      <c r="C984" s="10">
        <v>31.44</v>
      </c>
      <c r="D984" s="10">
        <v>32.17</v>
      </c>
      <c r="E984" s="10">
        <v>31.3</v>
      </c>
      <c r="F984" s="10" t="s">
        <v>3520</v>
      </c>
      <c r="G984" s="11">
        <v>1.6799999999999999E-2</v>
      </c>
    </row>
    <row r="985" spans="1:7" x14ac:dyDescent="0.35">
      <c r="A985" s="5" t="s">
        <v>2162</v>
      </c>
      <c r="B985" s="9">
        <v>30.768000000000001</v>
      </c>
      <c r="C985" s="10">
        <v>31.574999999999999</v>
      </c>
      <c r="D985" s="10">
        <v>30.93</v>
      </c>
      <c r="E985" s="10">
        <v>30.28</v>
      </c>
      <c r="F985" s="10" t="s">
        <v>3521</v>
      </c>
      <c r="G985" s="11">
        <v>-3.8899999999999997E-2</v>
      </c>
    </row>
    <row r="986" spans="1:7" x14ac:dyDescent="0.35">
      <c r="A986" s="5" t="s">
        <v>2164</v>
      </c>
      <c r="B986" s="9">
        <v>30.914999999999999</v>
      </c>
      <c r="C986" s="10">
        <v>30.934999999999999</v>
      </c>
      <c r="D986" s="10">
        <v>31.254999999999999</v>
      </c>
      <c r="E986" s="10">
        <v>30.385000000000002</v>
      </c>
      <c r="F986" s="10" t="s">
        <v>3522</v>
      </c>
      <c r="G986" s="11">
        <v>4.7999999999999996E-3</v>
      </c>
    </row>
    <row r="987" spans="1:7" x14ac:dyDescent="0.35">
      <c r="A987" s="5" t="s">
        <v>2166</v>
      </c>
      <c r="B987" s="9">
        <v>30.817</v>
      </c>
      <c r="C987" s="10">
        <v>31.16</v>
      </c>
      <c r="D987" s="10">
        <v>30.74</v>
      </c>
      <c r="E987" s="10">
        <v>29.75</v>
      </c>
      <c r="F987" s="10" t="s">
        <v>2969</v>
      </c>
      <c r="G987" s="11">
        <v>-3.2000000000000002E-3</v>
      </c>
    </row>
    <row r="988" spans="1:7" x14ac:dyDescent="0.35">
      <c r="A988" s="5" t="s">
        <v>2168</v>
      </c>
      <c r="B988" s="9">
        <v>30.724</v>
      </c>
      <c r="C988" s="10">
        <v>30.54</v>
      </c>
      <c r="D988" s="10">
        <v>30.9</v>
      </c>
      <c r="E988" s="10">
        <v>30.26</v>
      </c>
      <c r="F988" s="10" t="s">
        <v>3523</v>
      </c>
      <c r="G988" s="11">
        <v>-3.0000000000000001E-3</v>
      </c>
    </row>
    <row r="989" spans="1:7" x14ac:dyDescent="0.35">
      <c r="A989" s="5" t="s">
        <v>2170</v>
      </c>
      <c r="B989" s="9">
        <v>31.379000000000001</v>
      </c>
      <c r="C989" s="10">
        <v>30.53</v>
      </c>
      <c r="D989" s="10">
        <v>31.614999999999998</v>
      </c>
      <c r="E989" s="10">
        <v>31.125</v>
      </c>
      <c r="F989" s="10" t="s">
        <v>3524</v>
      </c>
      <c r="G989" s="11">
        <v>2.1299999999999999E-2</v>
      </c>
    </row>
    <row r="990" spans="1:7" x14ac:dyDescent="0.35">
      <c r="A990" s="5" t="s">
        <v>2172</v>
      </c>
      <c r="B990" s="9">
        <v>31.417000000000002</v>
      </c>
      <c r="C990" s="10">
        <v>31.414999999999999</v>
      </c>
      <c r="D990" s="10">
        <v>31.42</v>
      </c>
      <c r="E990" s="10">
        <v>30.86</v>
      </c>
      <c r="F990" s="10" t="s">
        <v>3525</v>
      </c>
      <c r="G990" s="11">
        <v>1.1999999999999999E-3</v>
      </c>
    </row>
    <row r="991" spans="1:7" x14ac:dyDescent="0.35">
      <c r="A991" s="5" t="s">
        <v>2174</v>
      </c>
      <c r="B991" s="9">
        <v>31.158999999999999</v>
      </c>
      <c r="C991" s="10">
        <v>31.465</v>
      </c>
      <c r="D991" s="10">
        <v>31.38</v>
      </c>
      <c r="E991" s="10">
        <v>30.715</v>
      </c>
      <c r="F991" s="10" t="s">
        <v>2775</v>
      </c>
      <c r="G991" s="11">
        <v>-8.2000000000000007E-3</v>
      </c>
    </row>
    <row r="992" spans="1:7" x14ac:dyDescent="0.35">
      <c r="A992" s="5" t="s">
        <v>2176</v>
      </c>
      <c r="B992" s="9">
        <v>31.099</v>
      </c>
      <c r="C992" s="10">
        <v>31.11</v>
      </c>
      <c r="D992" s="10">
        <v>31.47</v>
      </c>
      <c r="E992" s="10">
        <v>30.805</v>
      </c>
      <c r="F992" s="10" t="s">
        <v>3526</v>
      </c>
      <c r="G992" s="11">
        <v>-1.9E-3</v>
      </c>
    </row>
    <row r="993" spans="1:7" x14ac:dyDescent="0.35">
      <c r="A993" s="5" t="s">
        <v>2177</v>
      </c>
      <c r="B993" s="9">
        <v>30.396000000000001</v>
      </c>
      <c r="C993" s="10">
        <v>31.7</v>
      </c>
      <c r="D993" s="10">
        <v>30.74</v>
      </c>
      <c r="E993" s="10">
        <v>30.024999999999999</v>
      </c>
      <c r="F993" s="10" t="s">
        <v>3527</v>
      </c>
      <c r="G993" s="11">
        <v>-2.2599999999999999E-2</v>
      </c>
    </row>
    <row r="994" spans="1:7" x14ac:dyDescent="0.35">
      <c r="A994" s="5" t="s">
        <v>2179</v>
      </c>
      <c r="B994" s="9">
        <v>30.567</v>
      </c>
      <c r="C994" s="10">
        <v>30.51</v>
      </c>
      <c r="D994" s="10">
        <v>31.184999999999999</v>
      </c>
      <c r="E994" s="10">
        <v>30.434999999999999</v>
      </c>
      <c r="F994" s="10" t="s">
        <v>2807</v>
      </c>
      <c r="G994" s="11">
        <v>5.5999999999999999E-3</v>
      </c>
    </row>
    <row r="995" spans="1:7" x14ac:dyDescent="0.35">
      <c r="A995" s="5" t="s">
        <v>2181</v>
      </c>
      <c r="B995" s="9">
        <v>30.454999999999998</v>
      </c>
      <c r="C995" s="10">
        <v>30.93</v>
      </c>
      <c r="D995" s="10">
        <v>31.375</v>
      </c>
      <c r="E995" s="10">
        <v>30.094999999999999</v>
      </c>
      <c r="F995" s="10" t="s">
        <v>3528</v>
      </c>
      <c r="G995" s="11">
        <v>-3.7000000000000002E-3</v>
      </c>
    </row>
    <row r="996" spans="1:7" x14ac:dyDescent="0.35">
      <c r="A996" s="5" t="s">
        <v>2183</v>
      </c>
      <c r="B996" s="9">
        <v>30.742000000000001</v>
      </c>
      <c r="C996" s="10">
        <v>30.785</v>
      </c>
      <c r="D996" s="10">
        <v>31.57</v>
      </c>
      <c r="E996" s="10">
        <v>30.92</v>
      </c>
      <c r="F996" s="10" t="s">
        <v>3529</v>
      </c>
      <c r="G996" s="11">
        <v>9.4000000000000004E-3</v>
      </c>
    </row>
    <row r="997" spans="1:7" x14ac:dyDescent="0.35">
      <c r="A997" s="5" t="s">
        <v>2185</v>
      </c>
      <c r="B997" s="9">
        <v>31.363</v>
      </c>
      <c r="C997" s="10">
        <v>30.925000000000001</v>
      </c>
      <c r="D997" s="10">
        <v>32.07</v>
      </c>
      <c r="E997" s="10">
        <v>31.065000000000001</v>
      </c>
      <c r="F997" s="10" t="s">
        <v>3530</v>
      </c>
      <c r="G997" s="11">
        <v>2.0199999999999999E-2</v>
      </c>
    </row>
    <row r="998" spans="1:7" x14ac:dyDescent="0.35">
      <c r="A998" s="5" t="s">
        <v>2187</v>
      </c>
      <c r="B998" s="9">
        <v>31.786000000000001</v>
      </c>
      <c r="C998" s="10">
        <v>31.36</v>
      </c>
      <c r="D998" s="10">
        <v>31.95</v>
      </c>
      <c r="E998" s="10">
        <v>31.504999999999999</v>
      </c>
      <c r="F998" s="10" t="s">
        <v>3531</v>
      </c>
      <c r="G998" s="11">
        <v>1.35E-2</v>
      </c>
    </row>
    <row r="999" spans="1:7" x14ac:dyDescent="0.35">
      <c r="A999" s="5" t="s">
        <v>2189</v>
      </c>
      <c r="B999" s="9">
        <v>31.405999999999999</v>
      </c>
      <c r="C999" s="10">
        <v>31.815000000000001</v>
      </c>
      <c r="D999" s="10">
        <v>31.934999999999999</v>
      </c>
      <c r="E999" s="10">
        <v>31.32</v>
      </c>
      <c r="F999" s="10" t="s">
        <v>3532</v>
      </c>
      <c r="G999" s="11">
        <v>-1.2E-2</v>
      </c>
    </row>
    <row r="1000" spans="1:7" x14ac:dyDescent="0.35">
      <c r="A1000" s="5" t="s">
        <v>2191</v>
      </c>
      <c r="B1000" s="9">
        <v>32.481000000000002</v>
      </c>
      <c r="C1000" s="10">
        <v>31.46</v>
      </c>
      <c r="D1000" s="10">
        <v>32.795000000000002</v>
      </c>
      <c r="E1000" s="10">
        <v>32.305</v>
      </c>
      <c r="F1000" s="10" t="s">
        <v>3533</v>
      </c>
      <c r="G1000" s="11">
        <v>3.4200000000000001E-2</v>
      </c>
    </row>
    <row r="1001" spans="1:7" x14ac:dyDescent="0.35">
      <c r="A1001" s="5" t="s">
        <v>2193</v>
      </c>
      <c r="B1001" s="9">
        <v>32.612000000000002</v>
      </c>
      <c r="C1001" s="10">
        <v>32.46</v>
      </c>
      <c r="D1001" s="10">
        <v>33.14</v>
      </c>
      <c r="E1001" s="10">
        <v>32.409999999999997</v>
      </c>
      <c r="F1001" s="10" t="s">
        <v>3534</v>
      </c>
      <c r="G1001" s="11">
        <v>4.0000000000000001E-3</v>
      </c>
    </row>
    <row r="1002" spans="1:7" x14ac:dyDescent="0.35">
      <c r="A1002" s="5" t="s">
        <v>2195</v>
      </c>
      <c r="B1002" s="9">
        <v>32.823</v>
      </c>
      <c r="C1002" s="10">
        <v>32.54</v>
      </c>
      <c r="D1002" s="10">
        <v>33.33</v>
      </c>
      <c r="E1002" s="10">
        <v>31.495000000000001</v>
      </c>
      <c r="F1002" s="10" t="s">
        <v>3535</v>
      </c>
      <c r="G1002" s="11">
        <v>6.4999999999999997E-3</v>
      </c>
    </row>
    <row r="1003" spans="1:7" x14ac:dyDescent="0.35">
      <c r="A1003" s="5" t="s">
        <v>2197</v>
      </c>
      <c r="B1003" s="9">
        <v>31.481999999999999</v>
      </c>
      <c r="C1003" s="10">
        <v>32.880000000000003</v>
      </c>
      <c r="D1003" s="10">
        <v>31.63</v>
      </c>
      <c r="E1003" s="10">
        <v>30.754999999999999</v>
      </c>
      <c r="F1003" s="10" t="s">
        <v>3536</v>
      </c>
      <c r="G1003" s="11">
        <v>-4.0899999999999999E-2</v>
      </c>
    </row>
    <row r="1004" spans="1:7" x14ac:dyDescent="0.35">
      <c r="A1004" s="5" t="s">
        <v>2199</v>
      </c>
      <c r="B1004" s="9">
        <v>30.927</v>
      </c>
      <c r="C1004" s="10">
        <v>30.88</v>
      </c>
      <c r="D1004" s="10">
        <v>31.11</v>
      </c>
      <c r="E1004" s="10">
        <v>30.614999999999998</v>
      </c>
      <c r="F1004" s="10" t="s">
        <v>3537</v>
      </c>
      <c r="G1004" s="11">
        <v>-1.7600000000000001E-2</v>
      </c>
    </row>
    <row r="1005" spans="1:7" x14ac:dyDescent="0.35">
      <c r="A1005" s="5" t="s">
        <v>2201</v>
      </c>
      <c r="B1005" s="9">
        <v>30.795999999999999</v>
      </c>
      <c r="C1005" s="10">
        <v>30.91</v>
      </c>
      <c r="D1005" s="10">
        <v>31.045000000000002</v>
      </c>
      <c r="E1005" s="10">
        <v>29.754999999999999</v>
      </c>
      <c r="F1005" s="10" t="s">
        <v>3538</v>
      </c>
      <c r="G1005" s="11">
        <v>-4.1999999999999997E-3</v>
      </c>
    </row>
    <row r="1006" spans="1:7" x14ac:dyDescent="0.35">
      <c r="A1006" s="5" t="s">
        <v>2203</v>
      </c>
      <c r="B1006" s="9">
        <v>30.61</v>
      </c>
      <c r="C1006" s="10">
        <v>30.73</v>
      </c>
      <c r="D1006" s="10">
        <v>30.14</v>
      </c>
      <c r="E1006" s="10">
        <v>29.145</v>
      </c>
      <c r="F1006" s="10" t="s">
        <v>3539</v>
      </c>
      <c r="G1006" s="11">
        <v>-6.0000000000000001E-3</v>
      </c>
    </row>
    <row r="1007" spans="1:7" x14ac:dyDescent="0.35">
      <c r="A1007" s="5" t="s">
        <v>2205</v>
      </c>
      <c r="B1007" s="9">
        <v>29.282</v>
      </c>
      <c r="C1007" s="10">
        <v>29.664999999999999</v>
      </c>
      <c r="D1007" s="10">
        <v>30.234999999999999</v>
      </c>
      <c r="E1007" s="10">
        <v>29.195</v>
      </c>
      <c r="F1007" s="10" t="s">
        <v>3540</v>
      </c>
      <c r="G1007" s="11">
        <v>-4.3400000000000001E-2</v>
      </c>
    </row>
    <row r="1008" spans="1:7" x14ac:dyDescent="0.35">
      <c r="A1008" s="5" t="s">
        <v>2207</v>
      </c>
      <c r="B1008" s="9">
        <v>30.06</v>
      </c>
      <c r="C1008" s="10">
        <v>30.04</v>
      </c>
      <c r="D1008" s="10">
        <v>30.37</v>
      </c>
      <c r="E1008" s="10">
        <v>30.11</v>
      </c>
      <c r="F1008" s="10" t="s">
        <v>3541</v>
      </c>
      <c r="G1008" s="11">
        <v>2.6599999999999999E-2</v>
      </c>
    </row>
    <row r="1009" spans="1:7" x14ac:dyDescent="0.35">
      <c r="A1009" s="5" t="s">
        <v>2209</v>
      </c>
      <c r="B1009" s="9">
        <v>30.234000000000002</v>
      </c>
      <c r="C1009" s="10">
        <v>30.19</v>
      </c>
      <c r="D1009" s="10">
        <v>30.465</v>
      </c>
      <c r="E1009" s="10">
        <v>29.89</v>
      </c>
      <c r="F1009" s="10" t="s">
        <v>3542</v>
      </c>
      <c r="G1009" s="11">
        <v>5.7999999999999996E-3</v>
      </c>
    </row>
    <row r="1010" spans="1:7" x14ac:dyDescent="0.35">
      <c r="A1010" s="5" t="s">
        <v>2211</v>
      </c>
      <c r="B1010" s="9">
        <v>29.411999999999999</v>
      </c>
      <c r="C1010" s="10">
        <v>29.98</v>
      </c>
      <c r="D1010" s="10">
        <v>29.48</v>
      </c>
      <c r="E1010" s="10">
        <v>29.2</v>
      </c>
      <c r="F1010" s="10" t="s">
        <v>3543</v>
      </c>
      <c r="G1010" s="11">
        <v>-2.7199999999999998E-2</v>
      </c>
    </row>
    <row r="1011" spans="1:7" x14ac:dyDescent="0.35">
      <c r="A1011" s="5" t="s">
        <v>2213</v>
      </c>
      <c r="B1011" s="9">
        <v>29.9</v>
      </c>
      <c r="C1011" s="10">
        <v>29.31</v>
      </c>
      <c r="D1011" s="10">
        <v>30.38</v>
      </c>
      <c r="E1011" s="10">
        <v>29.934999999999999</v>
      </c>
      <c r="F1011" s="10" t="s">
        <v>3544</v>
      </c>
      <c r="G1011" s="11">
        <v>1.66E-2</v>
      </c>
    </row>
    <row r="1012" spans="1:7" x14ac:dyDescent="0.35">
      <c r="A1012" s="5" t="s">
        <v>2215</v>
      </c>
      <c r="B1012" s="9">
        <v>30.582999999999998</v>
      </c>
      <c r="C1012" s="10">
        <v>30.094999999999999</v>
      </c>
      <c r="D1012" s="10">
        <v>31.024999999999999</v>
      </c>
      <c r="E1012" s="10">
        <v>30.41</v>
      </c>
      <c r="F1012" s="10" t="s">
        <v>3545</v>
      </c>
      <c r="G1012" s="11">
        <v>2.2800000000000001E-2</v>
      </c>
    </row>
    <row r="1013" spans="1:7" x14ac:dyDescent="0.35">
      <c r="A1013" s="5" t="s">
        <v>2217</v>
      </c>
      <c r="B1013" s="9">
        <v>30.686</v>
      </c>
      <c r="C1013" s="10">
        <v>30.484999999999999</v>
      </c>
      <c r="D1013" s="10">
        <v>31.045000000000002</v>
      </c>
      <c r="E1013" s="10">
        <v>30.454999999999998</v>
      </c>
      <c r="F1013" s="10" t="s">
        <v>3546</v>
      </c>
      <c r="G1013" s="11">
        <v>3.3999999999999998E-3</v>
      </c>
    </row>
    <row r="1014" spans="1:7" x14ac:dyDescent="0.35">
      <c r="A1014" s="5" t="s">
        <v>2218</v>
      </c>
      <c r="B1014" s="9">
        <v>30.69</v>
      </c>
      <c r="C1014" s="10">
        <v>30.655000000000001</v>
      </c>
      <c r="D1014" s="10">
        <v>31.27</v>
      </c>
      <c r="E1014" s="10">
        <v>30.65</v>
      </c>
      <c r="F1014" s="10" t="s">
        <v>3547</v>
      </c>
      <c r="G1014" s="11">
        <v>1E-4</v>
      </c>
    </row>
    <row r="1015" spans="1:7" x14ac:dyDescent="0.35">
      <c r="A1015" s="5" t="s">
        <v>2220</v>
      </c>
      <c r="B1015" s="9">
        <v>31.015000000000001</v>
      </c>
      <c r="C1015" s="10">
        <v>30.73</v>
      </c>
      <c r="D1015" s="10">
        <v>31.84</v>
      </c>
      <c r="E1015" s="10">
        <v>30.7</v>
      </c>
      <c r="F1015" s="10" t="s">
        <v>3548</v>
      </c>
      <c r="G1015" s="11">
        <v>1.06E-2</v>
      </c>
    </row>
    <row r="1016" spans="1:7" x14ac:dyDescent="0.35">
      <c r="A1016" s="5" t="s">
        <v>2222</v>
      </c>
      <c r="B1016" s="9">
        <v>30.309000000000001</v>
      </c>
      <c r="C1016" s="10">
        <v>31.305</v>
      </c>
      <c r="D1016" s="10">
        <v>30.58</v>
      </c>
      <c r="E1016" s="10">
        <v>30.114999999999998</v>
      </c>
      <c r="F1016" s="10" t="s">
        <v>3549</v>
      </c>
      <c r="G1016" s="11">
        <v>-2.2800000000000001E-2</v>
      </c>
    </row>
    <row r="1017" spans="1:7" x14ac:dyDescent="0.35">
      <c r="A1017" s="5" t="s">
        <v>2224</v>
      </c>
      <c r="B1017" s="9">
        <v>30.350999999999999</v>
      </c>
      <c r="C1017" s="10">
        <v>30.305</v>
      </c>
      <c r="D1017" s="10">
        <v>31.65</v>
      </c>
      <c r="E1017" s="10">
        <v>30.37</v>
      </c>
      <c r="F1017" s="10" t="s">
        <v>3070</v>
      </c>
      <c r="G1017" s="11">
        <v>1.4E-3</v>
      </c>
    </row>
    <row r="1018" spans="1:7" x14ac:dyDescent="0.35">
      <c r="A1018" s="5" t="s">
        <v>2226</v>
      </c>
      <c r="B1018" s="9">
        <v>31.530999999999999</v>
      </c>
      <c r="C1018" s="10">
        <v>30.545000000000002</v>
      </c>
      <c r="D1018" s="10">
        <v>31.984999999999999</v>
      </c>
      <c r="E1018" s="10">
        <v>31.535</v>
      </c>
      <c r="F1018" s="10" t="s">
        <v>3550</v>
      </c>
      <c r="G1018" s="11">
        <v>3.8899999999999997E-2</v>
      </c>
    </row>
    <row r="1019" spans="1:7" x14ac:dyDescent="0.35">
      <c r="A1019" s="5" t="s">
        <v>2228</v>
      </c>
      <c r="B1019" s="9">
        <v>31.725000000000001</v>
      </c>
      <c r="C1019" s="10">
        <v>31.6</v>
      </c>
      <c r="D1019" s="10">
        <v>31.64</v>
      </c>
      <c r="E1019" s="10">
        <v>30.91</v>
      </c>
      <c r="F1019" s="10" t="s">
        <v>3551</v>
      </c>
      <c r="G1019" s="11">
        <v>6.1999999999999998E-3</v>
      </c>
    </row>
    <row r="1020" spans="1:7" x14ac:dyDescent="0.35">
      <c r="A1020" s="5" t="s">
        <v>2230</v>
      </c>
      <c r="B1020" s="9">
        <v>31.495999999999999</v>
      </c>
      <c r="C1020" s="10">
        <v>31.085000000000001</v>
      </c>
      <c r="D1020" s="10">
        <v>31.71</v>
      </c>
      <c r="E1020" s="10">
        <v>31.114999999999998</v>
      </c>
      <c r="F1020" s="10" t="s">
        <v>3552</v>
      </c>
      <c r="G1020" s="11">
        <v>-7.1999999999999998E-3</v>
      </c>
    </row>
    <row r="1021" spans="1:7" x14ac:dyDescent="0.35">
      <c r="A1021" s="5" t="s">
        <v>2232</v>
      </c>
      <c r="B1021" s="9">
        <v>31.42</v>
      </c>
      <c r="C1021" s="10">
        <v>31.555</v>
      </c>
      <c r="D1021" s="10">
        <v>31.395</v>
      </c>
      <c r="E1021" s="10">
        <v>30.465</v>
      </c>
      <c r="F1021" s="10" t="s">
        <v>3553</v>
      </c>
      <c r="G1021" s="11">
        <v>-2.3999999999999998E-3</v>
      </c>
    </row>
    <row r="1022" spans="1:7" x14ac:dyDescent="0.35">
      <c r="A1022" s="5" t="s">
        <v>2234</v>
      </c>
      <c r="B1022" s="9">
        <v>30.712</v>
      </c>
      <c r="C1022" s="10">
        <v>31.18</v>
      </c>
      <c r="D1022" s="10">
        <v>31.684999999999999</v>
      </c>
      <c r="E1022" s="10">
        <v>30.824999999999999</v>
      </c>
      <c r="F1022" s="10" t="s">
        <v>3554</v>
      </c>
      <c r="G1022" s="11">
        <v>-2.2499999999999999E-2</v>
      </c>
    </row>
    <row r="1023" spans="1:7" x14ac:dyDescent="0.35">
      <c r="A1023" s="5" t="s">
        <v>2236</v>
      </c>
      <c r="B1023" s="9">
        <v>30.283000000000001</v>
      </c>
      <c r="C1023" s="10">
        <v>30.614999999999998</v>
      </c>
      <c r="D1023" s="10">
        <v>30.96</v>
      </c>
      <c r="E1023" s="10">
        <v>30.234999999999999</v>
      </c>
      <c r="F1023" s="10" t="s">
        <v>3555</v>
      </c>
      <c r="G1023" s="11">
        <v>-1.4E-2</v>
      </c>
    </row>
    <row r="1024" spans="1:7" x14ac:dyDescent="0.35">
      <c r="A1024" s="5" t="s">
        <v>2238</v>
      </c>
      <c r="B1024" s="9">
        <v>30.754999999999999</v>
      </c>
      <c r="C1024" s="10">
        <v>30.44</v>
      </c>
      <c r="D1024" s="10">
        <v>31.765000000000001</v>
      </c>
      <c r="E1024" s="10">
        <v>30.754999999999999</v>
      </c>
      <c r="F1024" s="10" t="s">
        <v>3556</v>
      </c>
      <c r="G1024" s="11">
        <v>1.5599999999999999E-2</v>
      </c>
    </row>
    <row r="1025" spans="1:7" x14ac:dyDescent="0.35">
      <c r="A1025" s="5" t="s">
        <v>2240</v>
      </c>
      <c r="B1025" s="9">
        <v>31.263999999999999</v>
      </c>
      <c r="C1025" s="10">
        <v>30.78</v>
      </c>
      <c r="D1025" s="10">
        <v>32.814999999999998</v>
      </c>
      <c r="E1025" s="10">
        <v>31.56</v>
      </c>
      <c r="F1025" s="10" t="s">
        <v>3398</v>
      </c>
      <c r="G1025" s="11">
        <v>1.66E-2</v>
      </c>
    </row>
    <row r="1026" spans="1:7" x14ac:dyDescent="0.35">
      <c r="A1026" s="5" t="s">
        <v>2242</v>
      </c>
      <c r="B1026" s="9">
        <v>32.493000000000002</v>
      </c>
      <c r="C1026" s="10">
        <v>31.58</v>
      </c>
      <c r="D1026" s="10">
        <v>32.92</v>
      </c>
      <c r="E1026" s="10">
        <v>32.115000000000002</v>
      </c>
      <c r="F1026" s="10" t="s">
        <v>3557</v>
      </c>
      <c r="G1026" s="11">
        <v>3.9300000000000002E-2</v>
      </c>
    </row>
    <row r="1027" spans="1:7" x14ac:dyDescent="0.35">
      <c r="A1027" s="5" t="s">
        <v>2244</v>
      </c>
      <c r="B1027" s="9">
        <v>32.526000000000003</v>
      </c>
      <c r="C1027" s="10">
        <v>32.46</v>
      </c>
      <c r="D1027" s="10">
        <v>33.195</v>
      </c>
      <c r="E1027" s="10">
        <v>32.225000000000001</v>
      </c>
      <c r="F1027" s="10" t="s">
        <v>3015</v>
      </c>
      <c r="G1027" s="11">
        <v>1E-3</v>
      </c>
    </row>
    <row r="1028" spans="1:7" x14ac:dyDescent="0.35">
      <c r="A1028" s="5" t="s">
        <v>2246</v>
      </c>
      <c r="B1028" s="9">
        <v>33.021999999999998</v>
      </c>
      <c r="C1028" s="10">
        <v>32.54</v>
      </c>
      <c r="D1028" s="10">
        <v>33.215000000000003</v>
      </c>
      <c r="E1028" s="10">
        <v>32.630000000000003</v>
      </c>
      <c r="F1028" s="10" t="s">
        <v>3558</v>
      </c>
      <c r="G1028" s="11">
        <v>1.52E-2</v>
      </c>
    </row>
    <row r="1029" spans="1:7" x14ac:dyDescent="0.35">
      <c r="A1029" s="5" t="s">
        <v>2248</v>
      </c>
      <c r="B1029" s="9">
        <v>32.975999999999999</v>
      </c>
      <c r="C1029" s="10">
        <v>32.869999999999997</v>
      </c>
      <c r="D1029" s="10">
        <v>32.914999999999999</v>
      </c>
      <c r="E1029" s="10">
        <v>32.15</v>
      </c>
      <c r="F1029" s="10" t="s">
        <v>3134</v>
      </c>
      <c r="G1029" s="11">
        <v>-1.4E-3</v>
      </c>
    </row>
    <row r="1030" spans="1:7" x14ac:dyDescent="0.35">
      <c r="A1030" s="5" t="s">
        <v>2250</v>
      </c>
      <c r="B1030" s="9">
        <v>32.625999999999998</v>
      </c>
      <c r="C1030" s="10">
        <v>32.755000000000003</v>
      </c>
      <c r="D1030" s="10">
        <v>33.164999999999999</v>
      </c>
      <c r="E1030" s="10">
        <v>32.174999999999997</v>
      </c>
      <c r="F1030" s="10" t="s">
        <v>3559</v>
      </c>
      <c r="G1030" s="11">
        <v>-1.06E-2</v>
      </c>
    </row>
    <row r="1031" spans="1:7" x14ac:dyDescent="0.35">
      <c r="A1031" s="5" t="s">
        <v>2252</v>
      </c>
      <c r="B1031" s="9">
        <v>32.491</v>
      </c>
      <c r="C1031" s="10">
        <v>32.18</v>
      </c>
      <c r="D1031" s="10">
        <v>32.659999999999997</v>
      </c>
      <c r="E1031" s="10">
        <v>31.65</v>
      </c>
      <c r="F1031" s="10" t="s">
        <v>3560</v>
      </c>
      <c r="G1031" s="11">
        <v>-4.1000000000000003E-3</v>
      </c>
    </row>
    <row r="1032" spans="1:7" x14ac:dyDescent="0.35">
      <c r="A1032" s="5" t="s">
        <v>2254</v>
      </c>
      <c r="B1032" s="9">
        <v>32.322000000000003</v>
      </c>
      <c r="C1032" s="10">
        <v>32.494999999999997</v>
      </c>
      <c r="D1032" s="10">
        <v>32.869999999999997</v>
      </c>
      <c r="E1032" s="10">
        <v>31.875</v>
      </c>
      <c r="F1032" s="10" t="s">
        <v>3561</v>
      </c>
      <c r="G1032" s="11">
        <v>-5.1999999999999998E-3</v>
      </c>
    </row>
    <row r="1033" spans="1:7" x14ac:dyDescent="0.35">
      <c r="A1033" s="5" t="s">
        <v>2256</v>
      </c>
      <c r="B1033" s="9">
        <v>32.784999999999997</v>
      </c>
      <c r="C1033" s="10">
        <v>32.255000000000003</v>
      </c>
      <c r="D1033" s="10">
        <v>33.045000000000002</v>
      </c>
      <c r="E1033" s="10">
        <v>32.454999999999998</v>
      </c>
      <c r="F1033" s="10" t="s">
        <v>3562</v>
      </c>
      <c r="G1033" s="11">
        <v>1.43E-2</v>
      </c>
    </row>
    <row r="1034" spans="1:7" x14ac:dyDescent="0.35">
      <c r="A1034" s="5" t="s">
        <v>2258</v>
      </c>
      <c r="B1034" s="9">
        <v>32.725999999999999</v>
      </c>
      <c r="C1034" s="10">
        <v>32.71</v>
      </c>
      <c r="D1034" s="10">
        <v>34.24</v>
      </c>
      <c r="E1034" s="10">
        <v>32.585000000000001</v>
      </c>
      <c r="F1034" s="10" t="s">
        <v>3563</v>
      </c>
      <c r="G1034" s="11">
        <v>-1.8E-3</v>
      </c>
    </row>
    <row r="1035" spans="1:7" x14ac:dyDescent="0.35">
      <c r="A1035" s="5" t="s">
        <v>2260</v>
      </c>
      <c r="B1035" s="9">
        <v>33.372999999999998</v>
      </c>
      <c r="C1035" s="10">
        <v>32.68</v>
      </c>
      <c r="D1035" s="10">
        <v>33.64</v>
      </c>
      <c r="E1035" s="10">
        <v>32.884999999999998</v>
      </c>
      <c r="F1035" s="10" t="s">
        <v>3564</v>
      </c>
      <c r="G1035" s="11">
        <v>1.9800000000000002E-2</v>
      </c>
    </row>
    <row r="1036" spans="1:7" x14ac:dyDescent="0.35">
      <c r="A1036" s="5" t="s">
        <v>2262</v>
      </c>
      <c r="B1036" s="9">
        <v>33.042999999999999</v>
      </c>
      <c r="C1036" s="10">
        <v>33.42</v>
      </c>
      <c r="D1036" s="10">
        <v>33.784999999999997</v>
      </c>
      <c r="E1036" s="10">
        <v>33.085000000000001</v>
      </c>
      <c r="F1036" s="10" t="s">
        <v>3565</v>
      </c>
      <c r="G1036" s="11">
        <v>-9.9000000000000008E-3</v>
      </c>
    </row>
    <row r="1037" spans="1:7" x14ac:dyDescent="0.35">
      <c r="A1037" s="5" t="s">
        <v>2263</v>
      </c>
      <c r="B1037" s="9">
        <v>33.485999999999997</v>
      </c>
      <c r="C1037" s="10">
        <v>33.15</v>
      </c>
      <c r="D1037" s="10">
        <v>33.54</v>
      </c>
      <c r="E1037" s="10">
        <v>32.81</v>
      </c>
      <c r="F1037" s="10" t="s">
        <v>3129</v>
      </c>
      <c r="G1037" s="11">
        <v>1.34E-2</v>
      </c>
    </row>
    <row r="1038" spans="1:7" x14ac:dyDescent="0.35">
      <c r="A1038" s="5" t="s">
        <v>2265</v>
      </c>
      <c r="B1038" s="9">
        <v>32.762999999999998</v>
      </c>
      <c r="C1038" s="10">
        <v>33.045000000000002</v>
      </c>
      <c r="D1038" s="10">
        <v>32.79</v>
      </c>
      <c r="E1038" s="10">
        <v>31.6</v>
      </c>
      <c r="F1038" s="10" t="s">
        <v>3566</v>
      </c>
      <c r="G1038" s="11">
        <v>-2.1600000000000001E-2</v>
      </c>
    </row>
    <row r="1039" spans="1:7" x14ac:dyDescent="0.35">
      <c r="A1039" s="5" t="s">
        <v>2267</v>
      </c>
      <c r="B1039" s="9">
        <v>31.975999999999999</v>
      </c>
      <c r="C1039" s="10">
        <v>32.89</v>
      </c>
      <c r="D1039" s="10">
        <v>32.299999999999997</v>
      </c>
      <c r="E1039" s="10">
        <v>31.79</v>
      </c>
      <c r="F1039" s="10" t="s">
        <v>3567</v>
      </c>
      <c r="G1039" s="11">
        <v>-2.4E-2</v>
      </c>
    </row>
    <row r="1040" spans="1:7" x14ac:dyDescent="0.35">
      <c r="A1040" s="5" t="s">
        <v>2268</v>
      </c>
      <c r="B1040" s="9">
        <v>32.418999999999997</v>
      </c>
      <c r="C1040" s="10">
        <v>32.270000000000003</v>
      </c>
      <c r="D1040" s="10">
        <v>32.594999999999999</v>
      </c>
      <c r="E1040" s="10">
        <v>31.765000000000001</v>
      </c>
      <c r="F1040" s="10" t="s">
        <v>3568</v>
      </c>
      <c r="G1040" s="11">
        <v>1.3899999999999999E-2</v>
      </c>
    </row>
    <row r="1041" spans="1:7" x14ac:dyDescent="0.35">
      <c r="A1041" s="5" t="s">
        <v>2270</v>
      </c>
      <c r="B1041" s="9">
        <v>32.11</v>
      </c>
      <c r="C1041" s="10">
        <v>32.534999999999997</v>
      </c>
      <c r="D1041" s="10">
        <v>31.93</v>
      </c>
      <c r="E1041" s="10">
        <v>31.364999999999998</v>
      </c>
      <c r="F1041" s="10" t="s">
        <v>3569</v>
      </c>
      <c r="G1041" s="11">
        <v>-9.4999999999999998E-3</v>
      </c>
    </row>
    <row r="1042" spans="1:7" x14ac:dyDescent="0.35">
      <c r="A1042" s="5" t="s">
        <v>2272</v>
      </c>
      <c r="B1042" s="9">
        <v>32.31</v>
      </c>
      <c r="C1042" s="10">
        <v>31.715</v>
      </c>
      <c r="D1042" s="10">
        <v>32.659999999999997</v>
      </c>
      <c r="E1042" s="10">
        <v>32.03</v>
      </c>
      <c r="F1042" s="10" t="s">
        <v>3570</v>
      </c>
      <c r="G1042" s="11">
        <v>6.1999999999999998E-3</v>
      </c>
    </row>
    <row r="1043" spans="1:7" x14ac:dyDescent="0.35">
      <c r="A1043" s="5" t="s">
        <v>2274</v>
      </c>
      <c r="B1043" s="9">
        <v>32.381</v>
      </c>
      <c r="C1043" s="10">
        <v>32.265000000000001</v>
      </c>
      <c r="D1043" s="10">
        <v>33.31</v>
      </c>
      <c r="E1043" s="10">
        <v>32.395000000000003</v>
      </c>
      <c r="F1043" s="10" t="s">
        <v>3571</v>
      </c>
      <c r="G1043" s="11">
        <v>2.2000000000000001E-3</v>
      </c>
    </row>
    <row r="1044" spans="1:7" x14ac:dyDescent="0.35">
      <c r="A1044" s="5" t="s">
        <v>2276</v>
      </c>
      <c r="B1044" s="9">
        <v>33.134</v>
      </c>
      <c r="C1044" s="10">
        <v>32.56</v>
      </c>
      <c r="D1044" s="10">
        <v>33.380000000000003</v>
      </c>
      <c r="E1044" s="10">
        <v>32.86</v>
      </c>
      <c r="F1044" s="10" t="s">
        <v>3572</v>
      </c>
      <c r="G1044" s="11">
        <v>2.3300000000000001E-2</v>
      </c>
    </row>
    <row r="1045" spans="1:7" x14ac:dyDescent="0.35">
      <c r="A1045" s="5" t="s">
        <v>2278</v>
      </c>
      <c r="B1045" s="9">
        <v>33.338000000000001</v>
      </c>
      <c r="C1045" s="10">
        <v>33.234999999999999</v>
      </c>
      <c r="D1045" s="10">
        <v>33.31</v>
      </c>
      <c r="E1045" s="10">
        <v>32.56</v>
      </c>
      <c r="F1045" s="10" t="s">
        <v>3343</v>
      </c>
      <c r="G1045" s="11">
        <v>6.1999999999999998E-3</v>
      </c>
    </row>
    <row r="1046" spans="1:7" x14ac:dyDescent="0.35">
      <c r="A1046" s="5" t="s">
        <v>2280</v>
      </c>
      <c r="B1046" s="9">
        <v>32.53</v>
      </c>
      <c r="C1046" s="10">
        <v>32.945</v>
      </c>
      <c r="D1046" s="10">
        <v>33.445</v>
      </c>
      <c r="E1046" s="10">
        <v>32.215000000000003</v>
      </c>
      <c r="F1046" s="10" t="s">
        <v>3573</v>
      </c>
      <c r="G1046" s="11">
        <v>-2.4199999999999999E-2</v>
      </c>
    </row>
    <row r="1047" spans="1:7" x14ac:dyDescent="0.35">
      <c r="A1047" s="5" t="s">
        <v>2282</v>
      </c>
      <c r="B1047" s="9">
        <v>33.146999999999998</v>
      </c>
      <c r="C1047" s="10">
        <v>32.46</v>
      </c>
      <c r="D1047" s="10">
        <v>33.814999999999998</v>
      </c>
      <c r="E1047" s="10">
        <v>33.18</v>
      </c>
      <c r="F1047" s="10" t="s">
        <v>3574</v>
      </c>
      <c r="G1047" s="11">
        <v>1.9E-2</v>
      </c>
    </row>
    <row r="1048" spans="1:7" x14ac:dyDescent="0.35">
      <c r="A1048" s="5" t="s">
        <v>2284</v>
      </c>
      <c r="B1048" s="9">
        <v>33.743000000000002</v>
      </c>
      <c r="C1048" s="10">
        <v>33.375</v>
      </c>
      <c r="D1048" s="10">
        <v>34.68</v>
      </c>
      <c r="E1048" s="10">
        <v>33.435000000000002</v>
      </c>
      <c r="F1048" s="10" t="s">
        <v>3575</v>
      </c>
      <c r="G1048" s="11">
        <v>1.7999999999999999E-2</v>
      </c>
    </row>
    <row r="1049" spans="1:7" x14ac:dyDescent="0.35">
      <c r="A1049" s="5" t="s">
        <v>2286</v>
      </c>
      <c r="B1049" s="9">
        <v>34.305999999999997</v>
      </c>
      <c r="C1049" s="10">
        <v>33.725000000000001</v>
      </c>
      <c r="D1049" s="10">
        <v>34.86</v>
      </c>
      <c r="E1049" s="10">
        <v>34.14</v>
      </c>
      <c r="F1049" s="10" t="s">
        <v>3576</v>
      </c>
      <c r="G1049" s="11">
        <v>1.67E-2</v>
      </c>
    </row>
    <row r="1050" spans="1:7" x14ac:dyDescent="0.35">
      <c r="A1050" s="5" t="s">
        <v>2288</v>
      </c>
      <c r="B1050" s="9">
        <v>34.308</v>
      </c>
      <c r="C1050" s="10">
        <v>34.409999999999997</v>
      </c>
      <c r="D1050" s="10">
        <v>35</v>
      </c>
      <c r="E1050" s="10">
        <v>34.325000000000003</v>
      </c>
      <c r="F1050" s="10" t="s">
        <v>3577</v>
      </c>
      <c r="G1050" s="11">
        <v>1E-4</v>
      </c>
    </row>
    <row r="1051" spans="1:7" x14ac:dyDescent="0.35">
      <c r="A1051" s="5" t="s">
        <v>2290</v>
      </c>
      <c r="B1051" s="9">
        <v>34.817999999999998</v>
      </c>
      <c r="C1051" s="10">
        <v>34.380000000000003</v>
      </c>
      <c r="D1051" s="10">
        <v>34.79</v>
      </c>
      <c r="E1051" s="10">
        <v>34.11</v>
      </c>
      <c r="F1051" s="10" t="s">
        <v>3456</v>
      </c>
      <c r="G1051" s="11">
        <v>1.49E-2</v>
      </c>
    </row>
    <row r="1052" spans="1:7" x14ac:dyDescent="0.35">
      <c r="A1052" s="5" t="s">
        <v>2292</v>
      </c>
      <c r="B1052" s="9">
        <v>34.204999999999998</v>
      </c>
      <c r="C1052" s="10">
        <v>34.64</v>
      </c>
      <c r="D1052" s="10">
        <v>34.594999999999999</v>
      </c>
      <c r="E1052" s="10">
        <v>33.615000000000002</v>
      </c>
      <c r="F1052" s="10" t="s">
        <v>2905</v>
      </c>
      <c r="G1052" s="11">
        <v>-1.7600000000000001E-2</v>
      </c>
    </row>
    <row r="1053" spans="1:7" x14ac:dyDescent="0.35">
      <c r="A1053" s="5" t="s">
        <v>2294</v>
      </c>
      <c r="B1053" s="9">
        <v>33.991</v>
      </c>
      <c r="C1053" s="10">
        <v>34.424999999999997</v>
      </c>
      <c r="D1053" s="10">
        <v>34.134999999999998</v>
      </c>
      <c r="E1053" s="10">
        <v>33.164999999999999</v>
      </c>
      <c r="F1053" s="10" t="s">
        <v>3578</v>
      </c>
      <c r="G1053" s="11">
        <v>-6.3E-3</v>
      </c>
    </row>
    <row r="1054" spans="1:7" x14ac:dyDescent="0.35">
      <c r="A1054" s="5" t="s">
        <v>2296</v>
      </c>
      <c r="B1054" s="9">
        <v>33.450000000000003</v>
      </c>
      <c r="C1054" s="10">
        <v>33.54</v>
      </c>
      <c r="D1054" s="10">
        <v>34.365000000000002</v>
      </c>
      <c r="E1054" s="10">
        <v>33.43</v>
      </c>
      <c r="F1054" s="10" t="s">
        <v>3579</v>
      </c>
      <c r="G1054" s="11">
        <v>-1.5900000000000001E-2</v>
      </c>
    </row>
    <row r="1055" spans="1:7" x14ac:dyDescent="0.35">
      <c r="A1055" s="5" t="s">
        <v>2298</v>
      </c>
      <c r="B1055" s="9">
        <v>34.023000000000003</v>
      </c>
      <c r="C1055" s="10">
        <v>33.299999999999997</v>
      </c>
      <c r="D1055" s="10">
        <v>34.5</v>
      </c>
      <c r="E1055" s="10">
        <v>34.064999999999998</v>
      </c>
      <c r="F1055" s="10" t="s">
        <v>3580</v>
      </c>
      <c r="G1055" s="11">
        <v>1.7100000000000001E-2</v>
      </c>
    </row>
    <row r="1056" spans="1:7" x14ac:dyDescent="0.35">
      <c r="A1056" s="5" t="s">
        <v>2300</v>
      </c>
      <c r="B1056" s="9">
        <v>34.054000000000002</v>
      </c>
      <c r="C1056" s="10">
        <v>34.075000000000003</v>
      </c>
      <c r="D1056" s="10">
        <v>35.405000000000001</v>
      </c>
      <c r="E1056" s="10">
        <v>34.125</v>
      </c>
      <c r="F1056" s="10" t="s">
        <v>3581</v>
      </c>
      <c r="G1056" s="11">
        <v>8.9999999999999998E-4</v>
      </c>
    </row>
    <row r="1057" spans="1:7" x14ac:dyDescent="0.35">
      <c r="A1057" s="5" t="s">
        <v>2302</v>
      </c>
      <c r="B1057" s="9">
        <v>34.905000000000001</v>
      </c>
      <c r="C1057" s="10">
        <v>34.049999999999997</v>
      </c>
      <c r="D1057" s="10">
        <v>35.494999999999997</v>
      </c>
      <c r="E1057" s="10">
        <v>34.645000000000003</v>
      </c>
      <c r="F1057" s="10" t="s">
        <v>3216</v>
      </c>
      <c r="G1057" s="11">
        <v>2.5000000000000001E-2</v>
      </c>
    </row>
    <row r="1058" spans="1:7" x14ac:dyDescent="0.35">
      <c r="A1058" s="5" t="s">
        <v>2304</v>
      </c>
      <c r="B1058" s="9">
        <v>34.610999999999997</v>
      </c>
      <c r="C1058" s="10">
        <v>34.825000000000003</v>
      </c>
      <c r="D1058" s="10">
        <v>34.96</v>
      </c>
      <c r="E1058" s="10">
        <v>34.159999999999997</v>
      </c>
      <c r="F1058" s="10" t="s">
        <v>3582</v>
      </c>
      <c r="G1058" s="11">
        <v>-8.3999999999999995E-3</v>
      </c>
    </row>
    <row r="1059" spans="1:7" x14ac:dyDescent="0.35">
      <c r="A1059" s="5" t="s">
        <v>2306</v>
      </c>
      <c r="B1059" s="9">
        <v>34.308999999999997</v>
      </c>
      <c r="C1059" s="10">
        <v>34.770000000000003</v>
      </c>
      <c r="D1059" s="10">
        <v>35.155000000000001</v>
      </c>
      <c r="E1059" s="10">
        <v>34.29</v>
      </c>
      <c r="F1059" s="10" t="s">
        <v>3583</v>
      </c>
      <c r="G1059" s="11">
        <v>-8.6999999999999994E-3</v>
      </c>
    </row>
    <row r="1060" spans="1:7" x14ac:dyDescent="0.35">
      <c r="A1060" s="5" t="s">
        <v>2308</v>
      </c>
      <c r="B1060" s="9">
        <v>34.65</v>
      </c>
      <c r="C1060" s="10">
        <v>34.375</v>
      </c>
      <c r="D1060" s="10">
        <v>34.950000000000003</v>
      </c>
      <c r="E1060" s="10">
        <v>31.73</v>
      </c>
      <c r="F1060" s="10" t="s">
        <v>3584</v>
      </c>
      <c r="G1060" s="11">
        <v>9.9000000000000008E-3</v>
      </c>
    </row>
    <row r="1061" spans="1:7" x14ac:dyDescent="0.35">
      <c r="A1061" s="5" t="s">
        <v>2310</v>
      </c>
      <c r="B1061" s="9">
        <v>31.97</v>
      </c>
      <c r="C1061" s="10">
        <v>34.950000000000003</v>
      </c>
      <c r="D1061" s="10">
        <v>32.045000000000002</v>
      </c>
      <c r="E1061" s="10">
        <v>29.114999999999998</v>
      </c>
      <c r="F1061" s="10" t="s">
        <v>3585</v>
      </c>
      <c r="G1061" s="11">
        <v>-7.7299999999999994E-2</v>
      </c>
    </row>
    <row r="1062" spans="1:7" x14ac:dyDescent="0.35">
      <c r="A1062" s="5" t="s">
        <v>2312</v>
      </c>
      <c r="B1062" s="9">
        <v>29.603999999999999</v>
      </c>
      <c r="C1062" s="10">
        <v>29.23</v>
      </c>
      <c r="D1062" s="10">
        <v>30.52</v>
      </c>
      <c r="E1062" s="10">
        <v>29.56</v>
      </c>
      <c r="F1062" s="10" t="s">
        <v>3586</v>
      </c>
      <c r="G1062" s="11">
        <v>-7.3999999999999996E-2</v>
      </c>
    </row>
    <row r="1063" spans="1:7" x14ac:dyDescent="0.35">
      <c r="A1063" s="5" t="s">
        <v>2314</v>
      </c>
      <c r="B1063" s="9">
        <v>29.686</v>
      </c>
      <c r="C1063" s="10">
        <v>30.09</v>
      </c>
      <c r="D1063" s="10">
        <v>31.065000000000001</v>
      </c>
      <c r="E1063" s="10">
        <v>29.254999999999999</v>
      </c>
      <c r="F1063" s="10" t="s">
        <v>3587</v>
      </c>
      <c r="G1063" s="11">
        <v>2.8E-3</v>
      </c>
    </row>
    <row r="1064" spans="1:7" x14ac:dyDescent="0.35">
      <c r="A1064" s="5" t="s">
        <v>2316</v>
      </c>
      <c r="B1064" s="9">
        <v>30.414999999999999</v>
      </c>
      <c r="C1064" s="10">
        <v>29.78</v>
      </c>
      <c r="D1064" s="10">
        <v>31.245000000000001</v>
      </c>
      <c r="E1064" s="10">
        <v>30.51</v>
      </c>
      <c r="F1064" s="10" t="s">
        <v>3588</v>
      </c>
      <c r="G1064" s="11">
        <v>2.46E-2</v>
      </c>
    </row>
    <row r="1065" spans="1:7" x14ac:dyDescent="0.35">
      <c r="A1065" s="5" t="s">
        <v>2318</v>
      </c>
      <c r="B1065" s="9">
        <v>30.759</v>
      </c>
      <c r="C1065" s="10">
        <v>30.99</v>
      </c>
      <c r="D1065" s="10">
        <v>32.21</v>
      </c>
      <c r="E1065" s="10">
        <v>30.864999999999998</v>
      </c>
      <c r="F1065" s="10" t="s">
        <v>3589</v>
      </c>
      <c r="G1065" s="11">
        <v>1.1299999999999999E-2</v>
      </c>
    </row>
    <row r="1066" spans="1:7" x14ac:dyDescent="0.35">
      <c r="A1066" s="5" t="s">
        <v>2320</v>
      </c>
      <c r="B1066" s="9">
        <v>32.167000000000002</v>
      </c>
      <c r="C1066" s="10">
        <v>32.195</v>
      </c>
      <c r="D1066" s="10">
        <v>32.424999999999997</v>
      </c>
      <c r="E1066" s="10">
        <v>32.07</v>
      </c>
      <c r="F1066" s="10" t="s">
        <v>3590</v>
      </c>
      <c r="G1066" s="11">
        <v>4.58E-2</v>
      </c>
    </row>
    <row r="1067" spans="1:7" x14ac:dyDescent="0.35">
      <c r="A1067" s="5" t="s">
        <v>2322</v>
      </c>
      <c r="B1067" s="9">
        <v>32.296999999999997</v>
      </c>
      <c r="C1067" s="10">
        <v>32.28</v>
      </c>
      <c r="D1067" s="10">
        <v>33.174999999999997</v>
      </c>
      <c r="E1067" s="10">
        <v>32.255000000000003</v>
      </c>
      <c r="F1067" s="10" t="s">
        <v>3591</v>
      </c>
      <c r="G1067" s="11">
        <v>4.0000000000000001E-3</v>
      </c>
    </row>
    <row r="1068" spans="1:7" x14ac:dyDescent="0.35">
      <c r="A1068" s="5" t="s">
        <v>2324</v>
      </c>
      <c r="B1068" s="9">
        <v>32.979999999999997</v>
      </c>
      <c r="C1068" s="10">
        <v>32.305</v>
      </c>
      <c r="D1068" s="10">
        <v>32.924999999999997</v>
      </c>
      <c r="E1068" s="10">
        <v>32.11</v>
      </c>
      <c r="F1068" s="10" t="s">
        <v>3592</v>
      </c>
      <c r="G1068" s="11">
        <v>2.1100000000000001E-2</v>
      </c>
    </row>
    <row r="1069" spans="1:7" x14ac:dyDescent="0.35">
      <c r="A1069" s="5" t="s">
        <v>2326</v>
      </c>
      <c r="B1069" s="9">
        <v>32.521000000000001</v>
      </c>
      <c r="C1069" s="10">
        <v>32.44</v>
      </c>
      <c r="D1069" s="10">
        <v>33.17</v>
      </c>
      <c r="E1069" s="10">
        <v>32.255000000000003</v>
      </c>
      <c r="F1069" s="10" t="s">
        <v>3593</v>
      </c>
      <c r="G1069" s="11">
        <v>-1.3899999999999999E-2</v>
      </c>
    </row>
    <row r="1070" spans="1:7" x14ac:dyDescent="0.35">
      <c r="A1070" s="5" t="s">
        <v>2328</v>
      </c>
      <c r="B1070" s="9">
        <v>32.905000000000001</v>
      </c>
      <c r="C1070" s="10">
        <v>32.64</v>
      </c>
      <c r="D1070" s="10">
        <v>33.674999999999997</v>
      </c>
      <c r="E1070" s="10">
        <v>32.049999999999997</v>
      </c>
      <c r="F1070" s="10" t="s">
        <v>3594</v>
      </c>
      <c r="G1070" s="11">
        <v>1.18E-2</v>
      </c>
    </row>
    <row r="1071" spans="1:7" x14ac:dyDescent="0.35">
      <c r="A1071" s="5" t="s">
        <v>2330</v>
      </c>
      <c r="B1071" s="9">
        <v>33.546999999999997</v>
      </c>
      <c r="C1071" s="10">
        <v>32.450000000000003</v>
      </c>
      <c r="D1071" s="10">
        <v>33.67</v>
      </c>
      <c r="E1071" s="10">
        <v>33.134999999999998</v>
      </c>
      <c r="F1071" s="10" t="s">
        <v>3595</v>
      </c>
      <c r="G1071" s="11">
        <v>1.95E-2</v>
      </c>
    </row>
    <row r="1072" spans="1:7" x14ac:dyDescent="0.35">
      <c r="A1072" s="5" t="s">
        <v>2332</v>
      </c>
      <c r="B1072" s="9">
        <v>33.503</v>
      </c>
      <c r="C1072" s="10">
        <v>33.564999999999998</v>
      </c>
      <c r="D1072" s="10">
        <v>33.69</v>
      </c>
      <c r="E1072" s="10">
        <v>32.715000000000003</v>
      </c>
      <c r="F1072" s="10" t="s">
        <v>3596</v>
      </c>
      <c r="G1072" s="11">
        <v>-1.2999999999999999E-3</v>
      </c>
    </row>
    <row r="1073" spans="1:7" x14ac:dyDescent="0.35">
      <c r="A1073" s="5" t="s">
        <v>2334</v>
      </c>
      <c r="B1073" s="9">
        <v>33.164999999999999</v>
      </c>
      <c r="C1073" s="10">
        <v>33.204999999999998</v>
      </c>
      <c r="D1073" s="10">
        <v>33.835000000000001</v>
      </c>
      <c r="E1073" s="10">
        <v>33.1</v>
      </c>
      <c r="F1073" s="10" t="s">
        <v>3597</v>
      </c>
      <c r="G1073" s="11">
        <v>-1.01E-2</v>
      </c>
    </row>
    <row r="1074" spans="1:7" x14ac:dyDescent="0.35">
      <c r="A1074" s="5" t="s">
        <v>2335</v>
      </c>
      <c r="B1074" s="9">
        <v>33.576999999999998</v>
      </c>
      <c r="C1074" s="10">
        <v>33.4</v>
      </c>
      <c r="D1074" s="10">
        <v>33.344999999999999</v>
      </c>
      <c r="E1074" s="10">
        <v>32.384999999999998</v>
      </c>
      <c r="F1074" s="10" t="s">
        <v>3598</v>
      </c>
      <c r="G1074" s="11">
        <v>1.24E-2</v>
      </c>
    </row>
    <row r="1075" spans="1:7" x14ac:dyDescent="0.35">
      <c r="A1075" s="5" t="s">
        <v>2337</v>
      </c>
      <c r="B1075" s="9">
        <v>32.828000000000003</v>
      </c>
      <c r="C1075" s="10">
        <v>33.195</v>
      </c>
      <c r="D1075" s="10">
        <v>32.865000000000002</v>
      </c>
      <c r="E1075" s="10">
        <v>31.86</v>
      </c>
      <c r="F1075" s="10" t="s">
        <v>3599</v>
      </c>
      <c r="G1075" s="11">
        <v>-2.23E-2</v>
      </c>
    </row>
    <row r="1076" spans="1:7" x14ac:dyDescent="0.35">
      <c r="A1076" s="5" t="s">
        <v>2338</v>
      </c>
      <c r="B1076" s="9">
        <v>32.469000000000001</v>
      </c>
      <c r="C1076" s="10">
        <v>32.81</v>
      </c>
      <c r="D1076" s="10">
        <v>32.975000000000001</v>
      </c>
      <c r="E1076" s="10">
        <v>32.119999999999997</v>
      </c>
      <c r="F1076" s="10" t="s">
        <v>3600</v>
      </c>
      <c r="G1076" s="11">
        <v>-1.09E-2</v>
      </c>
    </row>
    <row r="1077" spans="1:7" x14ac:dyDescent="0.35">
      <c r="A1077" s="5" t="s">
        <v>2340</v>
      </c>
      <c r="B1077" s="9">
        <v>32.473999999999997</v>
      </c>
      <c r="C1077" s="10">
        <v>32.25</v>
      </c>
      <c r="D1077" s="10">
        <v>33.47</v>
      </c>
      <c r="E1077" s="10">
        <v>32.625</v>
      </c>
      <c r="F1077" s="10" t="s">
        <v>3601</v>
      </c>
      <c r="G1077" s="11">
        <v>2.0000000000000001E-4</v>
      </c>
    </row>
    <row r="1078" spans="1:7" x14ac:dyDescent="0.35">
      <c r="A1078" s="5" t="s">
        <v>2342</v>
      </c>
      <c r="B1078" s="9">
        <v>33.381</v>
      </c>
      <c r="C1078" s="10">
        <v>32.695</v>
      </c>
      <c r="D1078" s="10">
        <v>33.479999999999997</v>
      </c>
      <c r="E1078" s="10">
        <v>32.414999999999999</v>
      </c>
      <c r="F1078" s="10" t="s">
        <v>3602</v>
      </c>
      <c r="G1078" s="11">
        <v>2.7900000000000001E-2</v>
      </c>
    </row>
    <row r="1079" spans="1:7" x14ac:dyDescent="0.35">
      <c r="A1079" s="5" t="s">
        <v>2344</v>
      </c>
      <c r="B1079" s="9">
        <v>32.790999999999997</v>
      </c>
      <c r="C1079" s="10">
        <v>33.47</v>
      </c>
      <c r="D1079" s="10">
        <v>33.094999999999999</v>
      </c>
      <c r="E1079" s="10">
        <v>32.369999999999997</v>
      </c>
      <c r="F1079" s="10" t="s">
        <v>3603</v>
      </c>
      <c r="G1079" s="11">
        <v>-1.77E-2</v>
      </c>
    </row>
    <row r="1080" spans="1:7" x14ac:dyDescent="0.35">
      <c r="A1080" s="5" t="s">
        <v>2346</v>
      </c>
      <c r="B1080" s="9">
        <v>32.616999999999997</v>
      </c>
      <c r="C1080" s="10">
        <v>32.575000000000003</v>
      </c>
      <c r="D1080" s="10">
        <v>33.04</v>
      </c>
      <c r="E1080" s="10">
        <v>32.36</v>
      </c>
      <c r="F1080" s="10" t="s">
        <v>3604</v>
      </c>
      <c r="G1080" s="11">
        <v>-5.3E-3</v>
      </c>
    </row>
    <row r="1081" spans="1:7" x14ac:dyDescent="0.35">
      <c r="A1081" s="5" t="s">
        <v>2348</v>
      </c>
      <c r="B1081" s="9">
        <v>32.624000000000002</v>
      </c>
      <c r="C1081" s="10">
        <v>32.6</v>
      </c>
      <c r="D1081" s="10">
        <v>33.435000000000002</v>
      </c>
      <c r="E1081" s="10">
        <v>32.68</v>
      </c>
      <c r="F1081" s="10" t="s">
        <v>3605</v>
      </c>
      <c r="G1081" s="11">
        <v>2.0000000000000001E-4</v>
      </c>
    </row>
    <row r="1082" spans="1:7" x14ac:dyDescent="0.35">
      <c r="A1082" s="5" t="s">
        <v>2350</v>
      </c>
      <c r="B1082" s="9">
        <v>33.1</v>
      </c>
      <c r="C1082" s="10">
        <v>32.799999999999997</v>
      </c>
      <c r="D1082" s="10">
        <v>33.15</v>
      </c>
      <c r="E1082" s="10">
        <v>32.255000000000003</v>
      </c>
      <c r="F1082" s="10" t="s">
        <v>3029</v>
      </c>
      <c r="G1082" s="11">
        <v>1.46E-2</v>
      </c>
    </row>
    <row r="1083" spans="1:7" x14ac:dyDescent="0.35">
      <c r="A1083" s="5" t="s">
        <v>2352</v>
      </c>
      <c r="B1083" s="9">
        <v>32.444000000000003</v>
      </c>
      <c r="C1083" s="10">
        <v>33.085000000000001</v>
      </c>
      <c r="D1083" s="10">
        <v>32.82</v>
      </c>
      <c r="E1083" s="10">
        <v>31.78</v>
      </c>
      <c r="F1083" s="10" t="s">
        <v>3606</v>
      </c>
      <c r="G1083" s="11">
        <v>-1.9800000000000002E-2</v>
      </c>
    </row>
    <row r="1084" spans="1:7" x14ac:dyDescent="0.35">
      <c r="A1084" s="5" t="s">
        <v>2354</v>
      </c>
      <c r="B1084" s="9">
        <v>32.68</v>
      </c>
      <c r="C1084" s="10">
        <v>32.395000000000003</v>
      </c>
      <c r="D1084" s="10">
        <v>32.865000000000002</v>
      </c>
      <c r="E1084" s="10">
        <v>31.98</v>
      </c>
      <c r="F1084" s="10" t="s">
        <v>3607</v>
      </c>
      <c r="G1084" s="11">
        <v>7.3000000000000001E-3</v>
      </c>
    </row>
    <row r="1085" spans="1:7" x14ac:dyDescent="0.35">
      <c r="A1085" s="5" t="s">
        <v>2356</v>
      </c>
      <c r="B1085" s="9">
        <v>32.506999999999998</v>
      </c>
      <c r="C1085" s="10">
        <v>32.549999999999997</v>
      </c>
      <c r="D1085" s="10">
        <v>33.305</v>
      </c>
      <c r="E1085" s="10">
        <v>32.234999999999999</v>
      </c>
      <c r="F1085" s="10" t="s">
        <v>3608</v>
      </c>
      <c r="G1085" s="11">
        <v>-5.3E-3</v>
      </c>
    </row>
    <row r="1086" spans="1:7" x14ac:dyDescent="0.35">
      <c r="A1086" s="5" t="s">
        <v>2358</v>
      </c>
      <c r="B1086" s="9">
        <v>33.173999999999999</v>
      </c>
      <c r="C1086" s="10">
        <v>32.5</v>
      </c>
      <c r="D1086" s="10">
        <v>33.78</v>
      </c>
      <c r="E1086" s="10">
        <v>33.125</v>
      </c>
      <c r="F1086" s="10" t="s">
        <v>3609</v>
      </c>
      <c r="G1086" s="11">
        <v>2.0500000000000001E-2</v>
      </c>
    </row>
    <row r="1087" spans="1:7" x14ac:dyDescent="0.35">
      <c r="A1087" s="5" t="s">
        <v>2360</v>
      </c>
      <c r="B1087" s="9">
        <v>33.646000000000001</v>
      </c>
      <c r="C1087" s="10">
        <v>33.274999999999999</v>
      </c>
      <c r="D1087" s="10">
        <v>33.914999999999999</v>
      </c>
      <c r="E1087" s="10">
        <v>32.74</v>
      </c>
      <c r="F1087" s="10" t="s">
        <v>2753</v>
      </c>
      <c r="G1087" s="11">
        <v>1.4200000000000001E-2</v>
      </c>
    </row>
    <row r="1088" spans="1:7" x14ac:dyDescent="0.35">
      <c r="A1088" s="5" t="s">
        <v>2362</v>
      </c>
      <c r="B1088" s="9">
        <v>33.219000000000001</v>
      </c>
      <c r="C1088" s="10">
        <v>33.585000000000001</v>
      </c>
      <c r="D1088" s="10">
        <v>33.695</v>
      </c>
      <c r="E1088" s="10">
        <v>33.020000000000003</v>
      </c>
      <c r="F1088" s="10" t="s">
        <v>2921</v>
      </c>
      <c r="G1088" s="11">
        <v>-1.2699999999999999E-2</v>
      </c>
    </row>
    <row r="1089" spans="1:7" x14ac:dyDescent="0.35">
      <c r="A1089" s="5" t="s">
        <v>2364</v>
      </c>
      <c r="B1089" s="9">
        <v>33.594999999999999</v>
      </c>
      <c r="C1089" s="10">
        <v>33.618000000000002</v>
      </c>
      <c r="D1089" s="10">
        <v>33.744999999999997</v>
      </c>
      <c r="E1089" s="10">
        <v>32.880000000000003</v>
      </c>
      <c r="F1089" s="10" t="s">
        <v>3610</v>
      </c>
      <c r="G1089" s="11">
        <v>1.1299999999999999E-2</v>
      </c>
    </row>
    <row r="1090" spans="1:7" x14ac:dyDescent="0.35">
      <c r="A1090" s="5" t="s">
        <v>2366</v>
      </c>
      <c r="B1090" s="9">
        <v>33.311</v>
      </c>
      <c r="C1090" s="10">
        <v>33.61</v>
      </c>
      <c r="D1090" s="10">
        <v>33.58</v>
      </c>
      <c r="E1090" s="10">
        <v>33.034999999999997</v>
      </c>
      <c r="F1090" s="10" t="s">
        <v>3611</v>
      </c>
      <c r="G1090" s="11">
        <v>-8.5000000000000006E-3</v>
      </c>
    </row>
    <row r="1091" spans="1:7" x14ac:dyDescent="0.35">
      <c r="A1091" s="5" t="s">
        <v>2368</v>
      </c>
      <c r="B1091" s="9">
        <v>33.159999999999997</v>
      </c>
      <c r="C1091" s="10">
        <v>33.380000000000003</v>
      </c>
      <c r="D1091" s="10">
        <v>33.655000000000001</v>
      </c>
      <c r="E1091" s="10">
        <v>32.799999999999997</v>
      </c>
      <c r="F1091" s="10" t="s">
        <v>3612</v>
      </c>
      <c r="G1091" s="11">
        <v>-4.4999999999999997E-3</v>
      </c>
    </row>
    <row r="1092" spans="1:7" x14ac:dyDescent="0.35">
      <c r="A1092" s="5" t="s">
        <v>2369</v>
      </c>
      <c r="B1092" s="9">
        <v>33.423000000000002</v>
      </c>
      <c r="C1092" s="10">
        <v>33.11</v>
      </c>
      <c r="D1092" s="10">
        <v>33.47</v>
      </c>
      <c r="E1092" s="10">
        <v>32.865000000000002</v>
      </c>
      <c r="F1092" s="10" t="s">
        <v>3613</v>
      </c>
      <c r="G1092" s="11">
        <v>7.9000000000000008E-3</v>
      </c>
    </row>
    <row r="1093" spans="1:7" x14ac:dyDescent="0.35">
      <c r="A1093" s="5" t="s">
        <v>2371</v>
      </c>
      <c r="B1093" s="9">
        <v>34.694000000000003</v>
      </c>
      <c r="C1093" s="10">
        <v>33.130000000000003</v>
      </c>
      <c r="D1093" s="10">
        <v>34.935000000000002</v>
      </c>
      <c r="E1093" s="10">
        <v>34.164999999999999</v>
      </c>
      <c r="F1093" s="10" t="s">
        <v>3614</v>
      </c>
      <c r="G1093" s="11">
        <v>3.7999999999999999E-2</v>
      </c>
    </row>
    <row r="1094" spans="1:7" x14ac:dyDescent="0.35">
      <c r="A1094" s="5" t="s">
        <v>2373</v>
      </c>
      <c r="B1094" s="9">
        <v>34.633000000000003</v>
      </c>
      <c r="C1094" s="10">
        <v>34.92</v>
      </c>
      <c r="D1094" s="10">
        <v>34.825000000000003</v>
      </c>
      <c r="E1094" s="10">
        <v>34.354999999999997</v>
      </c>
      <c r="F1094" s="10" t="s">
        <v>3615</v>
      </c>
      <c r="G1094" s="11">
        <v>-1.8E-3</v>
      </c>
    </row>
    <row r="1095" spans="1:7" x14ac:dyDescent="0.35">
      <c r="A1095" s="5" t="s">
        <v>2375</v>
      </c>
      <c r="B1095" s="9">
        <v>34.648000000000003</v>
      </c>
      <c r="C1095" s="10">
        <v>34.68</v>
      </c>
      <c r="D1095" s="10">
        <v>36.270000000000003</v>
      </c>
      <c r="E1095" s="10">
        <v>34.6</v>
      </c>
      <c r="F1095" s="10" t="s">
        <v>3616</v>
      </c>
      <c r="G1095" s="11">
        <v>4.0000000000000002E-4</v>
      </c>
    </row>
    <row r="1096" spans="1:7" x14ac:dyDescent="0.35">
      <c r="A1096" s="5" t="s">
        <v>2377</v>
      </c>
      <c r="B1096" s="9">
        <v>35.805</v>
      </c>
      <c r="C1096" s="10">
        <v>34.65</v>
      </c>
      <c r="D1096" s="10">
        <v>36.51</v>
      </c>
      <c r="E1096" s="10">
        <v>35.755000000000003</v>
      </c>
      <c r="F1096" s="10" t="s">
        <v>3372</v>
      </c>
      <c r="G1096" s="11">
        <v>3.3399999999999999E-2</v>
      </c>
    </row>
    <row r="1097" spans="1:7" x14ac:dyDescent="0.35">
      <c r="A1097" s="5" t="s">
        <v>2379</v>
      </c>
      <c r="B1097" s="9">
        <v>36.795999999999999</v>
      </c>
      <c r="C1097" s="10">
        <v>36.164999999999999</v>
      </c>
      <c r="D1097" s="10">
        <v>36.975000000000001</v>
      </c>
      <c r="E1097" s="10">
        <v>36.424999999999997</v>
      </c>
      <c r="F1097" s="10" t="s">
        <v>2937</v>
      </c>
      <c r="G1097" s="11">
        <v>2.7699999999999999E-2</v>
      </c>
    </row>
    <row r="1098" spans="1:7" x14ac:dyDescent="0.35">
      <c r="A1098" s="5" t="s">
        <v>2381</v>
      </c>
      <c r="B1098" s="9">
        <v>36.642000000000003</v>
      </c>
      <c r="C1098" s="10">
        <v>36.895000000000003</v>
      </c>
      <c r="D1098" s="10">
        <v>36.79</v>
      </c>
      <c r="E1098" s="10">
        <v>36.15</v>
      </c>
      <c r="F1098" s="10" t="s">
        <v>3617</v>
      </c>
      <c r="G1098" s="11">
        <v>-4.1999999999999997E-3</v>
      </c>
    </row>
    <row r="1099" spans="1:7" x14ac:dyDescent="0.35">
      <c r="A1099" s="5" t="s">
        <v>2383</v>
      </c>
      <c r="B1099" s="9">
        <v>36.261000000000003</v>
      </c>
      <c r="C1099" s="10">
        <v>36.674999999999997</v>
      </c>
      <c r="D1099" s="10">
        <v>36.585000000000001</v>
      </c>
      <c r="E1099" s="10">
        <v>35.58</v>
      </c>
      <c r="F1099" s="10" t="s">
        <v>3085</v>
      </c>
      <c r="G1099" s="11">
        <v>-1.04E-2</v>
      </c>
    </row>
    <row r="1100" spans="1:7" x14ac:dyDescent="0.35">
      <c r="A1100" s="5" t="s">
        <v>2385</v>
      </c>
      <c r="B1100" s="9">
        <v>36.295000000000002</v>
      </c>
      <c r="C1100" s="10">
        <v>36.36</v>
      </c>
      <c r="D1100" s="10">
        <v>36.770000000000003</v>
      </c>
      <c r="E1100" s="10">
        <v>36.04</v>
      </c>
      <c r="F1100" s="10" t="s">
        <v>3618</v>
      </c>
      <c r="G1100" s="11">
        <v>8.9999999999999998E-4</v>
      </c>
    </row>
    <row r="1101" spans="1:7" x14ac:dyDescent="0.35">
      <c r="A1101" s="5" t="s">
        <v>2387</v>
      </c>
      <c r="B1101" s="9">
        <v>36.448</v>
      </c>
      <c r="C1101" s="10">
        <v>36.450000000000003</v>
      </c>
      <c r="D1101" s="10">
        <v>37.33</v>
      </c>
      <c r="E1101" s="10">
        <v>36.17</v>
      </c>
      <c r="F1101" s="10" t="s">
        <v>3588</v>
      </c>
      <c r="G1101" s="11">
        <v>4.1999999999999997E-3</v>
      </c>
    </row>
    <row r="1102" spans="1:7" x14ac:dyDescent="0.35">
      <c r="A1102" s="5" t="s">
        <v>2389</v>
      </c>
      <c r="B1102" s="9">
        <v>37.151000000000003</v>
      </c>
      <c r="C1102" s="10">
        <v>36.369999999999997</v>
      </c>
      <c r="D1102" s="10">
        <v>37.405000000000001</v>
      </c>
      <c r="E1102" s="10">
        <v>36.54</v>
      </c>
      <c r="F1102" s="10" t="s">
        <v>3619</v>
      </c>
      <c r="G1102" s="11">
        <v>1.9300000000000001E-2</v>
      </c>
    </row>
    <row r="1103" spans="1:7" x14ac:dyDescent="0.35">
      <c r="A1103" s="5" t="s">
        <v>2391</v>
      </c>
      <c r="B1103" s="9">
        <v>36.912999999999997</v>
      </c>
      <c r="C1103" s="10">
        <v>37.204999999999998</v>
      </c>
      <c r="D1103" s="10">
        <v>36.82</v>
      </c>
      <c r="E1103" s="10">
        <v>35.515000000000001</v>
      </c>
      <c r="F1103" s="10" t="s">
        <v>3620</v>
      </c>
      <c r="G1103" s="11">
        <v>-6.4000000000000003E-3</v>
      </c>
    </row>
    <row r="1104" spans="1:7" x14ac:dyDescent="0.35">
      <c r="A1104" s="5" t="s">
        <v>2393</v>
      </c>
      <c r="B1104" s="9">
        <v>36.152999999999999</v>
      </c>
      <c r="C1104" s="10">
        <v>36.159999999999997</v>
      </c>
      <c r="D1104" s="10">
        <v>36.164999999999999</v>
      </c>
      <c r="E1104" s="10">
        <v>35.195</v>
      </c>
      <c r="F1104" s="10" t="s">
        <v>3621</v>
      </c>
      <c r="G1104" s="11">
        <v>-2.06E-2</v>
      </c>
    </row>
    <row r="1105" spans="1:7" x14ac:dyDescent="0.35">
      <c r="A1105" s="5" t="s">
        <v>2395</v>
      </c>
      <c r="B1105" s="9">
        <v>35.701000000000001</v>
      </c>
      <c r="C1105" s="10">
        <v>35.83</v>
      </c>
      <c r="D1105" s="10">
        <v>36.274999999999999</v>
      </c>
      <c r="E1105" s="10">
        <v>35.630000000000003</v>
      </c>
      <c r="F1105" s="10" t="s">
        <v>3622</v>
      </c>
      <c r="G1105" s="11">
        <v>-1.2500000000000001E-2</v>
      </c>
    </row>
    <row r="1106" spans="1:7" x14ac:dyDescent="0.35">
      <c r="A1106" s="5" t="s">
        <v>2397</v>
      </c>
      <c r="B1106" s="9">
        <v>36.085000000000001</v>
      </c>
      <c r="C1106" s="10">
        <v>36.085000000000001</v>
      </c>
      <c r="D1106" s="10">
        <v>36.770000000000003</v>
      </c>
      <c r="E1106" s="10">
        <v>36.14</v>
      </c>
      <c r="F1106" s="10" t="s">
        <v>3623</v>
      </c>
      <c r="G1106" s="11">
        <v>1.0800000000000001E-2</v>
      </c>
    </row>
    <row r="1107" spans="1:7" x14ac:dyDescent="0.35">
      <c r="A1107" s="5" t="s">
        <v>2399</v>
      </c>
      <c r="B1107" s="9">
        <v>36.756999999999998</v>
      </c>
      <c r="C1107" s="10">
        <v>36.395000000000003</v>
      </c>
      <c r="D1107" s="10">
        <v>36.975000000000001</v>
      </c>
      <c r="E1107" s="10">
        <v>35.950000000000003</v>
      </c>
      <c r="F1107" s="10" t="s">
        <v>3200</v>
      </c>
      <c r="G1107" s="11">
        <v>1.8599999999999998E-2</v>
      </c>
    </row>
    <row r="1108" spans="1:7" x14ac:dyDescent="0.35">
      <c r="A1108" s="5" t="s">
        <v>2401</v>
      </c>
      <c r="B1108" s="9">
        <v>36.171999999999997</v>
      </c>
      <c r="C1108" s="10">
        <v>36.15</v>
      </c>
      <c r="D1108" s="10">
        <v>36.875</v>
      </c>
      <c r="E1108" s="10">
        <v>36.055</v>
      </c>
      <c r="F1108" s="10" t="s">
        <v>3624</v>
      </c>
      <c r="G1108" s="11">
        <v>-1.5900000000000001E-2</v>
      </c>
    </row>
    <row r="1109" spans="1:7" x14ac:dyDescent="0.35">
      <c r="A1109" s="5" t="s">
        <v>2403</v>
      </c>
      <c r="B1109" s="9">
        <v>36.396999999999998</v>
      </c>
      <c r="C1109" s="10">
        <v>36.325000000000003</v>
      </c>
      <c r="D1109" s="10">
        <v>36.814999999999998</v>
      </c>
      <c r="E1109" s="10">
        <v>36.055</v>
      </c>
      <c r="F1109" s="10" t="s">
        <v>3625</v>
      </c>
      <c r="G1109" s="11">
        <v>6.1999999999999998E-3</v>
      </c>
    </row>
    <row r="1110" spans="1:7" x14ac:dyDescent="0.35">
      <c r="A1110" s="5" t="s">
        <v>2405</v>
      </c>
      <c r="B1110" s="9">
        <v>36.726999999999997</v>
      </c>
      <c r="C1110" s="10">
        <v>36.244999999999997</v>
      </c>
      <c r="D1110" s="10">
        <v>37.314999999999998</v>
      </c>
      <c r="E1110" s="10">
        <v>36.57</v>
      </c>
      <c r="F1110" s="10" t="s">
        <v>3626</v>
      </c>
      <c r="G1110" s="11">
        <v>9.1000000000000004E-3</v>
      </c>
    </row>
    <row r="1111" spans="1:7" x14ac:dyDescent="0.35">
      <c r="A1111" s="5" t="s">
        <v>2406</v>
      </c>
      <c r="B1111" s="9">
        <v>37.084000000000003</v>
      </c>
      <c r="C1111" s="10">
        <v>36.79</v>
      </c>
      <c r="D1111" s="10">
        <v>37.435000000000002</v>
      </c>
      <c r="E1111" s="10">
        <v>36.325000000000003</v>
      </c>
      <c r="F1111" s="10" t="s">
        <v>3627</v>
      </c>
      <c r="G1111" s="11">
        <v>9.7000000000000003E-3</v>
      </c>
    </row>
    <row r="1112" spans="1:7" x14ac:dyDescent="0.35">
      <c r="A1112" s="5" t="s">
        <v>2408</v>
      </c>
      <c r="B1112" s="9">
        <v>36.904000000000003</v>
      </c>
      <c r="C1112" s="10">
        <v>37.15</v>
      </c>
      <c r="D1112" s="10">
        <v>37.094999999999999</v>
      </c>
      <c r="E1112" s="10">
        <v>36.445</v>
      </c>
      <c r="F1112" s="10" t="s">
        <v>3628</v>
      </c>
      <c r="G1112" s="11">
        <v>-4.8999999999999998E-3</v>
      </c>
    </row>
    <row r="1113" spans="1:7" x14ac:dyDescent="0.35">
      <c r="A1113" s="5" t="s">
        <v>2410</v>
      </c>
      <c r="B1113" s="9">
        <v>36.749000000000002</v>
      </c>
      <c r="C1113" s="10">
        <v>36.954999999999998</v>
      </c>
      <c r="D1113" s="10">
        <v>36.950000000000003</v>
      </c>
      <c r="E1113" s="10">
        <v>36.49</v>
      </c>
      <c r="F1113" s="10" t="s">
        <v>3629</v>
      </c>
      <c r="G1113" s="11">
        <v>-4.1999999999999997E-3</v>
      </c>
    </row>
    <row r="1114" spans="1:7" x14ac:dyDescent="0.35">
      <c r="A1114" s="5" t="s">
        <v>2412</v>
      </c>
      <c r="B1114" s="9">
        <v>36.630000000000003</v>
      </c>
      <c r="C1114" s="10">
        <v>36.935000000000002</v>
      </c>
      <c r="D1114" s="10">
        <v>37.69</v>
      </c>
      <c r="E1114" s="10">
        <v>36.575000000000003</v>
      </c>
      <c r="F1114" s="10" t="s">
        <v>3630</v>
      </c>
      <c r="G1114" s="11">
        <v>-3.2000000000000002E-3</v>
      </c>
    </row>
    <row r="1115" spans="1:7" x14ac:dyDescent="0.35">
      <c r="A1115" s="5" t="s">
        <v>2414</v>
      </c>
      <c r="B1115" s="9">
        <v>37.305</v>
      </c>
      <c r="C1115" s="10">
        <v>36.6</v>
      </c>
      <c r="D1115" s="10">
        <v>39.225000000000001</v>
      </c>
      <c r="E1115" s="10">
        <v>37.51</v>
      </c>
      <c r="F1115" s="10" t="s">
        <v>3631</v>
      </c>
      <c r="G1115" s="11">
        <v>1.84E-2</v>
      </c>
    </row>
    <row r="1116" spans="1:7" x14ac:dyDescent="0.35">
      <c r="A1116" s="5" t="s">
        <v>2416</v>
      </c>
      <c r="B1116" s="9">
        <v>38.741999999999997</v>
      </c>
      <c r="C1116" s="10">
        <v>39.130000000000003</v>
      </c>
      <c r="D1116" s="10">
        <v>38.74</v>
      </c>
      <c r="E1116" s="10">
        <v>37.895000000000003</v>
      </c>
      <c r="F1116" s="10" t="s">
        <v>3632</v>
      </c>
      <c r="G1116" s="11">
        <v>3.85E-2</v>
      </c>
    </row>
    <row r="1117" spans="1:7" x14ac:dyDescent="0.35">
      <c r="A1117" s="5" t="s">
        <v>2418</v>
      </c>
      <c r="B1117" s="9">
        <v>38.11</v>
      </c>
      <c r="C1117" s="10">
        <v>38.4</v>
      </c>
      <c r="D1117" s="10">
        <v>38.380000000000003</v>
      </c>
      <c r="E1117" s="10">
        <v>37.75</v>
      </c>
      <c r="F1117" s="10" t="s">
        <v>3633</v>
      </c>
      <c r="G1117" s="11">
        <v>-1.6299999999999999E-2</v>
      </c>
    </row>
    <row r="1118" spans="1:7" x14ac:dyDescent="0.35">
      <c r="A1118" s="5" t="s">
        <v>2420</v>
      </c>
      <c r="B1118" s="9">
        <v>38.119</v>
      </c>
      <c r="C1118" s="10">
        <v>37.984999999999999</v>
      </c>
      <c r="D1118" s="10">
        <v>38.46</v>
      </c>
      <c r="E1118" s="10">
        <v>37.685000000000002</v>
      </c>
      <c r="F1118" s="10" t="s">
        <v>3634</v>
      </c>
      <c r="G1118" s="11">
        <v>2.0000000000000001E-4</v>
      </c>
    </row>
    <row r="1119" spans="1:7" x14ac:dyDescent="0.35">
      <c r="A1119" s="5" t="s">
        <v>2422</v>
      </c>
      <c r="B1119" s="9">
        <v>38.302999999999997</v>
      </c>
      <c r="C1119" s="10">
        <v>38.145000000000003</v>
      </c>
      <c r="D1119" s="10">
        <v>38.825000000000003</v>
      </c>
      <c r="E1119" s="10">
        <v>38.375</v>
      </c>
      <c r="F1119" s="10" t="s">
        <v>3635</v>
      </c>
      <c r="G1119" s="11">
        <v>4.7999999999999996E-3</v>
      </c>
    </row>
    <row r="1120" spans="1:7" x14ac:dyDescent="0.35">
      <c r="A1120" s="5" t="s">
        <v>2424</v>
      </c>
      <c r="B1120" s="9">
        <v>39.334000000000003</v>
      </c>
      <c r="C1120" s="10">
        <v>38.42</v>
      </c>
      <c r="D1120" s="10">
        <v>39.72</v>
      </c>
      <c r="E1120" s="10">
        <v>39.024999999999999</v>
      </c>
      <c r="F1120" s="10" t="s">
        <v>3636</v>
      </c>
      <c r="G1120" s="11">
        <v>2.69E-2</v>
      </c>
    </row>
    <row r="1121" spans="1:7" x14ac:dyDescent="0.35">
      <c r="A1121" s="5" t="s">
        <v>2426</v>
      </c>
      <c r="B1121" s="9">
        <v>39.555</v>
      </c>
      <c r="C1121" s="10">
        <v>39.25</v>
      </c>
      <c r="D1121" s="10">
        <v>39.909999999999997</v>
      </c>
      <c r="E1121" s="10">
        <v>39.335000000000001</v>
      </c>
      <c r="F1121" s="10" t="s">
        <v>3637</v>
      </c>
      <c r="G1121" s="11">
        <v>5.5999999999999999E-3</v>
      </c>
    </row>
    <row r="1122" spans="1:7" x14ac:dyDescent="0.35">
      <c r="A1122" s="5" t="s">
        <v>2428</v>
      </c>
      <c r="B1122" s="9">
        <v>39.503</v>
      </c>
      <c r="C1122" s="10">
        <v>39.645000000000003</v>
      </c>
      <c r="D1122" s="10">
        <v>39.659999999999997</v>
      </c>
      <c r="E1122" s="10">
        <v>38.93</v>
      </c>
      <c r="F1122" s="10" t="s">
        <v>3638</v>
      </c>
      <c r="G1122" s="11">
        <v>-1.2999999999999999E-3</v>
      </c>
    </row>
    <row r="1123" spans="1:7" x14ac:dyDescent="0.35">
      <c r="A1123" s="5" t="s">
        <v>2430</v>
      </c>
      <c r="B1123" s="9">
        <v>39.223999999999997</v>
      </c>
      <c r="C1123" s="10">
        <v>39.53</v>
      </c>
      <c r="D1123" s="10">
        <v>39.520000000000003</v>
      </c>
      <c r="E1123" s="10">
        <v>38.1</v>
      </c>
      <c r="F1123" s="10" t="s">
        <v>3639</v>
      </c>
      <c r="G1123" s="11">
        <v>-7.1000000000000004E-3</v>
      </c>
    </row>
    <row r="1124" spans="1:7" x14ac:dyDescent="0.35">
      <c r="A1124" s="5" t="s">
        <v>2432</v>
      </c>
      <c r="B1124" s="9">
        <v>38.042999999999999</v>
      </c>
      <c r="C1124" s="10">
        <v>38.134999999999998</v>
      </c>
      <c r="D1124" s="10">
        <v>38.49</v>
      </c>
      <c r="E1124" s="10">
        <v>38.034999999999997</v>
      </c>
      <c r="F1124" s="10" t="s">
        <v>3640</v>
      </c>
      <c r="G1124" s="11">
        <v>-3.0099999999999998E-2</v>
      </c>
    </row>
    <row r="1125" spans="1:7" x14ac:dyDescent="0.35">
      <c r="A1125" s="5" t="s">
        <v>2434</v>
      </c>
      <c r="B1125" s="9">
        <v>38.100999999999999</v>
      </c>
      <c r="C1125" s="10">
        <v>38.145000000000003</v>
      </c>
      <c r="D1125" s="10">
        <v>38.42</v>
      </c>
      <c r="E1125" s="10">
        <v>36.805</v>
      </c>
      <c r="F1125" s="10" t="s">
        <v>3566</v>
      </c>
      <c r="G1125" s="11">
        <v>1.5E-3</v>
      </c>
    </row>
    <row r="1126" spans="1:7" x14ac:dyDescent="0.35">
      <c r="A1126" s="5" t="s">
        <v>2436</v>
      </c>
      <c r="B1126" s="9">
        <v>37.738999999999997</v>
      </c>
      <c r="C1126" s="10">
        <v>38.4</v>
      </c>
      <c r="D1126" s="10">
        <v>37.284999999999997</v>
      </c>
      <c r="E1126" s="10">
        <v>36.28</v>
      </c>
      <c r="F1126" s="10" t="s">
        <v>3641</v>
      </c>
      <c r="G1126" s="11">
        <v>-9.4999999999999998E-3</v>
      </c>
    </row>
    <row r="1127" spans="1:7" x14ac:dyDescent="0.35">
      <c r="A1127" s="5" t="s">
        <v>2438</v>
      </c>
      <c r="B1127" s="9">
        <v>36.712000000000003</v>
      </c>
      <c r="C1127" s="10">
        <v>37.159999999999997</v>
      </c>
      <c r="D1127" s="10">
        <v>37.24</v>
      </c>
      <c r="E1127" s="10">
        <v>36.4</v>
      </c>
      <c r="F1127" s="10" t="s">
        <v>3642</v>
      </c>
      <c r="G1127" s="11">
        <v>-2.7199999999999998E-2</v>
      </c>
    </row>
    <row r="1128" spans="1:7" x14ac:dyDescent="0.35">
      <c r="A1128" s="5" t="s">
        <v>2440</v>
      </c>
      <c r="B1128" s="9">
        <v>37.328000000000003</v>
      </c>
      <c r="C1128" s="10">
        <v>37.090000000000003</v>
      </c>
      <c r="D1128" s="10">
        <v>37.94</v>
      </c>
      <c r="E1128" s="10">
        <v>37.325000000000003</v>
      </c>
      <c r="F1128" s="10" t="s">
        <v>3643</v>
      </c>
      <c r="G1128" s="11">
        <v>1.6799999999999999E-2</v>
      </c>
    </row>
    <row r="1129" spans="1:7" x14ac:dyDescent="0.35">
      <c r="A1129" s="5" t="s">
        <v>2442</v>
      </c>
      <c r="B1129" s="9">
        <v>37.823</v>
      </c>
      <c r="C1129" s="10">
        <v>37.445</v>
      </c>
      <c r="D1129" s="10">
        <v>38.020000000000003</v>
      </c>
      <c r="E1129" s="10">
        <v>37.619999999999997</v>
      </c>
      <c r="F1129" s="10" t="s">
        <v>3644</v>
      </c>
      <c r="G1129" s="11">
        <v>1.3299999999999999E-2</v>
      </c>
    </row>
    <row r="1130" spans="1:7" x14ac:dyDescent="0.35">
      <c r="A1130" s="5" t="s">
        <v>2444</v>
      </c>
      <c r="B1130" s="9">
        <v>37.902000000000001</v>
      </c>
      <c r="C1130" s="10">
        <v>37.825000000000003</v>
      </c>
      <c r="D1130" s="10">
        <v>38.76</v>
      </c>
      <c r="E1130" s="10">
        <v>37.935000000000002</v>
      </c>
      <c r="F1130" s="10" t="s">
        <v>3645</v>
      </c>
      <c r="G1130" s="11">
        <v>2.0999999999999999E-3</v>
      </c>
    </row>
    <row r="1131" spans="1:7" x14ac:dyDescent="0.35">
      <c r="A1131" s="5" t="s">
        <v>2445</v>
      </c>
      <c r="B1131" s="9">
        <v>38.293999999999997</v>
      </c>
      <c r="C1131" s="10">
        <v>37.935000000000002</v>
      </c>
      <c r="D1131" s="10">
        <v>38.875</v>
      </c>
      <c r="E1131" s="10">
        <v>38.18</v>
      </c>
      <c r="F1131" s="10" t="s">
        <v>3646</v>
      </c>
      <c r="G1131" s="11">
        <v>1.03E-2</v>
      </c>
    </row>
    <row r="1132" spans="1:7" x14ac:dyDescent="0.35">
      <c r="A1132" s="5" t="s">
        <v>2447</v>
      </c>
      <c r="B1132" s="9">
        <v>37.786999999999999</v>
      </c>
      <c r="C1132" s="10">
        <v>38.54</v>
      </c>
      <c r="D1132" s="10">
        <v>38.090000000000003</v>
      </c>
      <c r="E1132" s="10">
        <v>37.515000000000001</v>
      </c>
      <c r="F1132" s="10" t="s">
        <v>3647</v>
      </c>
      <c r="G1132" s="11">
        <v>-1.32E-2</v>
      </c>
    </row>
    <row r="1133" spans="1:7" x14ac:dyDescent="0.35">
      <c r="A1133" s="5" t="s">
        <v>2449</v>
      </c>
      <c r="B1133" s="9">
        <v>38.002000000000002</v>
      </c>
      <c r="C1133" s="10">
        <v>37.630000000000003</v>
      </c>
      <c r="D1133" s="10">
        <v>38.71</v>
      </c>
      <c r="E1133" s="10">
        <v>37.875</v>
      </c>
      <c r="F1133" s="10" t="s">
        <v>3027</v>
      </c>
      <c r="G1133" s="11">
        <v>5.7000000000000002E-3</v>
      </c>
    </row>
    <row r="1134" spans="1:7" x14ac:dyDescent="0.35">
      <c r="A1134" s="5" t="s">
        <v>2451</v>
      </c>
      <c r="B1134" s="9">
        <v>38.601999999999997</v>
      </c>
      <c r="C1134" s="10">
        <v>37.935000000000002</v>
      </c>
      <c r="D1134" s="10">
        <v>38.78</v>
      </c>
      <c r="E1134" s="10">
        <v>37.86</v>
      </c>
      <c r="F1134" s="10" t="s">
        <v>3648</v>
      </c>
      <c r="G1134" s="11">
        <v>1.5800000000000002E-2</v>
      </c>
    </row>
    <row r="1135" spans="1:7" x14ac:dyDescent="0.35">
      <c r="A1135" s="5" t="s">
        <v>2453</v>
      </c>
      <c r="B1135" s="9">
        <v>38.069000000000003</v>
      </c>
      <c r="C1135" s="10">
        <v>38.58</v>
      </c>
      <c r="D1135" s="10">
        <v>38.119999999999997</v>
      </c>
      <c r="E1135" s="10">
        <v>37.725000000000001</v>
      </c>
      <c r="F1135" s="10" t="s">
        <v>3649</v>
      </c>
      <c r="G1135" s="11">
        <v>-1.38E-2</v>
      </c>
    </row>
    <row r="1136" spans="1:7" x14ac:dyDescent="0.35">
      <c r="A1136" s="5" t="s">
        <v>2455</v>
      </c>
      <c r="B1136" s="9">
        <v>38.029000000000003</v>
      </c>
      <c r="C1136" s="10">
        <v>38.04</v>
      </c>
      <c r="D1136" s="10">
        <v>38.200000000000003</v>
      </c>
      <c r="E1136" s="10">
        <v>37.24</v>
      </c>
      <c r="F1136" s="10" t="s">
        <v>3650</v>
      </c>
      <c r="G1136" s="11">
        <v>-1.1000000000000001E-3</v>
      </c>
    </row>
    <row r="1137" spans="1:7" x14ac:dyDescent="0.35">
      <c r="A1137" s="5" t="s">
        <v>2457</v>
      </c>
      <c r="B1137" s="9">
        <v>37.332000000000001</v>
      </c>
      <c r="C1137" s="10">
        <v>38.075000000000003</v>
      </c>
      <c r="D1137" s="10">
        <v>37.914999999999999</v>
      </c>
      <c r="E1137" s="10">
        <v>36.96</v>
      </c>
      <c r="F1137" s="10" t="s">
        <v>3651</v>
      </c>
      <c r="G1137" s="11">
        <v>-1.83E-2</v>
      </c>
    </row>
    <row r="1138" spans="1:7" x14ac:dyDescent="0.35">
      <c r="A1138" s="5" t="s">
        <v>2459</v>
      </c>
      <c r="B1138" s="9">
        <v>37.773000000000003</v>
      </c>
      <c r="C1138" s="10">
        <v>37.335000000000001</v>
      </c>
      <c r="D1138" s="10">
        <v>38.19</v>
      </c>
      <c r="E1138" s="10">
        <v>37.520000000000003</v>
      </c>
      <c r="F1138" s="10" t="s">
        <v>3286</v>
      </c>
      <c r="G1138" s="11">
        <v>1.18E-2</v>
      </c>
    </row>
    <row r="1139" spans="1:7" x14ac:dyDescent="0.35">
      <c r="A1139" s="5" t="s">
        <v>2461</v>
      </c>
      <c r="B1139" s="9">
        <v>38.079000000000001</v>
      </c>
      <c r="C1139" s="10">
        <v>37.89</v>
      </c>
      <c r="D1139" s="10">
        <v>39.090000000000003</v>
      </c>
      <c r="E1139" s="10">
        <v>37.674999999999997</v>
      </c>
      <c r="F1139" s="10" t="s">
        <v>3652</v>
      </c>
      <c r="G1139" s="11">
        <v>8.0999999999999996E-3</v>
      </c>
    </row>
    <row r="1140" spans="1:7" x14ac:dyDescent="0.35">
      <c r="A1140" s="5" t="s">
        <v>2463</v>
      </c>
      <c r="B1140" s="9">
        <v>39.051000000000002</v>
      </c>
      <c r="C1140" s="10">
        <v>39.215000000000003</v>
      </c>
      <c r="D1140" s="10">
        <v>38.86</v>
      </c>
      <c r="E1140" s="10">
        <v>38.33</v>
      </c>
      <c r="F1140" s="10" t="s">
        <v>3653</v>
      </c>
      <c r="G1140" s="11">
        <v>2.5499999999999998E-2</v>
      </c>
    </row>
    <row r="1141" spans="1:7" x14ac:dyDescent="0.35">
      <c r="A1141" s="5" t="s">
        <v>2465</v>
      </c>
      <c r="B1141" s="9">
        <v>38.954999999999998</v>
      </c>
      <c r="C1141" s="10">
        <v>39.045000000000002</v>
      </c>
      <c r="D1141" s="10">
        <v>38.755000000000003</v>
      </c>
      <c r="E1141" s="10">
        <v>38.17</v>
      </c>
      <c r="F1141" s="10" t="s">
        <v>3654</v>
      </c>
      <c r="G1141" s="11">
        <v>-2.5000000000000001E-3</v>
      </c>
    </row>
    <row r="1142" spans="1:7" x14ac:dyDescent="0.35">
      <c r="A1142" s="5" t="s">
        <v>2467</v>
      </c>
      <c r="B1142" s="9">
        <v>39.055999999999997</v>
      </c>
      <c r="C1142" s="10">
        <v>39.034999999999997</v>
      </c>
      <c r="D1142" s="10">
        <v>39.86</v>
      </c>
      <c r="E1142" s="10">
        <v>39.155000000000001</v>
      </c>
      <c r="F1142" s="10" t="s">
        <v>3655</v>
      </c>
      <c r="G1142" s="11">
        <v>2.5999999999999999E-3</v>
      </c>
    </row>
    <row r="1143" spans="1:7" x14ac:dyDescent="0.35">
      <c r="A1143" s="5" t="s">
        <v>2469</v>
      </c>
      <c r="B1143" s="9">
        <v>39.703000000000003</v>
      </c>
      <c r="C1143" s="10">
        <v>39.159999999999997</v>
      </c>
      <c r="D1143" s="10">
        <v>40.86</v>
      </c>
      <c r="E1143" s="10">
        <v>39.340000000000003</v>
      </c>
      <c r="F1143" s="10" t="s">
        <v>3656</v>
      </c>
      <c r="G1143" s="11">
        <v>1.66E-2</v>
      </c>
    </row>
    <row r="1144" spans="1:7" x14ac:dyDescent="0.35">
      <c r="A1144" s="5" t="s">
        <v>2471</v>
      </c>
      <c r="B1144" s="9">
        <v>40.661999999999999</v>
      </c>
      <c r="C1144" s="10">
        <v>40.756999999999998</v>
      </c>
      <c r="D1144" s="10">
        <v>41.994999999999997</v>
      </c>
      <c r="E1144" s="10">
        <v>40.555</v>
      </c>
      <c r="F1144" s="10" t="s">
        <v>3657</v>
      </c>
      <c r="G1144" s="11">
        <v>2.4199999999999999E-2</v>
      </c>
    </row>
    <row r="1145" spans="1:7" x14ac:dyDescent="0.35">
      <c r="A1145" s="5" t="s">
        <v>2473</v>
      </c>
      <c r="B1145" s="9">
        <v>41.591999999999999</v>
      </c>
      <c r="C1145" s="10">
        <v>40.79</v>
      </c>
      <c r="D1145" s="10">
        <v>42.29</v>
      </c>
      <c r="E1145" s="10">
        <v>41.465000000000003</v>
      </c>
      <c r="F1145" s="10" t="s">
        <v>3658</v>
      </c>
      <c r="G1145" s="11">
        <v>2.29E-2</v>
      </c>
    </row>
    <row r="1146" spans="1:7" x14ac:dyDescent="0.35">
      <c r="A1146" s="5" t="s">
        <v>2475</v>
      </c>
      <c r="B1146" s="9">
        <v>42.06</v>
      </c>
      <c r="C1146" s="10">
        <v>41.725000000000001</v>
      </c>
      <c r="D1146" s="10">
        <v>41.83</v>
      </c>
      <c r="E1146" s="10">
        <v>41.064999999999998</v>
      </c>
      <c r="F1146" s="10" t="s">
        <v>3659</v>
      </c>
      <c r="G1146" s="11">
        <v>1.1299999999999999E-2</v>
      </c>
    </row>
    <row r="1147" spans="1:7" x14ac:dyDescent="0.35">
      <c r="A1147" s="5" t="s">
        <v>2477</v>
      </c>
      <c r="B1147" s="9">
        <v>41.417000000000002</v>
      </c>
      <c r="C1147" s="10">
        <v>41.81</v>
      </c>
      <c r="D1147" s="10">
        <v>42.1</v>
      </c>
      <c r="E1147" s="10">
        <v>41.16</v>
      </c>
      <c r="F1147" s="10" t="s">
        <v>2949</v>
      </c>
      <c r="G1147" s="11">
        <v>-1.5299999999999999E-2</v>
      </c>
    </row>
    <row r="1148" spans="1:7" x14ac:dyDescent="0.35">
      <c r="A1148" s="5" t="s">
        <v>2479</v>
      </c>
      <c r="B1148" s="9">
        <v>41.902000000000001</v>
      </c>
      <c r="C1148" s="10">
        <v>41.465000000000003</v>
      </c>
      <c r="D1148" s="10">
        <v>42.07</v>
      </c>
      <c r="E1148" s="10">
        <v>41.204999999999998</v>
      </c>
      <c r="F1148" s="10" t="s">
        <v>3660</v>
      </c>
      <c r="G1148" s="11">
        <v>1.17E-2</v>
      </c>
    </row>
    <row r="1149" spans="1:7" x14ac:dyDescent="0.35">
      <c r="A1149" s="5" t="s">
        <v>2481</v>
      </c>
      <c r="B1149" s="9">
        <v>41.341000000000001</v>
      </c>
      <c r="C1149" s="10">
        <v>41.935000000000002</v>
      </c>
      <c r="D1149" s="10">
        <v>41.784999999999997</v>
      </c>
      <c r="E1149" s="10">
        <v>41.145000000000003</v>
      </c>
      <c r="F1149" s="10" t="s">
        <v>3611</v>
      </c>
      <c r="G1149" s="11">
        <v>-1.34E-2</v>
      </c>
    </row>
    <row r="1150" spans="1:7" x14ac:dyDescent="0.35">
      <c r="A1150" s="5" t="s">
        <v>2483</v>
      </c>
      <c r="B1150" s="9">
        <v>41.6</v>
      </c>
      <c r="C1150" s="10">
        <v>41.34</v>
      </c>
      <c r="D1150" s="10">
        <v>42.33</v>
      </c>
      <c r="E1150" s="10">
        <v>41.33</v>
      </c>
      <c r="F1150" s="10" t="s">
        <v>3661</v>
      </c>
      <c r="G1150" s="11">
        <v>6.3E-3</v>
      </c>
    </row>
    <row r="1151" spans="1:7" x14ac:dyDescent="0.35">
      <c r="A1151" s="5" t="s">
        <v>2484</v>
      </c>
      <c r="B1151" s="9">
        <v>42.149000000000001</v>
      </c>
      <c r="C1151" s="10">
        <v>41.634999999999998</v>
      </c>
      <c r="D1151" s="10">
        <v>43.04</v>
      </c>
      <c r="E1151" s="10">
        <v>41.895000000000003</v>
      </c>
      <c r="F1151" s="10" t="s">
        <v>3662</v>
      </c>
      <c r="G1151" s="11">
        <v>1.32E-2</v>
      </c>
    </row>
    <row r="1152" spans="1:7" x14ac:dyDescent="0.35">
      <c r="A1152" s="5" t="s">
        <v>2486</v>
      </c>
      <c r="B1152" s="9">
        <v>42.962000000000003</v>
      </c>
      <c r="C1152" s="10">
        <v>42.725000000000001</v>
      </c>
      <c r="D1152" s="10">
        <v>43.435000000000002</v>
      </c>
      <c r="E1152" s="10">
        <v>42.615000000000002</v>
      </c>
      <c r="F1152" s="10" t="s">
        <v>3663</v>
      </c>
      <c r="G1152" s="11">
        <v>1.9300000000000001E-2</v>
      </c>
    </row>
    <row r="1153" spans="1:7" x14ac:dyDescent="0.35">
      <c r="A1153" s="5" t="s">
        <v>2488</v>
      </c>
      <c r="B1153" s="9">
        <v>42.917000000000002</v>
      </c>
      <c r="C1153" s="10">
        <v>43.2</v>
      </c>
      <c r="D1153" s="10">
        <v>42.94</v>
      </c>
      <c r="E1153" s="10">
        <v>41.48</v>
      </c>
      <c r="F1153" s="10" t="s">
        <v>3664</v>
      </c>
      <c r="G1153" s="11">
        <v>-1E-3</v>
      </c>
    </row>
    <row r="1154" spans="1:7" x14ac:dyDescent="0.35">
      <c r="A1154" s="5" t="s">
        <v>2490</v>
      </c>
      <c r="B1154" s="9">
        <v>42.152000000000001</v>
      </c>
      <c r="C1154" s="10">
        <v>42.875</v>
      </c>
      <c r="D1154" s="10">
        <v>42.25</v>
      </c>
      <c r="E1154" s="10">
        <v>41.494999999999997</v>
      </c>
      <c r="F1154" s="10" t="s">
        <v>3665</v>
      </c>
      <c r="G1154" s="11">
        <v>-1.78E-2</v>
      </c>
    </row>
    <row r="1155" spans="1:7" x14ac:dyDescent="0.35">
      <c r="A1155" s="5" t="s">
        <v>2492</v>
      </c>
      <c r="B1155" s="9">
        <v>42.118000000000002</v>
      </c>
      <c r="C1155" s="10">
        <v>42</v>
      </c>
      <c r="D1155" s="10">
        <v>43.405000000000001</v>
      </c>
      <c r="E1155" s="10">
        <v>41.93</v>
      </c>
      <c r="F1155" s="10" t="s">
        <v>3666</v>
      </c>
      <c r="G1155" s="11">
        <v>-8.0000000000000004E-4</v>
      </c>
    </row>
    <row r="1156" spans="1:7" x14ac:dyDescent="0.35">
      <c r="A1156" s="5" t="s">
        <v>2494</v>
      </c>
      <c r="B1156" s="9">
        <v>44.043999999999997</v>
      </c>
      <c r="C1156" s="10">
        <v>43.215000000000003</v>
      </c>
      <c r="D1156" s="10">
        <v>44.77</v>
      </c>
      <c r="E1156" s="10">
        <v>43.97</v>
      </c>
      <c r="F1156" s="10" t="s">
        <v>3667</v>
      </c>
      <c r="G1156" s="11">
        <v>4.5699999999999998E-2</v>
      </c>
    </row>
    <row r="1157" spans="1:7" x14ac:dyDescent="0.35">
      <c r="A1157" s="5" t="s">
        <v>2496</v>
      </c>
      <c r="B1157" s="9">
        <v>44.436999999999998</v>
      </c>
      <c r="C1157" s="10">
        <v>44.115000000000002</v>
      </c>
      <c r="D1157" s="10">
        <v>44.625</v>
      </c>
      <c r="E1157" s="10">
        <v>43.884999999999998</v>
      </c>
      <c r="F1157" s="10" t="s">
        <v>3668</v>
      </c>
      <c r="G1157" s="11">
        <v>8.8999999999999999E-3</v>
      </c>
    </row>
    <row r="1158" spans="1:7" x14ac:dyDescent="0.35">
      <c r="A1158" s="5" t="s">
        <v>2498</v>
      </c>
      <c r="B1158" s="9">
        <v>44.02</v>
      </c>
      <c r="C1158" s="10">
        <v>44.15</v>
      </c>
      <c r="D1158" s="10">
        <v>45.5</v>
      </c>
      <c r="E1158" s="10">
        <v>44.06</v>
      </c>
      <c r="F1158" s="10" t="s">
        <v>3669</v>
      </c>
      <c r="G1158" s="11">
        <v>-9.4000000000000004E-3</v>
      </c>
    </row>
    <row r="1159" spans="1:7" x14ac:dyDescent="0.35">
      <c r="A1159" s="5" t="s">
        <v>2500</v>
      </c>
      <c r="B1159" s="9">
        <v>44.933</v>
      </c>
      <c r="C1159" s="10">
        <v>43.94</v>
      </c>
      <c r="D1159" s="10">
        <v>46.945</v>
      </c>
      <c r="E1159" s="10">
        <v>44.89</v>
      </c>
      <c r="F1159" s="10" t="s">
        <v>3670</v>
      </c>
      <c r="G1159" s="11">
        <v>2.07E-2</v>
      </c>
    </row>
    <row r="1160" spans="1:7" x14ac:dyDescent="0.35">
      <c r="A1160" s="5" t="s">
        <v>2501</v>
      </c>
      <c r="B1160" s="9">
        <v>47.015999999999998</v>
      </c>
      <c r="C1160" s="10">
        <v>46.42</v>
      </c>
      <c r="D1160" s="10">
        <v>47.39</v>
      </c>
      <c r="E1160" s="10">
        <v>45.96</v>
      </c>
      <c r="F1160" s="10" t="s">
        <v>3671</v>
      </c>
      <c r="G1160" s="11">
        <v>4.6399999999999997E-2</v>
      </c>
    </row>
    <row r="1161" spans="1:7" x14ac:dyDescent="0.35">
      <c r="A1161" s="5" t="s">
        <v>2503</v>
      </c>
      <c r="B1161" s="9">
        <v>46.64</v>
      </c>
      <c r="C1161" s="10">
        <v>47.134999999999998</v>
      </c>
      <c r="D1161" s="10">
        <v>47.975000000000001</v>
      </c>
      <c r="E1161" s="10">
        <v>46.814999999999998</v>
      </c>
      <c r="F1161" s="10" t="s">
        <v>3672</v>
      </c>
      <c r="G1161" s="11">
        <v>-8.0000000000000002E-3</v>
      </c>
    </row>
    <row r="1162" spans="1:7" x14ac:dyDescent="0.35">
      <c r="A1162" s="5" t="s">
        <v>2505</v>
      </c>
      <c r="B1162" s="9">
        <v>47.679000000000002</v>
      </c>
      <c r="C1162" s="10">
        <v>46.835000000000001</v>
      </c>
      <c r="D1162" s="10">
        <v>48.01</v>
      </c>
      <c r="E1162" s="10">
        <v>45.71</v>
      </c>
      <c r="F1162" s="10" t="s">
        <v>3673</v>
      </c>
      <c r="G1162" s="11">
        <v>2.23E-2</v>
      </c>
    </row>
    <row r="1163" spans="1:7" x14ac:dyDescent="0.35">
      <c r="A1163" s="5" t="s">
        <v>2507</v>
      </c>
      <c r="B1163" s="9">
        <v>46.369</v>
      </c>
      <c r="C1163" s="10">
        <v>47.41</v>
      </c>
      <c r="D1163" s="10">
        <v>48.325000000000003</v>
      </c>
      <c r="E1163" s="10">
        <v>46.55</v>
      </c>
      <c r="F1163" s="10" t="s">
        <v>3674</v>
      </c>
      <c r="G1163" s="11">
        <v>-2.75E-2</v>
      </c>
    </row>
    <row r="1164" spans="1:7" x14ac:dyDescent="0.35">
      <c r="A1164" s="5" t="s">
        <v>3743</v>
      </c>
      <c r="B1164" s="9">
        <v>47.156999999999996</v>
      </c>
      <c r="C1164" s="10">
        <v>48.06</v>
      </c>
      <c r="D1164" s="10">
        <v>49.965000000000003</v>
      </c>
      <c r="E1164" s="10">
        <v>46.7</v>
      </c>
      <c r="F1164" s="10" t="s">
        <v>3675</v>
      </c>
      <c r="G1164" s="11">
        <v>1.7000000000000001E-2</v>
      </c>
    </row>
    <row r="1165" spans="1:7" x14ac:dyDescent="0.35">
      <c r="A1165" s="5" t="s">
        <v>2509</v>
      </c>
      <c r="B1165" s="9">
        <v>47.515000000000001</v>
      </c>
      <c r="C1165" s="10">
        <v>48.405000000000001</v>
      </c>
      <c r="D1165" s="10">
        <v>48.55</v>
      </c>
      <c r="E1165" s="10">
        <v>47.015000000000001</v>
      </c>
      <c r="F1165" s="10" t="s">
        <v>3676</v>
      </c>
      <c r="G1165" s="11">
        <v>7.6E-3</v>
      </c>
    </row>
    <row r="1166" spans="1:7" x14ac:dyDescent="0.35">
      <c r="A1166" s="5" t="s">
        <v>2510</v>
      </c>
      <c r="B1166" s="9">
        <v>48.994</v>
      </c>
      <c r="C1166" s="10">
        <v>47.664999999999999</v>
      </c>
      <c r="D1166" s="10">
        <v>49.195</v>
      </c>
      <c r="E1166" s="10">
        <v>47.53</v>
      </c>
      <c r="F1166" s="10" t="s">
        <v>3677</v>
      </c>
      <c r="G1166" s="11">
        <v>3.1099999999999999E-2</v>
      </c>
    </row>
    <row r="1167" spans="1:7" x14ac:dyDescent="0.35">
      <c r="A1167" s="5" t="s">
        <v>2512</v>
      </c>
      <c r="B1167" s="9">
        <v>47.156999999999996</v>
      </c>
      <c r="C1167" s="10">
        <v>48.45</v>
      </c>
      <c r="D1167" s="10">
        <v>49.965000000000003</v>
      </c>
      <c r="E1167" s="10">
        <v>46.89</v>
      </c>
      <c r="F1167" s="10" t="s">
        <v>3678</v>
      </c>
      <c r="G1167" s="11">
        <v>-3.7499999999999999E-2</v>
      </c>
    </row>
    <row r="1168" spans="1:7" x14ac:dyDescent="0.35">
      <c r="A1168" s="5" t="s">
        <v>2514</v>
      </c>
      <c r="B1168" s="9">
        <v>47.247</v>
      </c>
      <c r="C1168" s="10">
        <v>47.65</v>
      </c>
      <c r="D1168" s="10">
        <v>48.62</v>
      </c>
      <c r="E1168" s="10">
        <v>46.7</v>
      </c>
      <c r="F1168" s="10" t="s">
        <v>3679</v>
      </c>
      <c r="G1168" s="11">
        <v>1.9E-3</v>
      </c>
    </row>
    <row r="1169" spans="1:7" x14ac:dyDescent="0.35">
      <c r="A1169" s="5" t="s">
        <v>2516</v>
      </c>
      <c r="B1169" s="9">
        <v>50.622</v>
      </c>
      <c r="C1169" s="10">
        <v>50.755000000000003</v>
      </c>
      <c r="D1169" s="10">
        <v>52.494999999999997</v>
      </c>
      <c r="E1169" s="10">
        <v>48.75</v>
      </c>
      <c r="F1169" s="10" t="s">
        <v>3680</v>
      </c>
      <c r="G1169" s="11">
        <v>7.1400000000000005E-2</v>
      </c>
    </row>
    <row r="1170" spans="1:7" x14ac:dyDescent="0.35">
      <c r="A1170" s="5" t="s">
        <v>2518</v>
      </c>
      <c r="B1170" s="9">
        <v>51.378</v>
      </c>
      <c r="C1170" s="10">
        <v>50.37</v>
      </c>
      <c r="D1170" s="10">
        <v>52.634999999999998</v>
      </c>
      <c r="E1170" s="10">
        <v>50.31</v>
      </c>
      <c r="F1170" s="10" t="s">
        <v>3681</v>
      </c>
      <c r="G1170" s="11">
        <v>1.49E-2</v>
      </c>
    </row>
    <row r="1171" spans="1:7" x14ac:dyDescent="0.35">
      <c r="A1171" s="5" t="s">
        <v>2520</v>
      </c>
      <c r="B1171" s="9">
        <v>53.295999999999999</v>
      </c>
      <c r="C1171" s="10">
        <v>52.59</v>
      </c>
      <c r="D1171" s="10">
        <v>53.615000000000002</v>
      </c>
      <c r="E1171" s="10">
        <v>51.195</v>
      </c>
      <c r="F1171" s="10" t="s">
        <v>3682</v>
      </c>
      <c r="G1171" s="11">
        <v>3.73E-2</v>
      </c>
    </row>
    <row r="1172" spans="1:7" x14ac:dyDescent="0.35">
      <c r="A1172" s="5" t="s">
        <v>2522</v>
      </c>
      <c r="B1172" s="9">
        <v>50.103999999999999</v>
      </c>
      <c r="C1172" s="10">
        <v>53.424999999999997</v>
      </c>
      <c r="D1172" s="10">
        <v>53.765000000000001</v>
      </c>
      <c r="E1172" s="10">
        <v>49.66</v>
      </c>
      <c r="F1172" s="10" t="s">
        <v>3683</v>
      </c>
      <c r="G1172" s="11">
        <v>-5.9900000000000002E-2</v>
      </c>
    </row>
    <row r="1173" spans="1:7" x14ac:dyDescent="0.35">
      <c r="A1173" s="5" t="s">
        <v>2524</v>
      </c>
      <c r="B1173" s="9">
        <v>47.704000000000001</v>
      </c>
      <c r="C1173" s="10">
        <v>51.37</v>
      </c>
      <c r="D1173" s="10">
        <v>51.615000000000002</v>
      </c>
      <c r="E1173" s="10">
        <v>47.12</v>
      </c>
      <c r="F1173" s="10" t="s">
        <v>3684</v>
      </c>
      <c r="G1173" s="11">
        <v>-4.7899999999999998E-2</v>
      </c>
    </row>
    <row r="1174" spans="1:7" x14ac:dyDescent="0.35">
      <c r="A1174" s="5" t="s">
        <v>2526</v>
      </c>
      <c r="B1174" s="9">
        <v>47.680999999999997</v>
      </c>
      <c r="C1174" s="10">
        <v>48.13</v>
      </c>
      <c r="D1174" s="10">
        <v>48.65</v>
      </c>
      <c r="E1174" s="10">
        <v>46.82</v>
      </c>
      <c r="F1174" s="10" t="s">
        <v>3685</v>
      </c>
      <c r="G1174" s="11">
        <v>-5.0000000000000001E-4</v>
      </c>
    </row>
    <row r="1175" spans="1:7" x14ac:dyDescent="0.35">
      <c r="A1175" s="5" t="s">
        <v>2528</v>
      </c>
      <c r="B1175" s="9">
        <v>48.704000000000001</v>
      </c>
      <c r="C1175" s="10">
        <v>48.145000000000003</v>
      </c>
      <c r="D1175" s="10">
        <v>49.225000000000001</v>
      </c>
      <c r="E1175" s="10">
        <v>47.64</v>
      </c>
      <c r="F1175" s="10" t="s">
        <v>3686</v>
      </c>
      <c r="G1175" s="11">
        <v>2.1499999999999998E-2</v>
      </c>
    </row>
    <row r="1176" spans="1:7" x14ac:dyDescent="0.35">
      <c r="A1176" s="5" t="s">
        <v>2530</v>
      </c>
      <c r="B1176" s="9">
        <v>48.585999999999999</v>
      </c>
      <c r="C1176" s="10">
        <v>48.66</v>
      </c>
      <c r="D1176" s="10">
        <v>48.765000000000001</v>
      </c>
      <c r="E1176" s="10">
        <v>47.384999999999998</v>
      </c>
      <c r="F1176" s="10" t="s">
        <v>3687</v>
      </c>
      <c r="G1176" s="11">
        <v>-2.3999999999999998E-3</v>
      </c>
    </row>
    <row r="1177" spans="1:7" x14ac:dyDescent="0.35">
      <c r="A1177" s="5" t="s">
        <v>2532</v>
      </c>
      <c r="B1177" s="9">
        <v>47.323999999999998</v>
      </c>
      <c r="C1177" s="10">
        <v>46.85</v>
      </c>
      <c r="D1177" s="10">
        <v>47.375</v>
      </c>
      <c r="E1177" s="10">
        <v>45.51</v>
      </c>
      <c r="F1177" s="10" t="s">
        <v>3688</v>
      </c>
      <c r="G1177" s="11">
        <v>-2.5999999999999999E-2</v>
      </c>
    </row>
    <row r="1178" spans="1:7" x14ac:dyDescent="0.35">
      <c r="A1178" s="5" t="s">
        <v>2534</v>
      </c>
      <c r="B1178" s="9">
        <v>47.912999999999997</v>
      </c>
      <c r="C1178" s="10">
        <v>47.134999999999998</v>
      </c>
      <c r="D1178" s="10">
        <v>48.51</v>
      </c>
      <c r="E1178" s="10">
        <v>46.92</v>
      </c>
      <c r="F1178" s="10" t="s">
        <v>3393</v>
      </c>
      <c r="G1178" s="11">
        <v>1.24E-2</v>
      </c>
    </row>
    <row r="1179" spans="1:7" x14ac:dyDescent="0.35">
      <c r="A1179" s="5" t="s">
        <v>2536</v>
      </c>
      <c r="B1179" s="9">
        <v>48.616</v>
      </c>
      <c r="C1179" s="10">
        <v>47.29</v>
      </c>
      <c r="D1179" s="10">
        <v>48.835000000000001</v>
      </c>
      <c r="E1179" s="10">
        <v>47.094999999999999</v>
      </c>
      <c r="F1179" s="10" t="s">
        <v>3689</v>
      </c>
      <c r="G1179" s="11">
        <v>1.47E-2</v>
      </c>
    </row>
    <row r="1180" spans="1:7" x14ac:dyDescent="0.35">
      <c r="A1180" s="5" t="s">
        <v>2538</v>
      </c>
      <c r="B1180" s="9">
        <v>48.16</v>
      </c>
      <c r="C1180" s="10">
        <v>48.73</v>
      </c>
      <c r="D1180" s="10">
        <v>48.994999999999997</v>
      </c>
      <c r="E1180" s="10">
        <v>47.975000000000001</v>
      </c>
      <c r="F1180" s="10" t="s">
        <v>3690</v>
      </c>
      <c r="G1180" s="11">
        <v>-9.4000000000000004E-3</v>
      </c>
    </row>
    <row r="1181" spans="1:7" x14ac:dyDescent="0.35">
      <c r="A1181" s="5" t="s">
        <v>2540</v>
      </c>
      <c r="B1181" s="9">
        <v>47.290999999999997</v>
      </c>
      <c r="C1181" s="10">
        <v>47.884999999999998</v>
      </c>
      <c r="D1181" s="10">
        <v>47.965000000000003</v>
      </c>
      <c r="E1181" s="10">
        <v>46.65</v>
      </c>
      <c r="F1181" s="10" t="s">
        <v>3691</v>
      </c>
      <c r="G1181" s="11">
        <v>-1.7999999999999999E-2</v>
      </c>
    </row>
    <row r="1182" spans="1:7" x14ac:dyDescent="0.35">
      <c r="A1182" s="5" t="s">
        <v>2542</v>
      </c>
      <c r="B1182" s="9">
        <v>48.021999999999998</v>
      </c>
      <c r="C1182" s="10">
        <v>46.9</v>
      </c>
      <c r="D1182" s="10">
        <v>48.115000000000002</v>
      </c>
      <c r="E1182" s="10">
        <v>46.52</v>
      </c>
      <c r="F1182" s="10" t="s">
        <v>3692</v>
      </c>
      <c r="G1182" s="11">
        <v>1.55E-2</v>
      </c>
    </row>
    <row r="1183" spans="1:7" x14ac:dyDescent="0.35">
      <c r="A1183" s="5" t="s">
        <v>2544</v>
      </c>
      <c r="B1183" s="9">
        <v>47.95</v>
      </c>
      <c r="C1183" s="10">
        <v>47.85</v>
      </c>
      <c r="D1183" s="10">
        <v>48.615000000000002</v>
      </c>
      <c r="E1183" s="10">
        <v>47.41</v>
      </c>
      <c r="F1183" s="10" t="s">
        <v>3693</v>
      </c>
      <c r="G1183" s="11">
        <v>-1.5E-3</v>
      </c>
    </row>
    <row r="1184" spans="1:7" x14ac:dyDescent="0.35">
      <c r="A1184" s="5" t="s">
        <v>2546</v>
      </c>
      <c r="B1184" s="9">
        <v>48.143000000000001</v>
      </c>
      <c r="C1184" s="10">
        <v>47.86</v>
      </c>
      <c r="D1184" s="10">
        <v>48.73</v>
      </c>
      <c r="E1184" s="10">
        <v>47.78</v>
      </c>
      <c r="F1184" s="10" t="s">
        <v>3694</v>
      </c>
      <c r="G1184" s="11">
        <v>4.0000000000000001E-3</v>
      </c>
    </row>
    <row r="1185" spans="1:7" x14ac:dyDescent="0.35">
      <c r="A1185" s="5" t="s">
        <v>3744</v>
      </c>
      <c r="B1185" s="9">
        <v>50.311</v>
      </c>
      <c r="C1185" s="10">
        <v>48.295000000000002</v>
      </c>
      <c r="D1185" s="10">
        <v>50.48</v>
      </c>
      <c r="E1185" s="10">
        <v>48.234999999999999</v>
      </c>
      <c r="F1185" s="10" t="s">
        <v>3695</v>
      </c>
      <c r="G1185" s="11">
        <v>4.4999999999999998E-2</v>
      </c>
    </row>
    <row r="1186" spans="1:7" x14ac:dyDescent="0.35">
      <c r="A1186" s="5" t="s">
        <v>2548</v>
      </c>
      <c r="B1186" s="9">
        <v>50.744</v>
      </c>
      <c r="C1186" s="10">
        <v>50.445</v>
      </c>
      <c r="D1186" s="10">
        <v>51.13</v>
      </c>
      <c r="E1186" s="10">
        <v>50.15</v>
      </c>
      <c r="F1186" s="10" t="s">
        <v>3696</v>
      </c>
      <c r="G1186" s="11">
        <v>8.6E-3</v>
      </c>
    </row>
    <row r="1187" spans="1:7" x14ac:dyDescent="0.35">
      <c r="A1187" s="5" t="s">
        <v>2550</v>
      </c>
      <c r="B1187" s="9">
        <v>53.457000000000001</v>
      </c>
      <c r="C1187" s="10">
        <v>51.075000000000003</v>
      </c>
      <c r="D1187" s="10">
        <v>53.625</v>
      </c>
      <c r="E1187" s="10">
        <v>50.76</v>
      </c>
      <c r="F1187" s="10" t="s">
        <v>3697</v>
      </c>
      <c r="G1187" s="11">
        <v>5.3499999999999999E-2</v>
      </c>
    </row>
    <row r="1188" spans="1:7" x14ac:dyDescent="0.35">
      <c r="A1188" s="5" t="s">
        <v>2552</v>
      </c>
      <c r="B1188" s="9">
        <v>53.17</v>
      </c>
      <c r="C1188" s="10">
        <v>53.274999999999999</v>
      </c>
      <c r="D1188" s="10">
        <v>54.414999999999999</v>
      </c>
      <c r="E1188" s="10">
        <v>51.984999999999999</v>
      </c>
      <c r="F1188" s="10" t="s">
        <v>3698</v>
      </c>
      <c r="G1188" s="11">
        <v>-5.4000000000000003E-3</v>
      </c>
    </row>
    <row r="1189" spans="1:7" x14ac:dyDescent="0.35">
      <c r="A1189" s="5" t="s">
        <v>2554</v>
      </c>
      <c r="B1189" s="9">
        <v>50.686</v>
      </c>
      <c r="C1189" s="10">
        <v>52.2</v>
      </c>
      <c r="D1189" s="10">
        <v>53.375</v>
      </c>
      <c r="E1189" s="10">
        <v>49.86</v>
      </c>
      <c r="F1189" s="10" t="s">
        <v>3699</v>
      </c>
      <c r="G1189" s="11">
        <v>-4.6699999999999998E-2</v>
      </c>
    </row>
    <row r="1190" spans="1:7" x14ac:dyDescent="0.35">
      <c r="A1190" s="5" t="s">
        <v>3745</v>
      </c>
      <c r="B1190" s="9">
        <v>50.710999999999999</v>
      </c>
      <c r="C1190" s="10">
        <v>50.405000000000001</v>
      </c>
      <c r="D1190" s="10">
        <v>51.11</v>
      </c>
      <c r="E1190" s="10">
        <v>49.344999999999999</v>
      </c>
      <c r="F1190" s="10" t="s">
        <v>3700</v>
      </c>
      <c r="G1190" s="11">
        <v>5.0000000000000001E-4</v>
      </c>
    </row>
    <row r="1191" spans="1:7" x14ac:dyDescent="0.35">
      <c r="A1191" s="5" t="s">
        <v>2556</v>
      </c>
      <c r="B1191" s="9">
        <v>50.521000000000001</v>
      </c>
      <c r="C1191" s="10">
        <v>50.06</v>
      </c>
      <c r="D1191" s="10">
        <v>51.034999999999997</v>
      </c>
      <c r="E1191" s="10">
        <v>49.115000000000002</v>
      </c>
      <c r="F1191" s="10" t="s">
        <v>3701</v>
      </c>
      <c r="G1191" s="11">
        <v>-3.7000000000000002E-3</v>
      </c>
    </row>
    <row r="1192" spans="1:7" x14ac:dyDescent="0.35">
      <c r="A1192" s="5" t="s">
        <v>2557</v>
      </c>
      <c r="B1192" s="9">
        <v>50.853999999999999</v>
      </c>
      <c r="C1192" s="10">
        <v>50.55</v>
      </c>
      <c r="D1192" s="10">
        <v>52.244999999999997</v>
      </c>
      <c r="E1192" s="10">
        <v>50.145000000000003</v>
      </c>
      <c r="F1192" s="10" t="s">
        <v>3702</v>
      </c>
      <c r="G1192" s="11">
        <v>6.6E-3</v>
      </c>
    </row>
    <row r="1193" spans="1:7" x14ac:dyDescent="0.35">
      <c r="A1193" s="5" t="s">
        <v>2559</v>
      </c>
      <c r="B1193" s="9">
        <v>50.301000000000002</v>
      </c>
      <c r="C1193" s="10">
        <v>51.06</v>
      </c>
      <c r="D1193" s="10">
        <v>51.57</v>
      </c>
      <c r="E1193" s="10">
        <v>49.924999999999997</v>
      </c>
      <c r="F1193" s="10" t="s">
        <v>3703</v>
      </c>
      <c r="G1193" s="11">
        <v>-1.09E-2</v>
      </c>
    </row>
    <row r="1194" spans="1:7" x14ac:dyDescent="0.35">
      <c r="A1194" s="5" t="s">
        <v>2561</v>
      </c>
      <c r="B1194" s="9">
        <v>49.912999999999997</v>
      </c>
      <c r="C1194" s="10">
        <v>50.395000000000003</v>
      </c>
      <c r="D1194" s="10">
        <v>50.555</v>
      </c>
      <c r="E1194" s="10">
        <v>48.05</v>
      </c>
      <c r="F1194" s="10" t="s">
        <v>3704</v>
      </c>
      <c r="G1194" s="11">
        <v>-7.7000000000000002E-3</v>
      </c>
    </row>
    <row r="1195" spans="1:7" x14ac:dyDescent="0.35">
      <c r="A1195" s="5" t="s">
        <v>3746</v>
      </c>
      <c r="B1195" s="9">
        <v>50.326000000000001</v>
      </c>
      <c r="C1195" s="10">
        <v>49.854999999999997</v>
      </c>
      <c r="D1195" s="10">
        <v>51.215000000000003</v>
      </c>
      <c r="E1195" s="10">
        <v>49.37</v>
      </c>
      <c r="F1195" s="10" t="s">
        <v>3705</v>
      </c>
      <c r="G1195" s="11">
        <v>8.3000000000000001E-3</v>
      </c>
    </row>
    <row r="1196" spans="1:7" x14ac:dyDescent="0.35">
      <c r="A1196" s="5" t="s">
        <v>2563</v>
      </c>
      <c r="B1196" s="9">
        <v>50.965000000000003</v>
      </c>
      <c r="C1196" s="10">
        <v>51.16</v>
      </c>
      <c r="D1196" s="10">
        <v>51.51</v>
      </c>
      <c r="E1196" s="10">
        <v>50.32</v>
      </c>
      <c r="F1196" s="10" t="s">
        <v>3706</v>
      </c>
      <c r="G1196" s="11">
        <v>1.2699999999999999E-2</v>
      </c>
    </row>
    <row r="1197" spans="1:7" x14ac:dyDescent="0.35">
      <c r="A1197" s="5" t="s">
        <v>2565</v>
      </c>
      <c r="B1197" s="9">
        <v>53.606999999999999</v>
      </c>
      <c r="C1197" s="10">
        <v>51.75</v>
      </c>
      <c r="D1197" s="10">
        <v>53.79</v>
      </c>
      <c r="E1197" s="10">
        <v>51.545000000000002</v>
      </c>
      <c r="F1197" s="10" t="s">
        <v>3707</v>
      </c>
      <c r="G1197" s="11">
        <v>5.1799999999999999E-2</v>
      </c>
    </row>
    <row r="1198" spans="1:7" x14ac:dyDescent="0.35">
      <c r="A1198" s="5" t="s">
        <v>2567</v>
      </c>
      <c r="B1198" s="9">
        <v>57.162999999999997</v>
      </c>
      <c r="C1198" s="10">
        <v>53.755000000000003</v>
      </c>
      <c r="D1198" s="10">
        <v>57.244999999999997</v>
      </c>
      <c r="E1198" s="10">
        <v>53.22</v>
      </c>
      <c r="F1198" s="10" t="s">
        <v>3708</v>
      </c>
      <c r="G1198" s="11">
        <v>6.6299999999999998E-2</v>
      </c>
    </row>
    <row r="1199" spans="1:7" x14ac:dyDescent="0.35">
      <c r="A1199" s="5" t="s">
        <v>3747</v>
      </c>
      <c r="B1199" s="9">
        <v>59.142000000000003</v>
      </c>
      <c r="C1199" s="10">
        <v>57</v>
      </c>
      <c r="D1199" s="10">
        <v>59.435000000000002</v>
      </c>
      <c r="E1199" s="10">
        <v>56.85</v>
      </c>
      <c r="F1199" s="10" t="s">
        <v>3709</v>
      </c>
      <c r="G1199" s="11">
        <v>3.4599999999999999E-2</v>
      </c>
    </row>
    <row r="1200" spans="1:7" x14ac:dyDescent="0.35">
      <c r="A1200" s="5" t="s">
        <v>2569</v>
      </c>
      <c r="B1200" s="9">
        <v>58.703000000000003</v>
      </c>
      <c r="C1200" s="10">
        <v>58.45</v>
      </c>
      <c r="D1200" s="10">
        <v>59.32</v>
      </c>
      <c r="E1200" s="10">
        <v>57.225000000000001</v>
      </c>
      <c r="F1200" s="10" t="s">
        <v>3710</v>
      </c>
      <c r="G1200" s="11">
        <v>-7.4000000000000003E-3</v>
      </c>
    </row>
    <row r="1201" spans="1:7" x14ac:dyDescent="0.35">
      <c r="A1201" s="5" t="s">
        <v>2571</v>
      </c>
      <c r="B1201" s="9">
        <v>58.62</v>
      </c>
      <c r="C1201" s="10">
        <v>59.16</v>
      </c>
      <c r="D1201" s="10">
        <v>59.655000000000001</v>
      </c>
      <c r="E1201" s="10">
        <v>58.21</v>
      </c>
      <c r="F1201" s="10" t="s">
        <v>3711</v>
      </c>
      <c r="G1201" s="11">
        <v>-1.4E-3</v>
      </c>
    </row>
    <row r="1202" spans="1:7" x14ac:dyDescent="0.35">
      <c r="A1202" s="5" t="s">
        <v>2572</v>
      </c>
      <c r="B1202" s="9">
        <v>57.491</v>
      </c>
      <c r="C1202" s="10">
        <v>58.98</v>
      </c>
      <c r="D1202" s="10">
        <v>59.234999999999999</v>
      </c>
      <c r="E1202" s="10">
        <v>56.85</v>
      </c>
      <c r="F1202" s="10" t="s">
        <v>3712</v>
      </c>
      <c r="G1202" s="11">
        <v>-1.9300000000000001E-2</v>
      </c>
    </row>
    <row r="1203" spans="1:7" x14ac:dyDescent="0.35">
      <c r="A1203" s="5" t="s">
        <v>2574</v>
      </c>
      <c r="B1203" s="9">
        <v>59.052999999999997</v>
      </c>
      <c r="C1203" s="10">
        <v>57.56</v>
      </c>
      <c r="D1203" s="10">
        <v>59.9</v>
      </c>
      <c r="E1203" s="10">
        <v>57.32</v>
      </c>
      <c r="F1203" s="10" t="s">
        <v>3713</v>
      </c>
      <c r="G1203" s="11">
        <v>2.7199999999999998E-2</v>
      </c>
    </row>
    <row r="1204" spans="1:7" x14ac:dyDescent="0.35">
      <c r="A1204" s="5" t="s">
        <v>3748</v>
      </c>
      <c r="B1204" s="9">
        <v>58.405000000000001</v>
      </c>
      <c r="C1204" s="10">
        <v>58.765000000000001</v>
      </c>
      <c r="D1204" s="10">
        <v>59.07</v>
      </c>
      <c r="E1204" s="10">
        <v>57.77</v>
      </c>
      <c r="F1204" s="10" t="s">
        <v>3714</v>
      </c>
      <c r="G1204" s="11">
        <v>-1.0999999999999999E-2</v>
      </c>
    </row>
    <row r="1205" spans="1:7" x14ac:dyDescent="0.35">
      <c r="A1205" s="5" t="s">
        <v>2576</v>
      </c>
      <c r="B1205" s="9">
        <v>60.84</v>
      </c>
      <c r="C1205" s="10">
        <v>58.515000000000001</v>
      </c>
      <c r="D1205" s="10">
        <v>61.295000000000002</v>
      </c>
      <c r="E1205" s="10">
        <v>57.99</v>
      </c>
      <c r="F1205" s="10" t="s">
        <v>3715</v>
      </c>
      <c r="G1205" s="11">
        <v>4.1700000000000001E-2</v>
      </c>
    </row>
    <row r="1206" spans="1:7" x14ac:dyDescent="0.35">
      <c r="A1206" s="5" t="s">
        <v>2577</v>
      </c>
      <c r="B1206" s="9">
        <v>61.029000000000003</v>
      </c>
      <c r="C1206" s="10">
        <v>61.11</v>
      </c>
      <c r="D1206" s="10">
        <v>62.39</v>
      </c>
      <c r="E1206" s="10">
        <v>60.55</v>
      </c>
      <c r="F1206" s="10" t="s">
        <v>3716</v>
      </c>
      <c r="G1206" s="11">
        <v>3.0999999999999999E-3</v>
      </c>
    </row>
    <row r="1207" spans="1:7" x14ac:dyDescent="0.35">
      <c r="A1207" s="5" t="s">
        <v>2579</v>
      </c>
      <c r="B1207" s="9">
        <v>64.591999999999999</v>
      </c>
      <c r="C1207" s="10">
        <v>62.234999999999999</v>
      </c>
      <c r="D1207" s="10">
        <v>64.72</v>
      </c>
      <c r="E1207" s="10">
        <v>61.78</v>
      </c>
      <c r="F1207" s="10" t="s">
        <v>3717</v>
      </c>
      <c r="G1207" s="11">
        <v>5.8400000000000001E-2</v>
      </c>
    </row>
    <row r="1208" spans="1:7" x14ac:dyDescent="0.35">
      <c r="A1208" s="5" t="s">
        <v>2581</v>
      </c>
      <c r="B1208" s="9">
        <v>62.006999999999998</v>
      </c>
      <c r="C1208" s="10">
        <v>63.984999999999999</v>
      </c>
      <c r="D1208" s="10">
        <v>65.084999999999994</v>
      </c>
      <c r="E1208" s="10">
        <v>61.015000000000001</v>
      </c>
      <c r="F1208" s="10" t="s">
        <v>3718</v>
      </c>
      <c r="G1208" s="11">
        <v>-0.04</v>
      </c>
    </row>
    <row r="1209" spans="1:7" x14ac:dyDescent="0.35">
      <c r="A1209" s="5" t="s">
        <v>2583</v>
      </c>
      <c r="B1209" s="9">
        <v>63.323</v>
      </c>
      <c r="C1209" s="10">
        <v>64.11</v>
      </c>
      <c r="D1209" s="10">
        <v>64.204999999999998</v>
      </c>
      <c r="E1209" s="10">
        <v>62.115000000000002</v>
      </c>
      <c r="F1209" s="10" t="s">
        <v>3719</v>
      </c>
      <c r="G1209" s="11">
        <v>2.12E-2</v>
      </c>
    </row>
    <row r="1210" spans="1:7" x14ac:dyDescent="0.35">
      <c r="A1210" s="5" t="s">
        <v>2585</v>
      </c>
      <c r="B1210" s="9">
        <v>66.900999999999996</v>
      </c>
      <c r="C1210" s="10">
        <v>63.795000000000002</v>
      </c>
      <c r="D1210" s="10">
        <v>67.180000000000007</v>
      </c>
      <c r="E1210" s="10">
        <v>63.725000000000001</v>
      </c>
      <c r="F1210" s="10" t="s">
        <v>3720</v>
      </c>
      <c r="G1210" s="11">
        <v>5.6500000000000002E-2</v>
      </c>
    </row>
    <row r="1211" spans="1:7" x14ac:dyDescent="0.35">
      <c r="A1211" s="5" t="s">
        <v>2587</v>
      </c>
      <c r="B1211" s="9">
        <v>65.218999999999994</v>
      </c>
      <c r="C1211" s="10">
        <v>66.510000000000005</v>
      </c>
      <c r="D1211" s="10">
        <v>66.825000000000003</v>
      </c>
      <c r="E1211" s="10">
        <v>64.674999999999997</v>
      </c>
      <c r="F1211" s="10" t="s">
        <v>3721</v>
      </c>
      <c r="G1211" s="11">
        <v>-2.5100000000000001E-2</v>
      </c>
    </row>
    <row r="1212" spans="1:7" x14ac:dyDescent="0.35">
      <c r="A1212" s="5" t="s">
        <v>2588</v>
      </c>
      <c r="B1212" s="9">
        <v>67.489000000000004</v>
      </c>
      <c r="C1212" s="10">
        <v>65.415000000000006</v>
      </c>
      <c r="D1212" s="10">
        <v>67.680000000000007</v>
      </c>
      <c r="E1212" s="10">
        <v>64.465000000000003</v>
      </c>
      <c r="F1212" s="10" t="s">
        <v>3722</v>
      </c>
      <c r="G1212" s="11">
        <v>3.4799999999999998E-2</v>
      </c>
    </row>
    <row r="1213" spans="1:7" x14ac:dyDescent="0.35">
      <c r="A1213" s="5" t="s">
        <v>3749</v>
      </c>
      <c r="B1213" s="9">
        <v>68.564999999999998</v>
      </c>
      <c r="C1213" s="10">
        <v>67.55</v>
      </c>
      <c r="D1213" s="10">
        <v>69.525000000000006</v>
      </c>
      <c r="E1213" s="10">
        <v>67.47</v>
      </c>
      <c r="F1213" s="10" t="s">
        <v>3723</v>
      </c>
      <c r="G1213" s="11">
        <v>1.5900000000000001E-2</v>
      </c>
    </row>
    <row r="1214" spans="1:7" x14ac:dyDescent="0.35">
      <c r="A1214" s="5" t="s">
        <v>2590</v>
      </c>
      <c r="B1214" s="9">
        <v>71.137</v>
      </c>
      <c r="C1214" s="10">
        <v>69.08</v>
      </c>
      <c r="D1214" s="10">
        <v>71.795000000000002</v>
      </c>
      <c r="E1214" s="10">
        <v>68.724999999999994</v>
      </c>
      <c r="F1214" s="10" t="s">
        <v>3724</v>
      </c>
      <c r="G1214" s="11">
        <v>3.7499999999999999E-2</v>
      </c>
    </row>
    <row r="1215" spans="1:7" x14ac:dyDescent="0.35">
      <c r="A1215" s="5" t="s">
        <v>2592</v>
      </c>
      <c r="B1215" s="9">
        <v>71.685000000000002</v>
      </c>
      <c r="C1215" s="10">
        <v>71.680000000000007</v>
      </c>
      <c r="D1215" s="10">
        <v>72.75</v>
      </c>
      <c r="E1215" s="10">
        <v>70.16</v>
      </c>
      <c r="F1215" s="10" t="s">
        <v>3725</v>
      </c>
      <c r="G1215" s="11">
        <v>7.7000000000000002E-3</v>
      </c>
    </row>
    <row r="1216" spans="1:7" x14ac:dyDescent="0.35">
      <c r="A1216" s="5" t="s">
        <v>2594</v>
      </c>
      <c r="B1216" s="9">
        <v>77.195999999999998</v>
      </c>
      <c r="C1216" s="10">
        <v>72.724999999999994</v>
      </c>
      <c r="D1216" s="10">
        <v>79.7</v>
      </c>
      <c r="E1216" s="10">
        <v>72.72</v>
      </c>
      <c r="F1216" s="10" t="s">
        <v>3726</v>
      </c>
      <c r="G1216" s="11">
        <v>7.6899999999999996E-2</v>
      </c>
    </row>
    <row r="1217" spans="1:7" x14ac:dyDescent="0.35">
      <c r="A1217" s="5" t="s">
        <v>3750</v>
      </c>
      <c r="B1217" s="9">
        <v>70.459999999999994</v>
      </c>
      <c r="C1217" s="10">
        <v>80</v>
      </c>
      <c r="D1217" s="10">
        <v>82.67</v>
      </c>
      <c r="E1217" s="10">
        <v>70.215000000000003</v>
      </c>
      <c r="F1217" s="10" t="s">
        <v>3727</v>
      </c>
      <c r="G1217" s="11">
        <v>-8.7300000000000003E-2</v>
      </c>
    </row>
    <row r="1218" spans="1:7" x14ac:dyDescent="0.35">
      <c r="A1218" s="5" t="s">
        <v>2596</v>
      </c>
      <c r="B1218" s="9">
        <v>77.918999999999997</v>
      </c>
      <c r="C1218" s="10">
        <v>71.685000000000002</v>
      </c>
      <c r="D1218" s="10">
        <v>78.064999999999998</v>
      </c>
      <c r="E1218" s="10">
        <v>70.67</v>
      </c>
      <c r="F1218" s="10" t="s">
        <v>3728</v>
      </c>
      <c r="G1218" s="11">
        <v>0.10589999999999999</v>
      </c>
    </row>
    <row r="1219" spans="1:7" ht="13" customHeight="1" x14ac:dyDescent="0.35">
      <c r="A1219" s="28" t="s">
        <v>2598</v>
      </c>
      <c r="B1219" s="47">
        <v>70.602999999999994</v>
      </c>
      <c r="C1219" s="40">
        <v>76.064999999999998</v>
      </c>
      <c r="D1219" s="40">
        <v>76.275000000000006</v>
      </c>
      <c r="E1219" s="40">
        <v>69.254999999999995</v>
      </c>
      <c r="F1219" s="40" t="s">
        <v>3729</v>
      </c>
      <c r="G1219" s="41">
        <v>-9.3899999999999997E-2</v>
      </c>
    </row>
    <row r="1220" spans="1:7" s="51" customFormat="1" x14ac:dyDescent="0.35">
      <c r="A1220" s="43"/>
      <c r="B1220" s="43"/>
      <c r="C1220" s="43"/>
      <c r="D1220" s="43"/>
      <c r="E1220" s="43"/>
      <c r="F1220" s="43"/>
      <c r="G1220" s="43"/>
    </row>
    <row r="1221" spans="1:7" s="51" customFormat="1" x14ac:dyDescent="0.35">
      <c r="A1221" s="43"/>
      <c r="B1221" s="43"/>
      <c r="C1221" s="43"/>
      <c r="D1221" s="43"/>
      <c r="E1221" s="43"/>
      <c r="F1221" s="43"/>
      <c r="G1221" s="43"/>
    </row>
    <row r="1222" spans="1:7" s="51" customFormat="1" x14ac:dyDescent="0.35">
      <c r="A1222" s="43"/>
      <c r="B1222" s="43"/>
      <c r="C1222" s="43"/>
      <c r="D1222" s="43"/>
      <c r="E1222" s="43"/>
      <c r="F1222" s="43"/>
      <c r="G1222" s="43"/>
    </row>
    <row r="1223" spans="1:7" s="51" customFormat="1" x14ac:dyDescent="0.35">
      <c r="A1223" s="43"/>
      <c r="B1223" s="43"/>
      <c r="C1223" s="43"/>
      <c r="D1223" s="43"/>
      <c r="E1223" s="43"/>
      <c r="F1223" s="43"/>
      <c r="G1223" s="43"/>
    </row>
    <row r="1224" spans="1:7" s="51" customFormat="1" x14ac:dyDescent="0.35">
      <c r="A1224" s="43"/>
      <c r="B1224" s="43"/>
      <c r="C1224" s="43"/>
      <c r="D1224" s="43"/>
      <c r="E1224" s="43"/>
      <c r="F1224" s="43"/>
      <c r="G1224" s="43"/>
    </row>
    <row r="1225" spans="1:7" s="51" customFormat="1" x14ac:dyDescent="0.35">
      <c r="A1225" s="43"/>
      <c r="B1225" s="43"/>
      <c r="C1225" s="43"/>
      <c r="D1225" s="43"/>
      <c r="E1225" s="43"/>
      <c r="F1225" s="43"/>
      <c r="G1225" s="43"/>
    </row>
    <row r="1226" spans="1:7" s="51" customFormat="1" x14ac:dyDescent="0.35">
      <c r="A1226" s="43"/>
      <c r="B1226" s="43"/>
      <c r="C1226" s="43"/>
      <c r="D1226" s="43"/>
      <c r="E1226" s="43"/>
      <c r="F1226" s="43"/>
      <c r="G1226" s="43"/>
    </row>
    <row r="1227" spans="1:7" s="51" customFormat="1" x14ac:dyDescent="0.35">
      <c r="A1227" s="43"/>
      <c r="B1227" s="43"/>
      <c r="C1227" s="43"/>
      <c r="D1227" s="43"/>
      <c r="E1227" s="43"/>
      <c r="F1227" s="43"/>
      <c r="G1227" s="43"/>
    </row>
    <row r="1228" spans="1:7" s="51" customFormat="1" x14ac:dyDescent="0.35">
      <c r="A1228" s="43"/>
      <c r="B1228" s="43"/>
      <c r="C1228" s="43"/>
      <c r="D1228" s="43"/>
      <c r="E1228" s="43"/>
      <c r="F1228" s="43"/>
      <c r="G1228" s="43"/>
    </row>
    <row r="1229" spans="1:7" s="51" customFormat="1" x14ac:dyDescent="0.35">
      <c r="A1229" s="43"/>
      <c r="B1229" s="43"/>
      <c r="C1229" s="43"/>
      <c r="D1229" s="43"/>
      <c r="E1229" s="43"/>
      <c r="F1229" s="43"/>
      <c r="G1229" s="43"/>
    </row>
    <row r="1230" spans="1:7" s="51" customFormat="1" x14ac:dyDescent="0.35">
      <c r="A1230" s="43"/>
      <c r="B1230" s="43"/>
      <c r="C1230" s="43"/>
      <c r="D1230" s="43"/>
      <c r="E1230" s="43"/>
      <c r="F1230" s="43"/>
      <c r="G1230" s="43"/>
    </row>
    <row r="1231" spans="1:7" s="51" customFormat="1" x14ac:dyDescent="0.35">
      <c r="A1231" s="43"/>
      <c r="B1231" s="43"/>
      <c r="C1231" s="43"/>
      <c r="D1231" s="43"/>
      <c r="E1231" s="43"/>
      <c r="F1231" s="43"/>
      <c r="G1231" s="43"/>
    </row>
    <row r="1232" spans="1:7" s="51" customFormat="1" x14ac:dyDescent="0.35">
      <c r="A1232" s="43"/>
      <c r="B1232" s="43"/>
      <c r="C1232" s="43"/>
      <c r="D1232" s="43"/>
      <c r="E1232" s="43"/>
      <c r="F1232" s="43"/>
      <c r="G1232" s="43"/>
    </row>
    <row r="1233" spans="1:7" s="51" customFormat="1" x14ac:dyDescent="0.35">
      <c r="A1233" s="43"/>
      <c r="B1233" s="43"/>
      <c r="C1233" s="43"/>
      <c r="D1233" s="43"/>
      <c r="E1233" s="43"/>
      <c r="F1233" s="43"/>
      <c r="G1233" s="43"/>
    </row>
    <row r="1234" spans="1:7" s="51" customFormat="1" x14ac:dyDescent="0.35">
      <c r="A1234" s="43"/>
      <c r="B1234" s="43"/>
      <c r="C1234" s="43"/>
      <c r="D1234" s="43"/>
      <c r="E1234" s="43"/>
      <c r="F1234" s="43"/>
      <c r="G1234" s="43"/>
    </row>
    <row r="1235" spans="1:7" s="51" customFormat="1" x14ac:dyDescent="0.35">
      <c r="A1235" s="43"/>
      <c r="B1235" s="43"/>
      <c r="C1235" s="43"/>
      <c r="D1235" s="43"/>
      <c r="E1235" s="43"/>
      <c r="F1235" s="43"/>
      <c r="G1235" s="43"/>
    </row>
    <row r="1236" spans="1:7" s="51" customFormat="1" x14ac:dyDescent="0.35">
      <c r="A1236" s="43"/>
      <c r="B1236" s="43"/>
      <c r="C1236" s="43"/>
      <c r="D1236" s="43"/>
      <c r="E1236" s="43"/>
      <c r="F1236" s="43"/>
      <c r="G1236" s="43"/>
    </row>
    <row r="1237" spans="1:7" s="51" customFormat="1" x14ac:dyDescent="0.35">
      <c r="A1237" s="43"/>
      <c r="B1237" s="43"/>
      <c r="C1237" s="43"/>
      <c r="D1237" s="43"/>
      <c r="E1237" s="43"/>
      <c r="F1237" s="43"/>
      <c r="G1237" s="43"/>
    </row>
    <row r="1238" spans="1:7" s="51" customFormat="1" x14ac:dyDescent="0.35">
      <c r="A1238" s="43"/>
      <c r="B1238" s="43"/>
      <c r="C1238" s="43"/>
      <c r="D1238" s="43"/>
      <c r="E1238" s="43"/>
      <c r="F1238" s="43"/>
      <c r="G1238" s="43"/>
    </row>
    <row r="1239" spans="1:7" s="51" customFormat="1" x14ac:dyDescent="0.35">
      <c r="A1239" s="43"/>
      <c r="B1239" s="43"/>
      <c r="C1239" s="43"/>
      <c r="D1239" s="43"/>
      <c r="E1239" s="43"/>
      <c r="F1239" s="43"/>
      <c r="G1239" s="43"/>
    </row>
    <row r="1240" spans="1:7" s="51" customFormat="1" x14ac:dyDescent="0.35">
      <c r="A1240" s="43"/>
      <c r="B1240" s="43"/>
      <c r="C1240" s="43"/>
      <c r="D1240" s="43"/>
      <c r="E1240" s="43"/>
      <c r="F1240" s="43"/>
      <c r="G1240" s="43"/>
    </row>
    <row r="1241" spans="1:7" s="51" customFormat="1" x14ac:dyDescent="0.35">
      <c r="A1241" s="43"/>
      <c r="B1241" s="43"/>
      <c r="C1241" s="43"/>
      <c r="D1241" s="43"/>
      <c r="E1241" s="43"/>
      <c r="F1241" s="43"/>
      <c r="G1241" s="43"/>
    </row>
    <row r="1242" spans="1:7" s="51" customFormat="1" x14ac:dyDescent="0.35">
      <c r="A1242" s="43"/>
      <c r="B1242" s="43"/>
      <c r="C1242" s="43"/>
      <c r="D1242" s="43"/>
      <c r="E1242" s="43"/>
      <c r="F1242" s="43"/>
      <c r="G1242" s="43"/>
    </row>
    <row r="1243" spans="1:7" s="51" customFormat="1" x14ac:dyDescent="0.35">
      <c r="A1243" s="43"/>
      <c r="B1243" s="43"/>
      <c r="C1243" s="43"/>
      <c r="D1243" s="43"/>
      <c r="E1243" s="43"/>
      <c r="F1243" s="43"/>
      <c r="G1243" s="43"/>
    </row>
    <row r="1244" spans="1:7" s="51" customFormat="1" x14ac:dyDescent="0.35">
      <c r="A1244" s="43"/>
      <c r="B1244" s="43"/>
      <c r="C1244" s="43"/>
      <c r="D1244" s="43"/>
      <c r="E1244" s="43"/>
      <c r="F1244" s="43"/>
      <c r="G1244" s="43"/>
    </row>
    <row r="1245" spans="1:7" s="51" customFormat="1" x14ac:dyDescent="0.35">
      <c r="A1245" s="43"/>
      <c r="B1245" s="43"/>
      <c r="C1245" s="43"/>
      <c r="D1245" s="43"/>
      <c r="E1245" s="43"/>
      <c r="F1245" s="43"/>
      <c r="G1245" s="43"/>
    </row>
    <row r="1246" spans="1:7" s="51" customFormat="1" x14ac:dyDescent="0.35">
      <c r="A1246" s="43"/>
      <c r="B1246" s="43"/>
      <c r="C1246" s="43"/>
      <c r="D1246" s="43"/>
      <c r="E1246" s="43"/>
      <c r="F1246" s="43"/>
      <c r="G1246" s="43"/>
    </row>
    <row r="1247" spans="1:7" s="51" customFormat="1" x14ac:dyDescent="0.35">
      <c r="A1247" s="43"/>
      <c r="B1247" s="43"/>
      <c r="C1247" s="43"/>
      <c r="D1247" s="43"/>
      <c r="E1247" s="43"/>
      <c r="F1247" s="43"/>
      <c r="G1247" s="43"/>
    </row>
    <row r="1248" spans="1:7" s="51" customFormat="1" x14ac:dyDescent="0.35">
      <c r="A1248" s="43"/>
      <c r="B1248" s="43"/>
      <c r="C1248" s="43"/>
      <c r="D1248" s="43"/>
      <c r="E1248" s="43"/>
      <c r="F1248" s="43"/>
      <c r="G1248" s="43"/>
    </row>
    <row r="1249" spans="1:7" s="51" customFormat="1" x14ac:dyDescent="0.35">
      <c r="A1249" s="43"/>
      <c r="B1249" s="43"/>
      <c r="C1249" s="43"/>
      <c r="D1249" s="43"/>
      <c r="E1249" s="43"/>
      <c r="F1249" s="43"/>
      <c r="G1249" s="43"/>
    </row>
    <row r="1250" spans="1:7" s="51" customFormat="1" x14ac:dyDescent="0.35">
      <c r="A1250" s="43"/>
      <c r="B1250" s="43"/>
      <c r="C1250" s="43"/>
      <c r="D1250" s="43"/>
      <c r="E1250" s="43"/>
      <c r="F1250" s="43"/>
      <c r="G1250" s="43"/>
    </row>
    <row r="1251" spans="1:7" s="51" customFormat="1" x14ac:dyDescent="0.35">
      <c r="A1251" s="43"/>
      <c r="B1251" s="43"/>
      <c r="C1251" s="43"/>
      <c r="D1251" s="43"/>
      <c r="E1251" s="43"/>
      <c r="F1251" s="43"/>
      <c r="G1251" s="43"/>
    </row>
    <row r="1252" spans="1:7" s="51" customFormat="1" x14ac:dyDescent="0.35">
      <c r="A1252" s="43"/>
      <c r="B1252" s="43"/>
      <c r="C1252" s="43"/>
      <c r="D1252" s="43"/>
      <c r="E1252" s="43"/>
      <c r="F1252" s="43"/>
      <c r="G1252" s="43"/>
    </row>
    <row r="1253" spans="1:7" s="51" customFormat="1" x14ac:dyDescent="0.35">
      <c r="A1253" s="43"/>
      <c r="B1253" s="43"/>
      <c r="C1253" s="43"/>
      <c r="D1253" s="43"/>
      <c r="E1253" s="43"/>
      <c r="F1253" s="43"/>
      <c r="G1253" s="43"/>
    </row>
    <row r="1254" spans="1:7" s="51" customFormat="1" x14ac:dyDescent="0.35">
      <c r="A1254" s="43"/>
      <c r="B1254" s="43"/>
      <c r="C1254" s="43"/>
      <c r="D1254" s="43"/>
      <c r="E1254" s="43"/>
      <c r="F1254" s="43"/>
      <c r="G1254" s="43"/>
    </row>
    <row r="1255" spans="1:7" s="51" customFormat="1" x14ac:dyDescent="0.35">
      <c r="A1255" s="43"/>
      <c r="B1255" s="43"/>
      <c r="C1255" s="43"/>
      <c r="D1255" s="43"/>
      <c r="E1255" s="43"/>
      <c r="F1255" s="43"/>
      <c r="G1255" s="43"/>
    </row>
    <row r="1256" spans="1:7" s="51" customFormat="1" x14ac:dyDescent="0.35">
      <c r="A1256" s="43"/>
      <c r="B1256" s="43"/>
      <c r="C1256" s="43"/>
      <c r="D1256" s="43"/>
      <c r="E1256" s="43"/>
      <c r="F1256" s="43"/>
      <c r="G1256" s="43"/>
    </row>
    <row r="1257" spans="1:7" s="51" customFormat="1" x14ac:dyDescent="0.35">
      <c r="A1257" s="43"/>
      <c r="B1257" s="43"/>
      <c r="C1257" s="43"/>
      <c r="D1257" s="43"/>
      <c r="E1257" s="43"/>
      <c r="F1257" s="43"/>
      <c r="G1257" s="43"/>
    </row>
    <row r="1258" spans="1:7" s="51" customFormat="1" x14ac:dyDescent="0.35">
      <c r="A1258" s="43"/>
      <c r="B1258" s="43"/>
      <c r="C1258" s="43"/>
      <c r="D1258" s="43"/>
      <c r="E1258" s="43"/>
      <c r="F1258" s="43"/>
      <c r="G1258" s="43"/>
    </row>
    <row r="1259" spans="1:7" s="51" customFormat="1" x14ac:dyDescent="0.35">
      <c r="A1259" s="43"/>
      <c r="B1259" s="43"/>
      <c r="C1259" s="43"/>
      <c r="D1259" s="43"/>
      <c r="E1259" s="43"/>
      <c r="F1259" s="43"/>
      <c r="G1259" s="43"/>
    </row>
    <row r="1260" spans="1:7" s="51" customFormat="1" x14ac:dyDescent="0.35">
      <c r="A1260" s="43"/>
      <c r="B1260" s="43"/>
      <c r="C1260" s="43"/>
      <c r="D1260" s="43"/>
      <c r="E1260" s="43"/>
      <c r="F1260" s="43"/>
      <c r="G1260" s="43"/>
    </row>
    <row r="1261" spans="1:7" s="51" customFormat="1" x14ac:dyDescent="0.35">
      <c r="A1261" s="43"/>
      <c r="B1261" s="43"/>
      <c r="C1261" s="43"/>
      <c r="D1261" s="43"/>
      <c r="E1261" s="43"/>
      <c r="F1261" s="43"/>
      <c r="G1261" s="43"/>
    </row>
    <row r="1262" spans="1:7" s="51" customFormat="1" x14ac:dyDescent="0.35">
      <c r="A1262" s="43"/>
      <c r="B1262" s="43"/>
      <c r="C1262" s="43"/>
      <c r="D1262" s="43"/>
      <c r="E1262" s="43"/>
      <c r="F1262" s="43"/>
      <c r="G1262" s="43"/>
    </row>
    <row r="1263" spans="1:7" s="51" customFormat="1" x14ac:dyDescent="0.35">
      <c r="A1263" s="43"/>
      <c r="B1263" s="43"/>
      <c r="C1263" s="43"/>
      <c r="D1263" s="43"/>
      <c r="E1263" s="43"/>
      <c r="F1263" s="43"/>
      <c r="G1263" s="43"/>
    </row>
    <row r="1264" spans="1:7" s="51" customFormat="1" x14ac:dyDescent="0.35">
      <c r="A1264" s="43"/>
      <c r="B1264" s="43"/>
      <c r="C1264" s="43"/>
      <c r="D1264" s="43"/>
      <c r="E1264" s="43"/>
      <c r="F1264" s="43"/>
      <c r="G1264" s="43"/>
    </row>
    <row r="1265" spans="1:7" s="51" customFormat="1" x14ac:dyDescent="0.35">
      <c r="A1265" s="43"/>
      <c r="B1265" s="43"/>
      <c r="C1265" s="43"/>
      <c r="D1265" s="43"/>
      <c r="E1265" s="43"/>
      <c r="F1265" s="43"/>
      <c r="G1265" s="43"/>
    </row>
    <row r="1266" spans="1:7" s="51" customFormat="1" x14ac:dyDescent="0.35">
      <c r="A1266" s="43"/>
      <c r="B1266" s="43"/>
      <c r="C1266" s="43"/>
      <c r="D1266" s="43"/>
      <c r="E1266" s="43"/>
      <c r="F1266" s="43"/>
      <c r="G1266" s="43"/>
    </row>
    <row r="1267" spans="1:7" s="51" customFormat="1" x14ac:dyDescent="0.35">
      <c r="A1267" s="43"/>
      <c r="B1267" s="43"/>
      <c r="C1267" s="43"/>
      <c r="D1267" s="43"/>
      <c r="E1267" s="43"/>
      <c r="F1267" s="43"/>
      <c r="G1267" s="43"/>
    </row>
    <row r="1268" spans="1:7" s="51" customFormat="1" x14ac:dyDescent="0.35">
      <c r="A1268" s="43"/>
      <c r="B1268" s="43"/>
      <c r="C1268" s="43"/>
      <c r="D1268" s="43"/>
      <c r="E1268" s="43"/>
      <c r="F1268" s="43"/>
      <c r="G1268" s="43"/>
    </row>
    <row r="1269" spans="1:7" s="51" customFormat="1" x14ac:dyDescent="0.35">
      <c r="A1269" s="43"/>
      <c r="B1269" s="43"/>
      <c r="C1269" s="43"/>
      <c r="D1269" s="43"/>
      <c r="E1269" s="43"/>
      <c r="F1269" s="43"/>
      <c r="G1269" s="43"/>
    </row>
    <row r="1270" spans="1:7" s="51" customFormat="1" x14ac:dyDescent="0.35">
      <c r="A1270" s="43"/>
      <c r="B1270" s="43"/>
      <c r="C1270" s="43"/>
      <c r="D1270" s="43"/>
      <c r="E1270" s="43"/>
      <c r="F1270" s="43"/>
      <c r="G1270" s="43"/>
    </row>
    <row r="1271" spans="1:7" s="51" customFormat="1" x14ac:dyDescent="0.35">
      <c r="A1271" s="43"/>
      <c r="B1271" s="43"/>
      <c r="C1271" s="43"/>
      <c r="D1271" s="43"/>
      <c r="E1271" s="43"/>
      <c r="F1271" s="43"/>
      <c r="G1271" s="43"/>
    </row>
    <row r="1272" spans="1:7" s="51" customFormat="1" x14ac:dyDescent="0.35">
      <c r="A1272" s="43"/>
      <c r="B1272" s="43"/>
      <c r="C1272" s="43"/>
      <c r="D1272" s="43"/>
      <c r="E1272" s="43"/>
      <c r="F1272" s="43"/>
      <c r="G1272" s="43"/>
    </row>
    <row r="1273" spans="1:7" s="51" customFormat="1" x14ac:dyDescent="0.35">
      <c r="A1273" s="43"/>
      <c r="B1273" s="43"/>
      <c r="C1273" s="43"/>
      <c r="D1273" s="43"/>
      <c r="E1273" s="43"/>
      <c r="F1273" s="43"/>
      <c r="G1273" s="43"/>
    </row>
    <row r="1274" spans="1:7" s="51" customFormat="1" x14ac:dyDescent="0.35">
      <c r="A1274" s="43"/>
      <c r="B1274" s="43"/>
      <c r="C1274" s="43"/>
      <c r="D1274" s="43"/>
      <c r="E1274" s="43"/>
      <c r="F1274" s="43"/>
      <c r="G1274" s="43"/>
    </row>
    <row r="1275" spans="1:7" s="51" customFormat="1" x14ac:dyDescent="0.35">
      <c r="A1275" s="43"/>
      <c r="B1275" s="43"/>
      <c r="C1275" s="43"/>
      <c r="D1275" s="43"/>
      <c r="E1275" s="43"/>
      <c r="F1275" s="43"/>
      <c r="G1275" s="43"/>
    </row>
    <row r="1276" spans="1:7" s="51" customFormat="1" x14ac:dyDescent="0.35">
      <c r="A1276" s="43"/>
      <c r="B1276" s="43"/>
      <c r="C1276" s="43"/>
      <c r="D1276" s="43"/>
      <c r="E1276" s="43"/>
      <c r="F1276" s="43"/>
      <c r="G1276" s="43"/>
    </row>
    <row r="1277" spans="1:7" s="51" customFormat="1" x14ac:dyDescent="0.35">
      <c r="A1277" s="43"/>
      <c r="B1277" s="43"/>
      <c r="C1277" s="43"/>
      <c r="D1277" s="43"/>
      <c r="E1277" s="43"/>
      <c r="F1277" s="43"/>
      <c r="G1277" s="43"/>
    </row>
    <row r="1278" spans="1:7" s="51" customFormat="1" x14ac:dyDescent="0.35">
      <c r="A1278" s="43"/>
      <c r="B1278" s="43"/>
      <c r="C1278" s="43"/>
      <c r="D1278" s="43"/>
      <c r="E1278" s="43"/>
      <c r="F1278" s="43"/>
      <c r="G1278" s="43"/>
    </row>
    <row r="1279" spans="1:7" s="51" customFormat="1" x14ac:dyDescent="0.35">
      <c r="A1279" s="43"/>
      <c r="B1279" s="43"/>
      <c r="C1279" s="43"/>
      <c r="D1279" s="43"/>
      <c r="E1279" s="43"/>
      <c r="F1279" s="43"/>
      <c r="G1279" s="43"/>
    </row>
    <row r="1280" spans="1:7" s="51" customFormat="1" x14ac:dyDescent="0.35">
      <c r="A1280" s="43"/>
      <c r="B1280" s="43"/>
      <c r="C1280" s="43"/>
      <c r="D1280" s="43"/>
      <c r="E1280" s="43"/>
      <c r="F1280" s="43"/>
      <c r="G1280" s="43"/>
    </row>
    <row r="1281" spans="1:7" s="51" customFormat="1" x14ac:dyDescent="0.35">
      <c r="A1281" s="43"/>
      <c r="B1281" s="43"/>
      <c r="C1281" s="43"/>
      <c r="D1281" s="43"/>
      <c r="E1281" s="43"/>
      <c r="F1281" s="43"/>
      <c r="G1281" s="43"/>
    </row>
    <row r="1282" spans="1:7" s="51" customFormat="1" x14ac:dyDescent="0.35">
      <c r="A1282" s="43"/>
      <c r="B1282" s="43"/>
      <c r="C1282" s="43"/>
      <c r="D1282" s="43"/>
      <c r="E1282" s="43"/>
      <c r="F1282" s="43"/>
      <c r="G1282" s="43"/>
    </row>
    <row r="1283" spans="1:7" s="51" customFormat="1" x14ac:dyDescent="0.35">
      <c r="A1283" s="43"/>
      <c r="B1283" s="43"/>
      <c r="C1283" s="43"/>
      <c r="D1283" s="43"/>
      <c r="E1283" s="43"/>
      <c r="F1283" s="43"/>
      <c r="G1283" s="43"/>
    </row>
    <row r="1284" spans="1:7" s="51" customFormat="1" x14ac:dyDescent="0.35">
      <c r="A1284" s="43"/>
      <c r="B1284" s="43"/>
      <c r="C1284" s="43"/>
      <c r="D1284" s="43"/>
      <c r="E1284" s="43"/>
      <c r="F1284" s="43"/>
      <c r="G1284" s="43"/>
    </row>
    <row r="1285" spans="1:7" s="51" customFormat="1" x14ac:dyDescent="0.35">
      <c r="A1285" s="43"/>
      <c r="B1285" s="43"/>
      <c r="C1285" s="43"/>
      <c r="D1285" s="43"/>
      <c r="E1285" s="43"/>
      <c r="F1285" s="43"/>
      <c r="G1285" s="43"/>
    </row>
    <row r="1286" spans="1:7" s="51" customFormat="1" x14ac:dyDescent="0.35">
      <c r="A1286" s="43"/>
      <c r="B1286" s="43"/>
      <c r="C1286" s="43"/>
      <c r="D1286" s="43"/>
      <c r="E1286" s="43"/>
      <c r="F1286" s="43"/>
      <c r="G1286" s="43"/>
    </row>
    <row r="1287" spans="1:7" s="51" customFormat="1" x14ac:dyDescent="0.35">
      <c r="A1287" s="43"/>
      <c r="B1287" s="43"/>
      <c r="C1287" s="43"/>
      <c r="D1287" s="43"/>
      <c r="E1287" s="43"/>
      <c r="F1287" s="43"/>
      <c r="G1287" s="43"/>
    </row>
    <row r="1288" spans="1:7" s="51" customFormat="1" x14ac:dyDescent="0.35">
      <c r="A1288" s="43"/>
      <c r="B1288" s="43"/>
      <c r="C1288" s="43"/>
      <c r="D1288" s="43"/>
      <c r="E1288" s="43"/>
      <c r="F1288" s="43"/>
      <c r="G1288" s="43"/>
    </row>
    <row r="1289" spans="1:7" s="51" customFormat="1" x14ac:dyDescent="0.35">
      <c r="A1289" s="43"/>
      <c r="B1289" s="43"/>
      <c r="C1289" s="43"/>
      <c r="D1289" s="43"/>
      <c r="E1289" s="43"/>
      <c r="F1289" s="43"/>
      <c r="G1289" s="43"/>
    </row>
    <row r="1290" spans="1:7" s="51" customFormat="1" x14ac:dyDescent="0.35">
      <c r="A1290" s="43"/>
      <c r="B1290" s="43"/>
      <c r="C1290" s="43"/>
      <c r="D1290" s="43"/>
      <c r="E1290" s="43"/>
      <c r="F1290" s="43"/>
      <c r="G1290" s="43"/>
    </row>
    <row r="1291" spans="1:7" s="51" customFormat="1" x14ac:dyDescent="0.35">
      <c r="A1291" s="43"/>
      <c r="B1291" s="43"/>
      <c r="C1291" s="43"/>
      <c r="D1291" s="43"/>
      <c r="E1291" s="43"/>
      <c r="F1291" s="43"/>
      <c r="G1291" s="43"/>
    </row>
    <row r="1292" spans="1:7" s="51" customFormat="1" x14ac:dyDescent="0.35">
      <c r="A1292" s="43"/>
      <c r="B1292" s="43"/>
      <c r="C1292" s="43"/>
      <c r="D1292" s="43"/>
      <c r="E1292" s="43"/>
      <c r="F1292" s="43"/>
      <c r="G1292" s="43"/>
    </row>
    <row r="1293" spans="1:7" s="51" customFormat="1" x14ac:dyDescent="0.35">
      <c r="A1293" s="43"/>
      <c r="B1293" s="43"/>
      <c r="C1293" s="43"/>
      <c r="D1293" s="43"/>
      <c r="E1293" s="43"/>
      <c r="F1293" s="43"/>
      <c r="G1293" s="43"/>
    </row>
    <row r="1294" spans="1:7" s="51" customFormat="1" x14ac:dyDescent="0.35">
      <c r="A1294" s="43"/>
      <c r="B1294" s="43"/>
      <c r="C1294" s="43"/>
      <c r="D1294" s="43"/>
      <c r="E1294" s="43"/>
      <c r="F1294" s="43"/>
      <c r="G1294" s="43"/>
    </row>
    <row r="1295" spans="1:7" s="51" customFormat="1" x14ac:dyDescent="0.35">
      <c r="A1295" s="43"/>
      <c r="B1295" s="43"/>
      <c r="C1295" s="43"/>
      <c r="D1295" s="43"/>
      <c r="E1295" s="43"/>
      <c r="F1295" s="43"/>
      <c r="G1295" s="43"/>
    </row>
    <row r="1296" spans="1:7" s="51" customFormat="1" x14ac:dyDescent="0.35">
      <c r="A1296" s="43"/>
      <c r="B1296" s="43"/>
      <c r="C1296" s="43"/>
      <c r="D1296" s="43"/>
      <c r="E1296" s="43"/>
      <c r="F1296" s="43"/>
      <c r="G1296" s="43"/>
    </row>
    <row r="1297" spans="1:7" s="51" customFormat="1" x14ac:dyDescent="0.35">
      <c r="A1297" s="43"/>
      <c r="B1297" s="43"/>
      <c r="C1297" s="43"/>
      <c r="D1297" s="43"/>
      <c r="E1297" s="43"/>
      <c r="F1297" s="43"/>
      <c r="G1297" s="43"/>
    </row>
    <row r="1298" spans="1:7" s="51" customFormat="1" x14ac:dyDescent="0.35">
      <c r="A1298" s="43"/>
      <c r="B1298" s="43"/>
      <c r="C1298" s="43"/>
      <c r="D1298" s="43"/>
      <c r="E1298" s="43"/>
      <c r="F1298" s="43"/>
      <c r="G1298" s="43"/>
    </row>
    <row r="1299" spans="1:7" s="51" customFormat="1" x14ac:dyDescent="0.35">
      <c r="A1299" s="43"/>
      <c r="B1299" s="43"/>
      <c r="C1299" s="43"/>
      <c r="D1299" s="43"/>
      <c r="E1299" s="43"/>
      <c r="F1299" s="43"/>
      <c r="G1299" s="43"/>
    </row>
    <row r="1300" spans="1:7" s="51" customFormat="1" x14ac:dyDescent="0.35">
      <c r="A1300" s="43"/>
      <c r="B1300" s="43"/>
      <c r="C1300" s="43"/>
      <c r="D1300" s="43"/>
      <c r="E1300" s="43"/>
      <c r="F1300" s="43"/>
      <c r="G1300" s="43"/>
    </row>
    <row r="1301" spans="1:7" s="51" customFormat="1" x14ac:dyDescent="0.35">
      <c r="A1301" s="43"/>
      <c r="B1301" s="43"/>
      <c r="C1301" s="43"/>
      <c r="D1301" s="43"/>
      <c r="E1301" s="43"/>
      <c r="F1301" s="43"/>
      <c r="G1301" s="43"/>
    </row>
    <row r="1302" spans="1:7" s="51" customFormat="1" x14ac:dyDescent="0.35">
      <c r="A1302" s="43"/>
      <c r="B1302" s="43"/>
      <c r="C1302" s="43"/>
      <c r="D1302" s="43"/>
      <c r="E1302" s="43"/>
      <c r="F1302" s="43"/>
      <c r="G1302" s="43"/>
    </row>
    <row r="1303" spans="1:7" s="51" customFormat="1" x14ac:dyDescent="0.35">
      <c r="A1303" s="43"/>
      <c r="B1303" s="43"/>
      <c r="C1303" s="43"/>
      <c r="D1303" s="43"/>
      <c r="E1303" s="43"/>
      <c r="F1303" s="43"/>
      <c r="G1303" s="43"/>
    </row>
    <row r="1304" spans="1:7" s="51" customFormat="1" x14ac:dyDescent="0.35">
      <c r="A1304" s="43"/>
      <c r="B1304" s="43"/>
      <c r="C1304" s="43"/>
      <c r="D1304" s="43"/>
      <c r="E1304" s="43"/>
      <c r="F1304" s="43"/>
      <c r="G1304" s="43"/>
    </row>
    <row r="1305" spans="1:7" s="51" customFormat="1" x14ac:dyDescent="0.35">
      <c r="A1305" s="43"/>
      <c r="B1305" s="43"/>
      <c r="C1305" s="43"/>
      <c r="D1305" s="43"/>
      <c r="E1305" s="43"/>
      <c r="F1305" s="43"/>
      <c r="G1305" s="43"/>
    </row>
    <row r="1306" spans="1:7" s="51" customFormat="1" x14ac:dyDescent="0.35">
      <c r="A1306" s="43"/>
      <c r="B1306" s="43"/>
      <c r="C1306" s="43"/>
      <c r="D1306" s="43"/>
      <c r="E1306" s="43"/>
      <c r="F1306" s="43"/>
      <c r="G1306" s="43"/>
    </row>
    <row r="1307" spans="1:7" s="51" customFormat="1" x14ac:dyDescent="0.35">
      <c r="A1307" s="43"/>
      <c r="B1307" s="43"/>
      <c r="C1307" s="43"/>
      <c r="D1307" s="43"/>
      <c r="E1307" s="43"/>
      <c r="F1307" s="43"/>
      <c r="G1307" s="43"/>
    </row>
    <row r="1308" spans="1:7" s="51" customFormat="1" x14ac:dyDescent="0.35">
      <c r="A1308" s="43"/>
      <c r="B1308" s="43"/>
      <c r="C1308" s="43"/>
      <c r="D1308" s="43"/>
      <c r="E1308" s="43"/>
      <c r="F1308" s="43"/>
      <c r="G1308" s="43"/>
    </row>
    <row r="1309" spans="1:7" s="51" customFormat="1" x14ac:dyDescent="0.35">
      <c r="A1309" s="43"/>
      <c r="B1309" s="43"/>
      <c r="C1309" s="43"/>
      <c r="D1309" s="43"/>
      <c r="E1309" s="43"/>
      <c r="F1309" s="43"/>
      <c r="G1309" s="43"/>
    </row>
    <row r="1310" spans="1:7" s="51" customFormat="1" x14ac:dyDescent="0.35">
      <c r="A1310" s="43"/>
      <c r="B1310" s="43"/>
      <c r="C1310" s="43"/>
      <c r="D1310" s="43"/>
      <c r="E1310" s="43"/>
      <c r="F1310" s="43"/>
      <c r="G1310" s="43"/>
    </row>
    <row r="1311" spans="1:7" s="51" customFormat="1" x14ac:dyDescent="0.35">
      <c r="A1311" s="43"/>
      <c r="B1311" s="43"/>
      <c r="C1311" s="43"/>
      <c r="D1311" s="43"/>
      <c r="E1311" s="43"/>
      <c r="F1311" s="43"/>
      <c r="G1311" s="43"/>
    </row>
    <row r="1312" spans="1:7" s="51" customFormat="1" x14ac:dyDescent="0.35">
      <c r="A1312" s="43"/>
      <c r="B1312" s="43"/>
      <c r="C1312" s="43"/>
      <c r="D1312" s="43"/>
      <c r="E1312" s="43"/>
      <c r="F1312" s="43"/>
      <c r="G1312" s="43"/>
    </row>
    <row r="1313" spans="1:7" s="51" customFormat="1" x14ac:dyDescent="0.35">
      <c r="A1313" s="43"/>
      <c r="B1313" s="43"/>
      <c r="C1313" s="43"/>
      <c r="D1313" s="43"/>
      <c r="E1313" s="43"/>
      <c r="F1313" s="43"/>
      <c r="G1313" s="43"/>
    </row>
    <row r="1314" spans="1:7" s="51" customFormat="1" x14ac:dyDescent="0.35">
      <c r="A1314" s="43"/>
      <c r="B1314" s="43"/>
      <c r="C1314" s="43"/>
      <c r="D1314" s="43"/>
      <c r="E1314" s="43"/>
      <c r="F1314" s="43"/>
      <c r="G1314" s="43"/>
    </row>
    <row r="1315" spans="1:7" s="51" customFormat="1" x14ac:dyDescent="0.35">
      <c r="A1315" s="43"/>
      <c r="B1315" s="43"/>
      <c r="C1315" s="43"/>
      <c r="D1315" s="43"/>
      <c r="E1315" s="43"/>
      <c r="F1315" s="43"/>
      <c r="G1315" s="43"/>
    </row>
    <row r="1316" spans="1:7" s="51" customFormat="1" x14ac:dyDescent="0.35">
      <c r="A1316" s="43"/>
      <c r="B1316" s="43"/>
      <c r="C1316" s="43"/>
      <c r="D1316" s="43"/>
      <c r="E1316" s="43"/>
      <c r="F1316" s="43"/>
      <c r="G1316" s="43"/>
    </row>
    <row r="1317" spans="1:7" s="51" customFormat="1" x14ac:dyDescent="0.35">
      <c r="A1317" s="43"/>
      <c r="B1317" s="43"/>
      <c r="C1317" s="43"/>
      <c r="D1317" s="43"/>
      <c r="E1317" s="43"/>
      <c r="F1317" s="43"/>
      <c r="G1317" s="43"/>
    </row>
    <row r="1318" spans="1:7" s="51" customFormat="1" x14ac:dyDescent="0.35">
      <c r="A1318" s="43"/>
      <c r="B1318" s="43"/>
      <c r="C1318" s="43"/>
      <c r="D1318" s="43"/>
      <c r="E1318" s="43"/>
      <c r="F1318" s="43"/>
      <c r="G1318" s="43"/>
    </row>
    <row r="1319" spans="1:7" s="51" customFormat="1" x14ac:dyDescent="0.35">
      <c r="A1319" s="43"/>
      <c r="B1319" s="43"/>
      <c r="C1319" s="43"/>
      <c r="D1319" s="43"/>
      <c r="E1319" s="43"/>
      <c r="F1319" s="43"/>
      <c r="G1319" s="43"/>
    </row>
    <row r="1320" spans="1:7" s="51" customFormat="1" x14ac:dyDescent="0.35">
      <c r="A1320" s="43"/>
      <c r="B1320" s="43"/>
      <c r="C1320" s="43"/>
      <c r="D1320" s="43"/>
      <c r="E1320" s="43"/>
      <c r="F1320" s="43"/>
      <c r="G1320" s="43"/>
    </row>
    <row r="1321" spans="1:7" s="51" customFormat="1" x14ac:dyDescent="0.35">
      <c r="A1321" s="43"/>
      <c r="B1321" s="43"/>
      <c r="C1321" s="43"/>
      <c r="D1321" s="43"/>
      <c r="E1321" s="43"/>
      <c r="F1321" s="43"/>
      <c r="G1321" s="43"/>
    </row>
    <row r="1322" spans="1:7" s="51" customFormat="1" x14ac:dyDescent="0.35">
      <c r="A1322" s="43"/>
      <c r="B1322" s="43"/>
      <c r="C1322" s="43"/>
      <c r="D1322" s="43"/>
      <c r="E1322" s="43"/>
      <c r="F1322" s="43"/>
      <c r="G1322" s="43"/>
    </row>
    <row r="1323" spans="1:7" s="51" customFormat="1" x14ac:dyDescent="0.35">
      <c r="A1323" s="43"/>
      <c r="B1323" s="43"/>
      <c r="C1323" s="43"/>
      <c r="D1323" s="43"/>
      <c r="E1323" s="43"/>
      <c r="F1323" s="43"/>
      <c r="G1323" s="43"/>
    </row>
    <row r="1324" spans="1:7" s="51" customFormat="1" x14ac:dyDescent="0.35">
      <c r="A1324" s="43"/>
      <c r="B1324" s="43"/>
      <c r="C1324" s="43"/>
      <c r="D1324" s="43"/>
      <c r="E1324" s="43"/>
      <c r="F1324" s="43"/>
      <c r="G1324" s="43"/>
    </row>
    <row r="1325" spans="1:7" s="51" customFormat="1" x14ac:dyDescent="0.35">
      <c r="A1325" s="43"/>
      <c r="B1325" s="43"/>
      <c r="C1325" s="43"/>
      <c r="D1325" s="43"/>
      <c r="E1325" s="43"/>
      <c r="F1325" s="43"/>
      <c r="G1325" s="43"/>
    </row>
    <row r="1326" spans="1:7" s="51" customFormat="1" x14ac:dyDescent="0.35">
      <c r="A1326" s="43"/>
      <c r="B1326" s="43"/>
      <c r="C1326" s="43"/>
      <c r="D1326" s="43"/>
      <c r="E1326" s="43"/>
      <c r="F1326" s="43"/>
      <c r="G1326" s="43"/>
    </row>
    <row r="1327" spans="1:7" s="51" customFormat="1" x14ac:dyDescent="0.35">
      <c r="A1327" s="43"/>
      <c r="B1327" s="43"/>
      <c r="C1327" s="43"/>
      <c r="D1327" s="43"/>
      <c r="E1327" s="43"/>
      <c r="F1327" s="43"/>
      <c r="G1327" s="43"/>
    </row>
    <row r="1328" spans="1:7" s="51" customFormat="1" x14ac:dyDescent="0.35">
      <c r="A1328" s="43"/>
      <c r="B1328" s="43"/>
      <c r="C1328" s="43"/>
      <c r="D1328" s="43"/>
      <c r="E1328" s="43"/>
      <c r="F1328" s="43"/>
      <c r="G1328" s="43"/>
    </row>
    <row r="1329" spans="1:7" s="51" customFormat="1" x14ac:dyDescent="0.35">
      <c r="A1329" s="43"/>
      <c r="B1329" s="43"/>
      <c r="C1329" s="43"/>
      <c r="D1329" s="43"/>
      <c r="E1329" s="43"/>
      <c r="F1329" s="43"/>
      <c r="G1329" s="43"/>
    </row>
    <row r="1330" spans="1:7" s="51" customFormat="1" x14ac:dyDescent="0.35">
      <c r="A1330" s="43"/>
      <c r="B1330" s="43"/>
      <c r="C1330" s="43"/>
      <c r="D1330" s="43"/>
      <c r="E1330" s="43"/>
      <c r="F1330" s="43"/>
      <c r="G1330" s="43"/>
    </row>
    <row r="1331" spans="1:7" s="51" customFormat="1" x14ac:dyDescent="0.35">
      <c r="A1331" s="43"/>
      <c r="B1331" s="43"/>
      <c r="C1331" s="43"/>
      <c r="D1331" s="43"/>
      <c r="E1331" s="43"/>
      <c r="F1331" s="43"/>
      <c r="G1331" s="43"/>
    </row>
    <row r="1332" spans="1:7" s="51" customFormat="1" x14ac:dyDescent="0.35">
      <c r="A1332" s="43"/>
      <c r="B1332" s="43"/>
      <c r="C1332" s="43"/>
      <c r="D1332" s="43"/>
      <c r="E1332" s="43"/>
      <c r="F1332" s="43"/>
      <c r="G1332" s="43"/>
    </row>
    <row r="1333" spans="1:7" s="51" customFormat="1" x14ac:dyDescent="0.35">
      <c r="A1333" s="43"/>
      <c r="B1333" s="43"/>
      <c r="C1333" s="43"/>
      <c r="D1333" s="43"/>
      <c r="E1333" s="43"/>
      <c r="F1333" s="43"/>
      <c r="G1333" s="43"/>
    </row>
    <row r="1334" spans="1:7" s="51" customFormat="1" x14ac:dyDescent="0.35">
      <c r="A1334" s="43"/>
      <c r="B1334" s="43"/>
      <c r="C1334" s="43"/>
      <c r="D1334" s="43"/>
      <c r="E1334" s="43"/>
      <c r="F1334" s="43"/>
      <c r="G1334" s="43"/>
    </row>
    <row r="1335" spans="1:7" s="51" customFormat="1" x14ac:dyDescent="0.35">
      <c r="A1335" s="43"/>
      <c r="B1335" s="43"/>
      <c r="C1335" s="43"/>
      <c r="D1335" s="43"/>
      <c r="E1335" s="43"/>
      <c r="F1335" s="43"/>
      <c r="G1335" s="43"/>
    </row>
    <row r="1336" spans="1:7" s="51" customFormat="1" x14ac:dyDescent="0.35">
      <c r="A1336" s="43"/>
      <c r="B1336" s="43"/>
      <c r="C1336" s="43"/>
      <c r="D1336" s="43"/>
      <c r="E1336" s="43"/>
      <c r="F1336" s="43"/>
      <c r="G1336" s="43"/>
    </row>
    <row r="1337" spans="1:7" s="51" customFormat="1" x14ac:dyDescent="0.35">
      <c r="A1337" s="43"/>
      <c r="B1337" s="43"/>
      <c r="C1337" s="43"/>
      <c r="D1337" s="43"/>
      <c r="E1337" s="43"/>
      <c r="F1337" s="43"/>
      <c r="G1337" s="43"/>
    </row>
    <row r="1338" spans="1:7" s="51" customFormat="1" x14ac:dyDescent="0.35">
      <c r="A1338" s="43"/>
      <c r="B1338" s="43"/>
      <c r="C1338" s="43"/>
      <c r="D1338" s="43"/>
      <c r="E1338" s="43"/>
      <c r="F1338" s="43"/>
      <c r="G1338" s="43"/>
    </row>
    <row r="1339" spans="1:7" s="51" customFormat="1" x14ac:dyDescent="0.35">
      <c r="A1339" s="43"/>
      <c r="B1339" s="43"/>
      <c r="C1339" s="43"/>
      <c r="D1339" s="43"/>
      <c r="E1339" s="43"/>
      <c r="F1339" s="43"/>
      <c r="G1339" s="43"/>
    </row>
    <row r="1340" spans="1:7" s="51" customFormat="1" x14ac:dyDescent="0.35">
      <c r="A1340" s="43"/>
      <c r="B1340" s="43"/>
      <c r="C1340" s="43"/>
      <c r="D1340" s="43"/>
      <c r="E1340" s="43"/>
      <c r="F1340" s="43"/>
      <c r="G1340" s="43"/>
    </row>
    <row r="1341" spans="1:7" s="51" customFormat="1" x14ac:dyDescent="0.35">
      <c r="A1341" s="43"/>
      <c r="B1341" s="43"/>
      <c r="C1341" s="43"/>
      <c r="D1341" s="43"/>
      <c r="E1341" s="43"/>
      <c r="F1341" s="43"/>
      <c r="G1341" s="43"/>
    </row>
    <row r="1342" spans="1:7" s="51" customFormat="1" x14ac:dyDescent="0.35">
      <c r="A1342" s="43"/>
      <c r="B1342" s="43"/>
      <c r="C1342" s="43"/>
      <c r="D1342" s="43"/>
      <c r="E1342" s="43"/>
      <c r="F1342" s="43"/>
      <c r="G1342" s="43"/>
    </row>
    <row r="1343" spans="1:7" s="51" customFormat="1" x14ac:dyDescent="0.35">
      <c r="A1343" s="43"/>
      <c r="B1343" s="43"/>
      <c r="C1343" s="43"/>
      <c r="D1343" s="43"/>
      <c r="E1343" s="43"/>
      <c r="F1343" s="43"/>
      <c r="G1343" s="43"/>
    </row>
    <row r="1344" spans="1:7" s="51" customFormat="1" x14ac:dyDescent="0.35">
      <c r="A1344" s="43"/>
      <c r="B1344" s="43"/>
      <c r="C1344" s="43"/>
      <c r="D1344" s="43"/>
      <c r="E1344" s="43"/>
      <c r="F1344" s="43"/>
      <c r="G1344" s="43"/>
    </row>
    <row r="1345" spans="1:7" s="51" customFormat="1" x14ac:dyDescent="0.35">
      <c r="A1345" s="43"/>
      <c r="B1345" s="43"/>
      <c r="C1345" s="43"/>
      <c r="D1345" s="43"/>
      <c r="E1345" s="43"/>
      <c r="F1345" s="43"/>
      <c r="G1345" s="43"/>
    </row>
    <row r="1346" spans="1:7" s="51" customFormat="1" x14ac:dyDescent="0.35">
      <c r="A1346" s="43"/>
      <c r="B1346" s="43"/>
      <c r="C1346" s="43"/>
      <c r="D1346" s="43"/>
      <c r="E1346" s="43"/>
      <c r="F1346" s="43"/>
      <c r="G1346" s="43"/>
    </row>
    <row r="1347" spans="1:7" s="51" customFormat="1" x14ac:dyDescent="0.35">
      <c r="A1347" s="43"/>
      <c r="B1347" s="43"/>
      <c r="C1347" s="43"/>
      <c r="D1347" s="43"/>
      <c r="E1347" s="43"/>
      <c r="F1347" s="43"/>
      <c r="G1347" s="43"/>
    </row>
    <row r="1348" spans="1:7" s="51" customFormat="1" x14ac:dyDescent="0.35">
      <c r="A1348" s="43"/>
      <c r="B1348" s="43"/>
      <c r="C1348" s="43"/>
      <c r="D1348" s="43"/>
      <c r="E1348" s="43"/>
      <c r="F1348" s="43"/>
      <c r="G1348" s="43"/>
    </row>
    <row r="1349" spans="1:7" s="51" customFormat="1" x14ac:dyDescent="0.35">
      <c r="A1349" s="43"/>
      <c r="B1349" s="43"/>
      <c r="C1349" s="43"/>
      <c r="D1349" s="43"/>
      <c r="E1349" s="43"/>
      <c r="F1349" s="43"/>
      <c r="G1349" s="43"/>
    </row>
    <row r="1350" spans="1:7" s="51" customFormat="1" x14ac:dyDescent="0.35">
      <c r="A1350" s="43"/>
      <c r="B1350" s="43"/>
      <c r="C1350" s="43"/>
      <c r="D1350" s="43"/>
      <c r="E1350" s="43"/>
      <c r="F1350" s="43"/>
      <c r="G1350" s="43"/>
    </row>
    <row r="1351" spans="1:7" s="51" customFormat="1" x14ac:dyDescent="0.35">
      <c r="A1351" s="43"/>
      <c r="B1351" s="43"/>
      <c r="C1351" s="43"/>
      <c r="D1351" s="43"/>
      <c r="E1351" s="43"/>
      <c r="F1351" s="43"/>
      <c r="G1351" s="43"/>
    </row>
    <row r="1352" spans="1:7" s="51" customFormat="1" x14ac:dyDescent="0.35">
      <c r="A1352" s="43"/>
      <c r="B1352" s="43"/>
      <c r="C1352" s="43"/>
      <c r="D1352" s="43"/>
      <c r="E1352" s="43"/>
      <c r="F1352" s="43"/>
      <c r="G1352" s="43"/>
    </row>
    <row r="1353" spans="1:7" s="51" customFormat="1" x14ac:dyDescent="0.35">
      <c r="A1353" s="43"/>
      <c r="B1353" s="43"/>
      <c r="C1353" s="43"/>
      <c r="D1353" s="43"/>
      <c r="E1353" s="43"/>
      <c r="F1353" s="43"/>
      <c r="G1353" s="43"/>
    </row>
    <row r="1354" spans="1:7" s="51" customFormat="1" x14ac:dyDescent="0.35">
      <c r="A1354" s="43"/>
      <c r="B1354" s="43"/>
      <c r="C1354" s="43"/>
      <c r="D1354" s="43"/>
      <c r="E1354" s="43"/>
      <c r="F1354" s="43"/>
      <c r="G1354" s="43"/>
    </row>
    <row r="1355" spans="1:7" s="51" customFormat="1" x14ac:dyDescent="0.35">
      <c r="A1355" s="43"/>
      <c r="B1355" s="43"/>
      <c r="C1355" s="43"/>
      <c r="D1355" s="43"/>
      <c r="E1355" s="43"/>
      <c r="F1355" s="43"/>
      <c r="G1355" s="43"/>
    </row>
    <row r="1356" spans="1:7" s="51" customFormat="1" x14ac:dyDescent="0.35">
      <c r="A1356" s="43"/>
      <c r="B1356" s="43"/>
      <c r="C1356" s="43"/>
      <c r="D1356" s="43"/>
      <c r="E1356" s="43"/>
      <c r="F1356" s="43"/>
      <c r="G1356" s="43"/>
    </row>
    <row r="1357" spans="1:7" s="51" customFormat="1" x14ac:dyDescent="0.35">
      <c r="A1357" s="43"/>
      <c r="B1357" s="43"/>
      <c r="C1357" s="43"/>
      <c r="D1357" s="43"/>
      <c r="E1357" s="43"/>
      <c r="F1357" s="43"/>
      <c r="G1357" s="43"/>
    </row>
    <row r="1358" spans="1:7" s="51" customFormat="1" x14ac:dyDescent="0.35">
      <c r="A1358" s="43"/>
      <c r="B1358" s="43"/>
      <c r="C1358" s="43"/>
      <c r="D1358" s="43"/>
      <c r="E1358" s="43"/>
      <c r="F1358" s="43"/>
      <c r="G1358" s="43"/>
    </row>
    <row r="1359" spans="1:7" s="51" customFormat="1" x14ac:dyDescent="0.35">
      <c r="A1359" s="43"/>
      <c r="B1359" s="43"/>
      <c r="C1359" s="43"/>
      <c r="D1359" s="43"/>
      <c r="E1359" s="43"/>
      <c r="F1359" s="43"/>
      <c r="G1359" s="43"/>
    </row>
    <row r="1360" spans="1:7" s="51" customFormat="1" x14ac:dyDescent="0.35">
      <c r="A1360" s="43"/>
      <c r="B1360" s="43"/>
      <c r="C1360" s="43"/>
      <c r="D1360" s="43"/>
      <c r="E1360" s="43"/>
      <c r="F1360" s="43"/>
      <c r="G1360" s="43"/>
    </row>
    <row r="1361" spans="1:7" s="51" customFormat="1" x14ac:dyDescent="0.35">
      <c r="A1361" s="43"/>
      <c r="B1361" s="43"/>
      <c r="C1361" s="43"/>
      <c r="D1361" s="43"/>
      <c r="E1361" s="43"/>
      <c r="F1361" s="43"/>
      <c r="G1361" s="43"/>
    </row>
    <row r="1362" spans="1:7" s="51" customFormat="1" x14ac:dyDescent="0.35">
      <c r="A1362" s="43"/>
      <c r="B1362" s="43"/>
      <c r="C1362" s="43"/>
      <c r="D1362" s="43"/>
      <c r="E1362" s="43"/>
      <c r="F1362" s="43"/>
      <c r="G1362" s="43"/>
    </row>
    <row r="1363" spans="1:7" s="51" customFormat="1" x14ac:dyDescent="0.35">
      <c r="A1363" s="43"/>
      <c r="B1363" s="43"/>
      <c r="C1363" s="43"/>
      <c r="D1363" s="43"/>
      <c r="E1363" s="43"/>
      <c r="F1363" s="43"/>
      <c r="G1363" s="43"/>
    </row>
    <row r="1364" spans="1:7" s="51" customFormat="1" x14ac:dyDescent="0.35">
      <c r="A1364" s="43"/>
      <c r="B1364" s="43"/>
      <c r="C1364" s="43"/>
      <c r="D1364" s="43"/>
      <c r="E1364" s="43"/>
      <c r="F1364" s="43"/>
      <c r="G1364" s="43"/>
    </row>
    <row r="1365" spans="1:7" s="51" customFormat="1" x14ac:dyDescent="0.35">
      <c r="A1365" s="43"/>
      <c r="B1365" s="43"/>
      <c r="C1365" s="43"/>
      <c r="D1365" s="43"/>
      <c r="E1365" s="43"/>
      <c r="F1365" s="43"/>
      <c r="G1365" s="43"/>
    </row>
    <row r="1366" spans="1:7" s="51" customFormat="1" x14ac:dyDescent="0.35">
      <c r="A1366" s="43"/>
      <c r="B1366" s="43"/>
      <c r="C1366" s="43"/>
      <c r="D1366" s="43"/>
      <c r="E1366" s="43"/>
      <c r="F1366" s="43"/>
      <c r="G1366" s="43"/>
    </row>
    <row r="1367" spans="1:7" s="51" customFormat="1" x14ac:dyDescent="0.35">
      <c r="A1367" s="43"/>
      <c r="B1367" s="43"/>
      <c r="C1367" s="43"/>
      <c r="D1367" s="43"/>
      <c r="E1367" s="43"/>
      <c r="F1367" s="43"/>
      <c r="G1367" s="43"/>
    </row>
    <row r="1368" spans="1:7" s="51" customFormat="1" x14ac:dyDescent="0.35">
      <c r="A1368" s="43"/>
      <c r="B1368" s="43"/>
      <c r="C1368" s="43"/>
      <c r="D1368" s="43"/>
      <c r="E1368" s="43"/>
      <c r="F1368" s="43"/>
      <c r="G1368" s="43"/>
    </row>
    <row r="1369" spans="1:7" s="51" customFormat="1" x14ac:dyDescent="0.35">
      <c r="A1369" s="43"/>
      <c r="B1369" s="43"/>
      <c r="C1369" s="43"/>
      <c r="D1369" s="43"/>
      <c r="E1369" s="43"/>
      <c r="F1369" s="43"/>
      <c r="G1369" s="43"/>
    </row>
    <row r="1370" spans="1:7" s="51" customFormat="1" x14ac:dyDescent="0.35">
      <c r="A1370" s="43"/>
      <c r="B1370" s="43"/>
      <c r="C1370" s="43"/>
      <c r="D1370" s="43"/>
      <c r="E1370" s="43"/>
      <c r="F1370" s="43"/>
      <c r="G1370" s="43"/>
    </row>
    <row r="1371" spans="1:7" s="51" customFormat="1" x14ac:dyDescent="0.35">
      <c r="A1371" s="43"/>
      <c r="B1371" s="43"/>
      <c r="C1371" s="43"/>
      <c r="D1371" s="43"/>
      <c r="E1371" s="43"/>
      <c r="F1371" s="43"/>
      <c r="G1371" s="43"/>
    </row>
    <row r="1372" spans="1:7" s="51" customFormat="1" x14ac:dyDescent="0.35">
      <c r="A1372" s="43"/>
      <c r="B1372" s="43"/>
      <c r="C1372" s="43"/>
      <c r="D1372" s="43"/>
      <c r="E1372" s="43"/>
      <c r="F1372" s="43"/>
      <c r="G1372" s="43"/>
    </row>
    <row r="1373" spans="1:7" s="51" customFormat="1" x14ac:dyDescent="0.35">
      <c r="A1373" s="43"/>
      <c r="B1373" s="43"/>
      <c r="C1373" s="43"/>
      <c r="D1373" s="43"/>
      <c r="E1373" s="43"/>
      <c r="F1373" s="43"/>
      <c r="G1373" s="43"/>
    </row>
    <row r="1374" spans="1:7" s="51" customFormat="1" x14ac:dyDescent="0.35">
      <c r="A1374" s="43"/>
      <c r="B1374" s="43"/>
      <c r="C1374" s="43"/>
      <c r="D1374" s="43"/>
      <c r="E1374" s="43"/>
      <c r="F1374" s="43"/>
      <c r="G1374" s="43"/>
    </row>
    <row r="1375" spans="1:7" s="51" customFormat="1" x14ac:dyDescent="0.35">
      <c r="A1375" s="43"/>
      <c r="B1375" s="43"/>
      <c r="C1375" s="43"/>
      <c r="D1375" s="43"/>
      <c r="E1375" s="43"/>
      <c r="F1375" s="43"/>
      <c r="G1375" s="43"/>
    </row>
    <row r="1376" spans="1:7" s="51" customFormat="1" x14ac:dyDescent="0.35">
      <c r="A1376" s="43"/>
      <c r="B1376" s="43"/>
      <c r="C1376" s="43"/>
      <c r="D1376" s="43"/>
      <c r="E1376" s="43"/>
      <c r="F1376" s="43"/>
      <c r="G1376" s="43"/>
    </row>
    <row r="1377" spans="1:7" s="51" customFormat="1" x14ac:dyDescent="0.35">
      <c r="A1377" s="43"/>
      <c r="B1377" s="43"/>
      <c r="C1377" s="43"/>
      <c r="D1377" s="43"/>
      <c r="E1377" s="43"/>
      <c r="F1377" s="43"/>
      <c r="G1377" s="43"/>
    </row>
    <row r="1378" spans="1:7" s="51" customFormat="1" x14ac:dyDescent="0.35">
      <c r="A1378" s="43"/>
      <c r="B1378" s="43"/>
      <c r="C1378" s="43"/>
      <c r="D1378" s="43"/>
      <c r="E1378" s="43"/>
      <c r="F1378" s="43"/>
      <c r="G1378" s="43"/>
    </row>
    <row r="1379" spans="1:7" s="51" customFormat="1" x14ac:dyDescent="0.35">
      <c r="A1379" s="43"/>
      <c r="B1379" s="43"/>
      <c r="C1379" s="43"/>
      <c r="D1379" s="43"/>
      <c r="E1379" s="43"/>
      <c r="F1379" s="43"/>
      <c r="G1379" s="43"/>
    </row>
    <row r="1380" spans="1:7" s="51" customFormat="1" x14ac:dyDescent="0.35">
      <c r="A1380" s="43"/>
      <c r="B1380" s="43"/>
      <c r="C1380" s="43"/>
      <c r="D1380" s="43"/>
      <c r="E1380" s="43"/>
      <c r="F1380" s="43"/>
      <c r="G1380" s="43"/>
    </row>
    <row r="1381" spans="1:7" s="51" customFormat="1" x14ac:dyDescent="0.35">
      <c r="A1381" s="43"/>
      <c r="B1381" s="43"/>
      <c r="C1381" s="43"/>
      <c r="D1381" s="43"/>
      <c r="E1381" s="43"/>
      <c r="F1381" s="43"/>
      <c r="G1381" s="43"/>
    </row>
    <row r="1382" spans="1:7" s="51" customFormat="1" x14ac:dyDescent="0.35">
      <c r="A1382" s="43"/>
      <c r="B1382" s="43"/>
      <c r="C1382" s="43"/>
      <c r="D1382" s="43"/>
      <c r="E1382" s="43"/>
      <c r="F1382" s="43"/>
      <c r="G1382" s="43"/>
    </row>
    <row r="1383" spans="1:7" s="51" customFormat="1" x14ac:dyDescent="0.35">
      <c r="A1383" s="43"/>
      <c r="B1383" s="43"/>
      <c r="C1383" s="43"/>
      <c r="D1383" s="43"/>
      <c r="E1383" s="43"/>
      <c r="F1383" s="43"/>
      <c r="G1383" s="43"/>
    </row>
    <row r="1384" spans="1:7" s="51" customFormat="1" x14ac:dyDescent="0.35">
      <c r="A1384" s="43"/>
      <c r="B1384" s="43"/>
      <c r="C1384" s="43"/>
      <c r="D1384" s="43"/>
      <c r="E1384" s="43"/>
      <c r="F1384" s="43"/>
      <c r="G1384" s="43"/>
    </row>
    <row r="1385" spans="1:7" s="51" customFormat="1" x14ac:dyDescent="0.35">
      <c r="A1385" s="43"/>
      <c r="B1385" s="43"/>
      <c r="C1385" s="43"/>
      <c r="D1385" s="43"/>
      <c r="E1385" s="43"/>
      <c r="F1385" s="43"/>
      <c r="G1385" s="43"/>
    </row>
    <row r="1386" spans="1:7" s="51" customFormat="1" x14ac:dyDescent="0.35">
      <c r="A1386" s="43"/>
      <c r="B1386" s="43"/>
      <c r="C1386" s="43"/>
      <c r="D1386" s="43"/>
      <c r="E1386" s="43"/>
      <c r="F1386" s="43"/>
      <c r="G1386" s="43"/>
    </row>
    <row r="1387" spans="1:7" s="51" customFormat="1" x14ac:dyDescent="0.35">
      <c r="A1387" s="43"/>
      <c r="B1387" s="43"/>
      <c r="C1387" s="43"/>
      <c r="D1387" s="43"/>
      <c r="E1387" s="43"/>
      <c r="F1387" s="43"/>
      <c r="G1387" s="43"/>
    </row>
    <row r="1388" spans="1:7" s="51" customFormat="1" x14ac:dyDescent="0.35">
      <c r="A1388" s="43"/>
      <c r="B1388" s="43"/>
      <c r="C1388" s="43"/>
      <c r="D1388" s="43"/>
      <c r="E1388" s="43"/>
      <c r="F1388" s="43"/>
      <c r="G1388" s="43"/>
    </row>
    <row r="1389" spans="1:7" s="51" customFormat="1" x14ac:dyDescent="0.35">
      <c r="A1389" s="43"/>
      <c r="B1389" s="43"/>
      <c r="C1389" s="43"/>
      <c r="D1389" s="43"/>
      <c r="E1389" s="43"/>
      <c r="F1389" s="43"/>
      <c r="G1389" s="43"/>
    </row>
    <row r="1390" spans="1:7" s="51" customFormat="1" x14ac:dyDescent="0.35">
      <c r="A1390" s="43"/>
      <c r="B1390" s="43"/>
      <c r="C1390" s="43"/>
      <c r="D1390" s="43"/>
      <c r="E1390" s="43"/>
      <c r="F1390" s="43"/>
      <c r="G1390" s="43"/>
    </row>
    <row r="1391" spans="1:7" s="51" customFormat="1" x14ac:dyDescent="0.35">
      <c r="A1391" s="43"/>
      <c r="B1391" s="43"/>
      <c r="C1391" s="43"/>
      <c r="D1391" s="43"/>
      <c r="E1391" s="43"/>
      <c r="F1391" s="43"/>
      <c r="G1391" s="43"/>
    </row>
    <row r="1392" spans="1:7" s="51" customFormat="1" x14ac:dyDescent="0.35">
      <c r="A1392" s="43"/>
      <c r="B1392" s="43"/>
      <c r="C1392" s="43"/>
      <c r="D1392" s="43"/>
      <c r="E1392" s="43"/>
      <c r="F1392" s="43"/>
      <c r="G1392" s="43"/>
    </row>
    <row r="1393" spans="1:7" s="51" customFormat="1" x14ac:dyDescent="0.35">
      <c r="A1393" s="43"/>
      <c r="B1393" s="43"/>
      <c r="C1393" s="43"/>
      <c r="D1393" s="43"/>
      <c r="E1393" s="43"/>
      <c r="F1393" s="43"/>
      <c r="G1393" s="43"/>
    </row>
    <row r="1394" spans="1:7" s="51" customFormat="1" x14ac:dyDescent="0.35">
      <c r="A1394" s="43"/>
      <c r="B1394" s="43"/>
      <c r="C1394" s="43"/>
      <c r="D1394" s="43"/>
      <c r="E1394" s="43"/>
      <c r="F1394" s="43"/>
      <c r="G1394" s="43"/>
    </row>
    <row r="1395" spans="1:7" s="51" customFormat="1" x14ac:dyDescent="0.35">
      <c r="A1395" s="43"/>
      <c r="B1395" s="43"/>
      <c r="C1395" s="43"/>
      <c r="D1395" s="43"/>
      <c r="E1395" s="43"/>
      <c r="F1395" s="43"/>
      <c r="G1395" s="43"/>
    </row>
    <row r="1396" spans="1:7" s="51" customFormat="1" x14ac:dyDescent="0.35">
      <c r="A1396" s="43"/>
      <c r="B1396" s="43"/>
      <c r="C1396" s="43"/>
      <c r="D1396" s="43"/>
      <c r="E1396" s="43"/>
      <c r="F1396" s="43"/>
      <c r="G1396" s="43"/>
    </row>
    <row r="1397" spans="1:7" s="51" customFormat="1" x14ac:dyDescent="0.35">
      <c r="A1397" s="43"/>
      <c r="B1397" s="43"/>
      <c r="C1397" s="43"/>
      <c r="D1397" s="43"/>
      <c r="E1397" s="43"/>
      <c r="F1397" s="43"/>
      <c r="G1397" s="43"/>
    </row>
    <row r="1398" spans="1:7" s="51" customFormat="1" x14ac:dyDescent="0.35">
      <c r="A1398" s="43"/>
      <c r="B1398" s="43"/>
      <c r="C1398" s="43"/>
      <c r="D1398" s="43"/>
      <c r="E1398" s="43"/>
      <c r="F1398" s="43"/>
      <c r="G1398" s="43"/>
    </row>
    <row r="1399" spans="1:7" s="51" customFormat="1" x14ac:dyDescent="0.35">
      <c r="A1399" s="43"/>
      <c r="B1399" s="43"/>
      <c r="C1399" s="43"/>
      <c r="D1399" s="43"/>
      <c r="E1399" s="43"/>
      <c r="F1399" s="43"/>
      <c r="G1399" s="43"/>
    </row>
    <row r="1400" spans="1:7" s="51" customFormat="1" x14ac:dyDescent="0.35">
      <c r="A1400" s="43"/>
      <c r="B1400" s="43"/>
      <c r="C1400" s="43"/>
      <c r="D1400" s="43"/>
      <c r="E1400" s="43"/>
      <c r="F1400" s="43"/>
      <c r="G1400" s="43"/>
    </row>
    <row r="1401" spans="1:7" s="51" customFormat="1" x14ac:dyDescent="0.35">
      <c r="A1401" s="43"/>
      <c r="B1401" s="43"/>
      <c r="C1401" s="43"/>
      <c r="D1401" s="43"/>
      <c r="E1401" s="43"/>
      <c r="F1401" s="43"/>
      <c r="G1401" s="43"/>
    </row>
    <row r="1402" spans="1:7" s="51" customFormat="1" x14ac:dyDescent="0.35">
      <c r="A1402" s="43"/>
      <c r="B1402" s="43"/>
      <c r="C1402" s="43"/>
      <c r="D1402" s="43"/>
      <c r="E1402" s="43"/>
      <c r="F1402" s="43"/>
      <c r="G1402" s="43"/>
    </row>
    <row r="1403" spans="1:7" s="51" customFormat="1" x14ac:dyDescent="0.35">
      <c r="A1403" s="43"/>
      <c r="B1403" s="43"/>
      <c r="C1403" s="43"/>
      <c r="D1403" s="43"/>
      <c r="E1403" s="43"/>
      <c r="F1403" s="43"/>
      <c r="G1403" s="43"/>
    </row>
    <row r="1404" spans="1:7" s="51" customFormat="1" x14ac:dyDescent="0.35">
      <c r="A1404" s="43"/>
      <c r="B1404" s="43"/>
      <c r="C1404" s="43"/>
      <c r="D1404" s="43"/>
      <c r="E1404" s="43"/>
      <c r="F1404" s="43"/>
      <c r="G1404" s="43"/>
    </row>
    <row r="1405" spans="1:7" s="51" customFormat="1" x14ac:dyDescent="0.35">
      <c r="A1405" s="43"/>
      <c r="B1405" s="43"/>
      <c r="C1405" s="43"/>
      <c r="D1405" s="43"/>
      <c r="E1405" s="43"/>
      <c r="F1405" s="43"/>
      <c r="G1405" s="43"/>
    </row>
    <row r="1406" spans="1:7" s="51" customFormat="1" x14ac:dyDescent="0.35">
      <c r="A1406" s="43"/>
      <c r="B1406" s="43"/>
      <c r="C1406" s="43"/>
      <c r="D1406" s="43"/>
      <c r="E1406" s="43"/>
      <c r="F1406" s="43"/>
      <c r="G1406" s="43"/>
    </row>
    <row r="1407" spans="1:7" s="51" customFormat="1" x14ac:dyDescent="0.35">
      <c r="A1407" s="43"/>
      <c r="B1407" s="43"/>
      <c r="C1407" s="43"/>
      <c r="D1407" s="43"/>
      <c r="E1407" s="43"/>
      <c r="F1407" s="43"/>
      <c r="G1407" s="43"/>
    </row>
    <row r="1408" spans="1:7" s="51" customFormat="1" x14ac:dyDescent="0.35">
      <c r="A1408" s="43"/>
      <c r="B1408" s="43"/>
      <c r="C1408" s="43"/>
      <c r="D1408" s="43"/>
      <c r="E1408" s="43"/>
      <c r="F1408" s="43"/>
      <c r="G1408" s="43"/>
    </row>
    <row r="1409" spans="1:7" s="51" customFormat="1" x14ac:dyDescent="0.35">
      <c r="A1409" s="43"/>
      <c r="B1409" s="43"/>
      <c r="C1409" s="43"/>
      <c r="D1409" s="43"/>
      <c r="E1409" s="43"/>
      <c r="F1409" s="43"/>
      <c r="G1409" s="43"/>
    </row>
    <row r="1410" spans="1:7" s="51" customFormat="1" x14ac:dyDescent="0.35">
      <c r="A1410" s="43"/>
      <c r="B1410" s="43"/>
      <c r="C1410" s="43"/>
      <c r="D1410" s="43"/>
      <c r="E1410" s="43"/>
      <c r="F1410" s="43"/>
      <c r="G1410" s="43"/>
    </row>
    <row r="1411" spans="1:7" s="51" customFormat="1" x14ac:dyDescent="0.35">
      <c r="A1411" s="43"/>
      <c r="B1411" s="43"/>
      <c r="C1411" s="43"/>
      <c r="D1411" s="43"/>
      <c r="E1411" s="43"/>
      <c r="F1411" s="43"/>
      <c r="G1411" s="43"/>
    </row>
    <row r="1412" spans="1:7" s="51" customFormat="1" x14ac:dyDescent="0.35">
      <c r="A1412" s="43"/>
      <c r="B1412" s="43"/>
      <c r="C1412" s="43"/>
      <c r="D1412" s="43"/>
      <c r="E1412" s="43"/>
      <c r="F1412" s="43"/>
      <c r="G1412" s="43"/>
    </row>
    <row r="1413" spans="1:7" s="51" customFormat="1" x14ac:dyDescent="0.35">
      <c r="A1413" s="43"/>
      <c r="B1413" s="43"/>
      <c r="C1413" s="43"/>
      <c r="D1413" s="43"/>
      <c r="E1413" s="43"/>
      <c r="F1413" s="43"/>
      <c r="G1413" s="43"/>
    </row>
    <row r="1414" spans="1:7" s="51" customFormat="1" x14ac:dyDescent="0.35">
      <c r="A1414" s="43"/>
      <c r="B1414" s="43"/>
      <c r="C1414" s="43"/>
      <c r="D1414" s="43"/>
      <c r="E1414" s="43"/>
      <c r="F1414" s="43"/>
      <c r="G1414" s="43"/>
    </row>
    <row r="1415" spans="1:7" s="51" customFormat="1" x14ac:dyDescent="0.35">
      <c r="A1415" s="43"/>
      <c r="B1415" s="43"/>
      <c r="C1415" s="43"/>
      <c r="D1415" s="43"/>
      <c r="E1415" s="43"/>
      <c r="F1415" s="43"/>
      <c r="G1415" s="43"/>
    </row>
    <row r="1416" spans="1:7" s="51" customFormat="1" x14ac:dyDescent="0.35">
      <c r="A1416" s="43"/>
      <c r="B1416" s="43"/>
      <c r="C1416" s="43"/>
      <c r="D1416" s="43"/>
      <c r="E1416" s="43"/>
      <c r="F1416" s="43"/>
      <c r="G1416" s="43"/>
    </row>
    <row r="1417" spans="1:7" s="51" customFormat="1" x14ac:dyDescent="0.35">
      <c r="A1417" s="43"/>
      <c r="B1417" s="43"/>
      <c r="C1417" s="43"/>
      <c r="D1417" s="43"/>
      <c r="E1417" s="43"/>
      <c r="F1417" s="43"/>
      <c r="G1417" s="43"/>
    </row>
    <row r="1418" spans="1:7" s="51" customFormat="1" x14ac:dyDescent="0.35">
      <c r="A1418" s="43"/>
      <c r="B1418" s="43"/>
      <c r="C1418" s="43"/>
      <c r="D1418" s="43"/>
      <c r="E1418" s="43"/>
      <c r="F1418" s="43"/>
      <c r="G1418" s="43"/>
    </row>
    <row r="1419" spans="1:7" s="51" customFormat="1" x14ac:dyDescent="0.35">
      <c r="A1419" s="43"/>
      <c r="B1419" s="43"/>
      <c r="C1419" s="43"/>
      <c r="D1419" s="43"/>
      <c r="E1419" s="43"/>
      <c r="F1419" s="43"/>
      <c r="G1419" s="43"/>
    </row>
    <row r="1420" spans="1:7" s="51" customFormat="1" x14ac:dyDescent="0.35">
      <c r="A1420" s="43"/>
      <c r="B1420" s="43"/>
      <c r="C1420" s="43"/>
      <c r="D1420" s="43"/>
      <c r="E1420" s="43"/>
      <c r="F1420" s="43"/>
      <c r="G1420" s="43"/>
    </row>
    <row r="1421" spans="1:7" s="51" customFormat="1" x14ac:dyDescent="0.35">
      <c r="A1421" s="43"/>
      <c r="B1421" s="43"/>
      <c r="C1421" s="43"/>
      <c r="D1421" s="43"/>
      <c r="E1421" s="43"/>
      <c r="F1421" s="43"/>
      <c r="G1421" s="43"/>
    </row>
    <row r="1422" spans="1:7" s="51" customFormat="1" x14ac:dyDescent="0.35">
      <c r="A1422" s="43"/>
      <c r="B1422" s="43"/>
      <c r="C1422" s="43"/>
      <c r="D1422" s="43"/>
      <c r="E1422" s="43"/>
      <c r="F1422" s="43"/>
      <c r="G1422" s="43"/>
    </row>
    <row r="1423" spans="1:7" s="51" customFormat="1" x14ac:dyDescent="0.35">
      <c r="A1423" s="43"/>
      <c r="B1423" s="43"/>
      <c r="C1423" s="43"/>
      <c r="D1423" s="43"/>
      <c r="E1423" s="43"/>
      <c r="F1423" s="43"/>
      <c r="G1423" s="43"/>
    </row>
    <row r="1424" spans="1:7" s="51" customFormat="1" x14ac:dyDescent="0.35">
      <c r="A1424" s="43"/>
      <c r="B1424" s="43"/>
      <c r="C1424" s="43"/>
      <c r="D1424" s="43"/>
      <c r="E1424" s="43"/>
      <c r="F1424" s="43"/>
      <c r="G1424" s="43"/>
    </row>
    <row r="1425" spans="1:7" s="51" customFormat="1" x14ac:dyDescent="0.35">
      <c r="A1425" s="43"/>
      <c r="B1425" s="43"/>
      <c r="C1425" s="43"/>
      <c r="D1425" s="43"/>
      <c r="E1425" s="43"/>
      <c r="F1425" s="43"/>
      <c r="G1425" s="43"/>
    </row>
    <row r="1426" spans="1:7" s="51" customFormat="1" x14ac:dyDescent="0.35">
      <c r="A1426" s="43"/>
      <c r="B1426" s="43"/>
      <c r="C1426" s="43"/>
      <c r="D1426" s="43"/>
      <c r="E1426" s="43"/>
      <c r="F1426" s="43"/>
      <c r="G1426" s="43"/>
    </row>
    <row r="1427" spans="1:7" s="51" customFormat="1" x14ac:dyDescent="0.35">
      <c r="A1427" s="43"/>
      <c r="B1427" s="43"/>
      <c r="C1427" s="43"/>
      <c r="D1427" s="43"/>
      <c r="E1427" s="43"/>
      <c r="F1427" s="43"/>
      <c r="G1427" s="43"/>
    </row>
    <row r="1428" spans="1:7" s="51" customFormat="1" x14ac:dyDescent="0.35">
      <c r="A1428" s="43"/>
      <c r="B1428" s="43"/>
      <c r="C1428" s="43"/>
      <c r="D1428" s="43"/>
      <c r="E1428" s="43"/>
      <c r="F1428" s="43"/>
      <c r="G1428" s="43"/>
    </row>
    <row r="1429" spans="1:7" s="51" customFormat="1" x14ac:dyDescent="0.35">
      <c r="A1429" s="43"/>
      <c r="B1429" s="43"/>
      <c r="C1429" s="43"/>
      <c r="D1429" s="43"/>
      <c r="E1429" s="43"/>
      <c r="F1429" s="43"/>
      <c r="G1429" s="43"/>
    </row>
    <row r="1430" spans="1:7" s="51" customFormat="1" x14ac:dyDescent="0.35">
      <c r="A1430" s="43"/>
      <c r="B1430" s="43"/>
      <c r="C1430" s="43"/>
      <c r="D1430" s="43"/>
      <c r="E1430" s="43"/>
      <c r="F1430" s="43"/>
      <c r="G1430" s="43"/>
    </row>
    <row r="1431" spans="1:7" s="51" customFormat="1" x14ac:dyDescent="0.35">
      <c r="A1431" s="43"/>
      <c r="B1431" s="43"/>
      <c r="C1431" s="43"/>
      <c r="D1431" s="43"/>
      <c r="E1431" s="43"/>
      <c r="F1431" s="43"/>
      <c r="G1431" s="43"/>
    </row>
    <row r="1432" spans="1:7" s="51" customFormat="1" x14ac:dyDescent="0.35">
      <c r="A1432" s="43"/>
      <c r="B1432" s="43"/>
      <c r="C1432" s="43"/>
      <c r="D1432" s="43"/>
      <c r="E1432" s="43"/>
      <c r="F1432" s="43"/>
      <c r="G1432" s="43"/>
    </row>
    <row r="1433" spans="1:7" s="51" customFormat="1" x14ac:dyDescent="0.35">
      <c r="A1433" s="43"/>
      <c r="B1433" s="43"/>
      <c r="C1433" s="43"/>
      <c r="D1433" s="43"/>
      <c r="E1433" s="43"/>
      <c r="F1433" s="43"/>
      <c r="G1433" s="43"/>
    </row>
    <row r="1434" spans="1:7" s="51" customFormat="1" x14ac:dyDescent="0.35">
      <c r="A1434" s="43"/>
      <c r="B1434" s="43"/>
      <c r="C1434" s="43"/>
      <c r="D1434" s="43"/>
      <c r="E1434" s="43"/>
      <c r="F1434" s="43"/>
      <c r="G1434" s="43"/>
    </row>
    <row r="1435" spans="1:7" s="51" customFormat="1" x14ac:dyDescent="0.35">
      <c r="A1435" s="43"/>
      <c r="B1435" s="43"/>
      <c r="C1435" s="43"/>
      <c r="D1435" s="43"/>
      <c r="E1435" s="43"/>
      <c r="F1435" s="43"/>
      <c r="G1435" s="43"/>
    </row>
    <row r="1436" spans="1:7" s="51" customFormat="1" x14ac:dyDescent="0.35">
      <c r="A1436" s="43"/>
      <c r="B1436" s="43"/>
      <c r="C1436" s="43"/>
      <c r="D1436" s="43"/>
      <c r="E1436" s="43"/>
      <c r="F1436" s="43"/>
      <c r="G1436" s="43"/>
    </row>
    <row r="1437" spans="1:7" s="51" customFormat="1" x14ac:dyDescent="0.35">
      <c r="A1437" s="43"/>
      <c r="B1437" s="43"/>
      <c r="C1437" s="43"/>
      <c r="D1437" s="43"/>
      <c r="E1437" s="43"/>
      <c r="F1437" s="43"/>
      <c r="G1437" s="43"/>
    </row>
    <row r="1438" spans="1:7" s="51" customFormat="1" x14ac:dyDescent="0.35">
      <c r="A1438" s="43"/>
      <c r="B1438" s="43"/>
      <c r="C1438" s="43"/>
      <c r="D1438" s="43"/>
      <c r="E1438" s="43"/>
      <c r="F1438" s="43"/>
      <c r="G1438" s="43"/>
    </row>
    <row r="1439" spans="1:7" s="51" customFormat="1" x14ac:dyDescent="0.35">
      <c r="A1439" s="43"/>
      <c r="B1439" s="43"/>
      <c r="C1439" s="43"/>
      <c r="D1439" s="43"/>
      <c r="E1439" s="43"/>
      <c r="F1439" s="43"/>
      <c r="G1439" s="43"/>
    </row>
    <row r="1440" spans="1:7" s="51" customFormat="1" x14ac:dyDescent="0.35">
      <c r="A1440" s="43"/>
      <c r="B1440" s="43"/>
      <c r="C1440" s="43"/>
      <c r="D1440" s="43"/>
      <c r="E1440" s="43"/>
      <c r="F1440" s="43"/>
      <c r="G1440" s="43"/>
    </row>
    <row r="1441" spans="1:7" s="51" customFormat="1" x14ac:dyDescent="0.35">
      <c r="A1441" s="43"/>
      <c r="B1441" s="43"/>
      <c r="C1441" s="43"/>
      <c r="D1441" s="43"/>
      <c r="E1441" s="43"/>
      <c r="F1441" s="43"/>
      <c r="G1441" s="43"/>
    </row>
    <row r="1442" spans="1:7" s="51" customFormat="1" x14ac:dyDescent="0.35">
      <c r="A1442" s="43"/>
      <c r="B1442" s="43"/>
      <c r="C1442" s="43"/>
      <c r="D1442" s="43"/>
      <c r="E1442" s="43"/>
      <c r="F1442" s="43"/>
      <c r="G1442" s="43"/>
    </row>
    <row r="1443" spans="1:7" s="51" customFormat="1" x14ac:dyDescent="0.35">
      <c r="A1443" s="43"/>
      <c r="B1443" s="43"/>
      <c r="C1443" s="43"/>
      <c r="D1443" s="43"/>
      <c r="E1443" s="43"/>
      <c r="F1443" s="43"/>
      <c r="G1443" s="43"/>
    </row>
    <row r="1444" spans="1:7" s="51" customFormat="1" x14ac:dyDescent="0.35">
      <c r="A1444" s="43"/>
      <c r="B1444" s="43"/>
      <c r="C1444" s="43"/>
      <c r="D1444" s="43"/>
      <c r="E1444" s="43"/>
      <c r="F1444" s="43"/>
      <c r="G1444" s="43"/>
    </row>
    <row r="1445" spans="1:7" s="51" customFormat="1" x14ac:dyDescent="0.35">
      <c r="A1445" s="43"/>
      <c r="B1445" s="43"/>
      <c r="C1445" s="43"/>
      <c r="D1445" s="43"/>
      <c r="E1445" s="43"/>
      <c r="F1445" s="43"/>
      <c r="G1445" s="43"/>
    </row>
    <row r="1446" spans="1:7" s="51" customFormat="1" x14ac:dyDescent="0.35">
      <c r="A1446" s="43"/>
      <c r="B1446" s="43"/>
      <c r="C1446" s="43"/>
      <c r="D1446" s="43"/>
      <c r="E1446" s="43"/>
      <c r="F1446" s="43"/>
      <c r="G1446" s="43"/>
    </row>
    <row r="1447" spans="1:7" s="51" customFormat="1" x14ac:dyDescent="0.35">
      <c r="A1447" s="43"/>
      <c r="B1447" s="43"/>
      <c r="C1447" s="43"/>
      <c r="D1447" s="43"/>
      <c r="E1447" s="43"/>
      <c r="F1447" s="43"/>
      <c r="G1447" s="43"/>
    </row>
    <row r="1448" spans="1:7" s="51" customFormat="1" x14ac:dyDescent="0.35">
      <c r="A1448" s="43"/>
      <c r="B1448" s="43"/>
      <c r="C1448" s="43"/>
      <c r="D1448" s="43"/>
      <c r="E1448" s="43"/>
      <c r="F1448" s="43"/>
      <c r="G1448" s="43"/>
    </row>
    <row r="1449" spans="1:7" s="51" customFormat="1" x14ac:dyDescent="0.35">
      <c r="A1449" s="43"/>
      <c r="B1449" s="43"/>
      <c r="C1449" s="43"/>
      <c r="D1449" s="43"/>
      <c r="E1449" s="43"/>
      <c r="F1449" s="43"/>
      <c r="G1449" s="43"/>
    </row>
    <row r="1450" spans="1:7" s="51" customFormat="1" x14ac:dyDescent="0.35">
      <c r="A1450" s="43"/>
      <c r="B1450" s="43"/>
      <c r="C1450" s="43"/>
      <c r="D1450" s="43"/>
      <c r="E1450" s="43"/>
      <c r="F1450" s="43"/>
      <c r="G1450" s="43"/>
    </row>
    <row r="1451" spans="1:7" s="51" customFormat="1" x14ac:dyDescent="0.35">
      <c r="A1451" s="43"/>
      <c r="B1451" s="43"/>
      <c r="C1451" s="43"/>
      <c r="D1451" s="43"/>
      <c r="E1451" s="43"/>
      <c r="F1451" s="43"/>
      <c r="G1451" s="43"/>
    </row>
    <row r="1452" spans="1:7" s="51" customFormat="1" x14ac:dyDescent="0.35">
      <c r="A1452" s="43"/>
      <c r="B1452" s="43"/>
      <c r="C1452" s="43"/>
      <c r="D1452" s="43"/>
      <c r="E1452" s="43"/>
      <c r="F1452" s="43"/>
      <c r="G1452" s="43"/>
    </row>
    <row r="1453" spans="1:7" s="51" customFormat="1" x14ac:dyDescent="0.35">
      <c r="A1453" s="43"/>
      <c r="B1453" s="43"/>
      <c r="C1453" s="43"/>
      <c r="D1453" s="43"/>
      <c r="E1453" s="43"/>
      <c r="F1453" s="43"/>
      <c r="G1453" s="43"/>
    </row>
    <row r="1454" spans="1:7" s="51" customFormat="1" x14ac:dyDescent="0.35">
      <c r="A1454" s="43"/>
      <c r="B1454" s="43"/>
      <c r="C1454" s="43"/>
      <c r="D1454" s="43"/>
      <c r="E1454" s="43"/>
      <c r="F1454" s="43"/>
      <c r="G1454" s="43"/>
    </row>
    <row r="1455" spans="1:7" s="51" customFormat="1" x14ac:dyDescent="0.35">
      <c r="A1455" s="43"/>
      <c r="B1455" s="43"/>
      <c r="C1455" s="43"/>
      <c r="D1455" s="43"/>
      <c r="E1455" s="43"/>
      <c r="F1455" s="43"/>
      <c r="G1455" s="43"/>
    </row>
    <row r="1456" spans="1:7" s="51" customFormat="1" x14ac:dyDescent="0.35">
      <c r="A1456" s="43"/>
      <c r="B1456" s="43"/>
      <c r="C1456" s="43"/>
      <c r="D1456" s="43"/>
      <c r="E1456" s="43"/>
      <c r="F1456" s="43"/>
      <c r="G1456" s="43"/>
    </row>
    <row r="1457" spans="1:7" s="51" customFormat="1" x14ac:dyDescent="0.35">
      <c r="A1457" s="43"/>
      <c r="B1457" s="43"/>
      <c r="C1457" s="43"/>
      <c r="D1457" s="43"/>
      <c r="E1457" s="43"/>
      <c r="F1457" s="43"/>
      <c r="G1457" s="43"/>
    </row>
    <row r="1458" spans="1:7" s="51" customFormat="1" x14ac:dyDescent="0.35">
      <c r="A1458" s="43"/>
      <c r="B1458" s="43"/>
      <c r="C1458" s="43"/>
      <c r="D1458" s="43"/>
      <c r="E1458" s="43"/>
      <c r="F1458" s="43"/>
      <c r="G1458" s="43"/>
    </row>
    <row r="1459" spans="1:7" s="51" customFormat="1" x14ac:dyDescent="0.35">
      <c r="A1459" s="43"/>
      <c r="B1459" s="43"/>
      <c r="C1459" s="43"/>
      <c r="D1459" s="43"/>
      <c r="E1459" s="43"/>
      <c r="F1459" s="43"/>
      <c r="G1459" s="43"/>
    </row>
    <row r="1460" spans="1:7" s="51" customFormat="1" x14ac:dyDescent="0.35">
      <c r="A1460" s="43"/>
      <c r="B1460" s="43"/>
      <c r="C1460" s="43"/>
      <c r="D1460" s="43"/>
      <c r="E1460" s="43"/>
      <c r="F1460" s="43"/>
      <c r="G1460" s="43"/>
    </row>
    <row r="1461" spans="1:7" s="51" customFormat="1" x14ac:dyDescent="0.35">
      <c r="A1461" s="43"/>
      <c r="B1461" s="43"/>
      <c r="C1461" s="43"/>
      <c r="D1461" s="43"/>
      <c r="E1461" s="43"/>
      <c r="F1461" s="43"/>
      <c r="G1461" s="43"/>
    </row>
    <row r="1462" spans="1:7" s="51" customFormat="1" x14ac:dyDescent="0.35">
      <c r="A1462" s="43"/>
      <c r="B1462" s="43"/>
      <c r="C1462" s="43"/>
      <c r="D1462" s="43"/>
      <c r="E1462" s="43"/>
      <c r="F1462" s="43"/>
      <c r="G1462" s="43"/>
    </row>
    <row r="1463" spans="1:7" s="51" customFormat="1" x14ac:dyDescent="0.35">
      <c r="A1463" s="43"/>
      <c r="B1463" s="43"/>
      <c r="C1463" s="43"/>
      <c r="D1463" s="43"/>
      <c r="E1463" s="43"/>
      <c r="F1463" s="43"/>
      <c r="G1463" s="43"/>
    </row>
    <row r="1464" spans="1:7" s="51" customFormat="1" x14ac:dyDescent="0.35">
      <c r="A1464" s="43"/>
      <c r="B1464" s="43"/>
      <c r="C1464" s="43"/>
      <c r="D1464" s="43"/>
      <c r="E1464" s="43"/>
      <c r="F1464" s="43"/>
      <c r="G1464" s="43"/>
    </row>
    <row r="1465" spans="1:7" s="51" customFormat="1" x14ac:dyDescent="0.35">
      <c r="A1465" s="43"/>
      <c r="B1465" s="43"/>
      <c r="C1465" s="43"/>
      <c r="D1465" s="43"/>
      <c r="E1465" s="43"/>
      <c r="F1465" s="43"/>
      <c r="G1465" s="43"/>
    </row>
    <row r="1466" spans="1:7" s="51" customFormat="1" x14ac:dyDescent="0.35">
      <c r="A1466" s="43"/>
      <c r="B1466" s="43"/>
      <c r="C1466" s="43"/>
      <c r="D1466" s="43"/>
      <c r="E1466" s="43"/>
      <c r="F1466" s="43"/>
      <c r="G1466" s="43"/>
    </row>
    <row r="1467" spans="1:7" s="51" customFormat="1" x14ac:dyDescent="0.35">
      <c r="A1467" s="43"/>
      <c r="B1467" s="43"/>
      <c r="C1467" s="43"/>
      <c r="D1467" s="43"/>
      <c r="E1467" s="43"/>
      <c r="F1467" s="43"/>
      <c r="G1467" s="43"/>
    </row>
    <row r="1468" spans="1:7" s="51" customFormat="1" x14ac:dyDescent="0.35">
      <c r="A1468" s="43"/>
      <c r="B1468" s="43"/>
      <c r="C1468" s="43"/>
      <c r="D1468" s="43"/>
      <c r="E1468" s="43"/>
      <c r="F1468" s="43"/>
      <c r="G1468" s="43"/>
    </row>
    <row r="1469" spans="1:7" s="51" customFormat="1" x14ac:dyDescent="0.35">
      <c r="A1469" s="43"/>
      <c r="B1469" s="43"/>
      <c r="C1469" s="43"/>
      <c r="D1469" s="43"/>
      <c r="E1469" s="43"/>
      <c r="F1469" s="43"/>
      <c r="G1469" s="43"/>
    </row>
    <row r="1470" spans="1:7" s="51" customFormat="1" x14ac:dyDescent="0.35">
      <c r="A1470" s="43"/>
      <c r="B1470" s="43"/>
      <c r="C1470" s="43"/>
      <c r="D1470" s="43"/>
      <c r="E1470" s="43"/>
      <c r="F1470" s="43"/>
      <c r="G1470" s="43"/>
    </row>
    <row r="1471" spans="1:7" s="51" customFormat="1" x14ac:dyDescent="0.35">
      <c r="A1471" s="43"/>
      <c r="B1471" s="43"/>
      <c r="C1471" s="43"/>
      <c r="D1471" s="43"/>
      <c r="E1471" s="43"/>
      <c r="F1471" s="43"/>
      <c r="G1471" s="43"/>
    </row>
    <row r="1472" spans="1:7" s="51" customFormat="1" x14ac:dyDescent="0.35">
      <c r="A1472" s="43"/>
      <c r="B1472" s="43"/>
      <c r="C1472" s="43"/>
      <c r="D1472" s="43"/>
      <c r="E1472" s="43"/>
      <c r="F1472" s="43"/>
      <c r="G1472" s="43"/>
    </row>
    <row r="1473" spans="1:7" s="51" customFormat="1" x14ac:dyDescent="0.35">
      <c r="A1473" s="43"/>
      <c r="B1473" s="43"/>
      <c r="C1473" s="43"/>
      <c r="D1473" s="43"/>
      <c r="E1473" s="43"/>
      <c r="F1473" s="43"/>
      <c r="G1473" s="43"/>
    </row>
    <row r="1474" spans="1:7" s="51" customFormat="1" x14ac:dyDescent="0.35">
      <c r="A1474" s="43"/>
      <c r="B1474" s="43"/>
      <c r="C1474" s="43"/>
      <c r="D1474" s="43"/>
      <c r="E1474" s="43"/>
      <c r="F1474" s="43"/>
      <c r="G1474" s="43"/>
    </row>
    <row r="1475" spans="1:7" s="51" customFormat="1" x14ac:dyDescent="0.35">
      <c r="A1475" s="43"/>
      <c r="B1475" s="43"/>
      <c r="C1475" s="43"/>
      <c r="D1475" s="43"/>
      <c r="E1475" s="43"/>
      <c r="F1475" s="43"/>
      <c r="G1475" s="43"/>
    </row>
    <row r="1476" spans="1:7" s="51" customFormat="1" x14ac:dyDescent="0.35">
      <c r="A1476" s="43"/>
      <c r="B1476" s="43"/>
      <c r="C1476" s="43"/>
      <c r="D1476" s="43"/>
      <c r="E1476" s="43"/>
      <c r="F1476" s="43"/>
      <c r="G1476" s="43"/>
    </row>
    <row r="1477" spans="1:7" s="51" customFormat="1" x14ac:dyDescent="0.35">
      <c r="A1477" s="43"/>
      <c r="B1477" s="43"/>
      <c r="C1477" s="43"/>
      <c r="D1477" s="43"/>
      <c r="E1477" s="43"/>
      <c r="F1477" s="43"/>
      <c r="G1477" s="43"/>
    </row>
    <row r="1478" spans="1:7" s="51" customFormat="1" x14ac:dyDescent="0.35">
      <c r="A1478" s="43"/>
      <c r="B1478" s="43"/>
      <c r="C1478" s="43"/>
      <c r="D1478" s="43"/>
      <c r="E1478" s="43"/>
      <c r="F1478" s="43"/>
      <c r="G1478" s="43"/>
    </row>
    <row r="1479" spans="1:7" s="51" customFormat="1" x14ac:dyDescent="0.35">
      <c r="A1479" s="43"/>
      <c r="B1479" s="43"/>
      <c r="C1479" s="43"/>
      <c r="D1479" s="43"/>
      <c r="E1479" s="43"/>
      <c r="F1479" s="43"/>
      <c r="G1479" s="43"/>
    </row>
    <row r="1480" spans="1:7" s="51" customFormat="1" x14ac:dyDescent="0.35">
      <c r="A1480" s="43"/>
      <c r="B1480" s="43"/>
      <c r="C1480" s="43"/>
      <c r="D1480" s="43"/>
      <c r="E1480" s="43"/>
      <c r="F1480" s="43"/>
      <c r="G1480" s="43"/>
    </row>
    <row r="1481" spans="1:7" s="51" customFormat="1" x14ac:dyDescent="0.35">
      <c r="A1481" s="43"/>
      <c r="B1481" s="43"/>
      <c r="C1481" s="43"/>
      <c r="D1481" s="43"/>
      <c r="E1481" s="43"/>
      <c r="F1481" s="43"/>
      <c r="G1481" s="43"/>
    </row>
    <row r="1482" spans="1:7" s="51" customFormat="1" x14ac:dyDescent="0.35">
      <c r="A1482" s="43"/>
      <c r="B1482" s="43"/>
      <c r="C1482" s="43"/>
      <c r="D1482" s="43"/>
      <c r="E1482" s="43"/>
      <c r="F1482" s="43"/>
      <c r="G1482" s="43"/>
    </row>
    <row r="1483" spans="1:7" s="51" customFormat="1" x14ac:dyDescent="0.35">
      <c r="A1483" s="43"/>
      <c r="B1483" s="43"/>
      <c r="C1483" s="43"/>
      <c r="D1483" s="43"/>
      <c r="E1483" s="43"/>
      <c r="F1483" s="43"/>
      <c r="G1483" s="43"/>
    </row>
    <row r="1484" spans="1:7" s="51" customFormat="1" x14ac:dyDescent="0.35">
      <c r="A1484" s="43"/>
      <c r="B1484" s="43"/>
      <c r="C1484" s="43"/>
      <c r="D1484" s="43"/>
      <c r="E1484" s="43"/>
      <c r="F1484" s="43"/>
      <c r="G1484" s="43"/>
    </row>
    <row r="1485" spans="1:7" s="51" customFormat="1" x14ac:dyDescent="0.35">
      <c r="A1485" s="43"/>
      <c r="B1485" s="43"/>
      <c r="C1485" s="43"/>
      <c r="D1485" s="43"/>
      <c r="E1485" s="43"/>
      <c r="F1485" s="43"/>
      <c r="G1485" s="43"/>
    </row>
    <row r="1486" spans="1:7" s="51" customFormat="1" x14ac:dyDescent="0.35">
      <c r="A1486" s="43"/>
      <c r="B1486" s="43"/>
      <c r="C1486" s="43"/>
      <c r="D1486" s="43"/>
      <c r="E1486" s="43"/>
      <c r="F1486" s="43"/>
      <c r="G1486" s="43"/>
    </row>
    <row r="1487" spans="1:7" s="51" customFormat="1" x14ac:dyDescent="0.35">
      <c r="A1487" s="43"/>
      <c r="B1487" s="43"/>
      <c r="C1487" s="43"/>
      <c r="D1487" s="43"/>
      <c r="E1487" s="43"/>
      <c r="F1487" s="43"/>
      <c r="G1487" s="43"/>
    </row>
    <row r="1488" spans="1:7" s="51" customFormat="1" x14ac:dyDescent="0.35">
      <c r="A1488" s="43"/>
      <c r="B1488" s="43"/>
      <c r="C1488" s="43"/>
      <c r="D1488" s="43"/>
      <c r="E1488" s="43"/>
      <c r="F1488" s="43"/>
      <c r="G1488" s="43"/>
    </row>
    <row r="1489" spans="1:7" s="51" customFormat="1" x14ac:dyDescent="0.35">
      <c r="A1489" s="43"/>
      <c r="B1489" s="43"/>
      <c r="C1489" s="43"/>
      <c r="D1489" s="43"/>
      <c r="E1489" s="43"/>
      <c r="F1489" s="43"/>
      <c r="G1489" s="43"/>
    </row>
    <row r="1490" spans="1:7" s="51" customFormat="1" x14ac:dyDescent="0.35">
      <c r="A1490" s="43"/>
      <c r="B1490" s="43"/>
      <c r="C1490" s="43"/>
      <c r="D1490" s="43"/>
      <c r="E1490" s="43"/>
      <c r="F1490" s="43"/>
      <c r="G1490" s="43"/>
    </row>
    <row r="1491" spans="1:7" s="51" customFormat="1" x14ac:dyDescent="0.35">
      <c r="A1491" s="43"/>
      <c r="B1491" s="43"/>
      <c r="C1491" s="43"/>
      <c r="D1491" s="43"/>
      <c r="E1491" s="43"/>
      <c r="F1491" s="43"/>
      <c r="G1491" s="43"/>
    </row>
    <row r="1492" spans="1:7" s="51" customFormat="1" x14ac:dyDescent="0.35">
      <c r="A1492" s="43"/>
      <c r="B1492" s="43"/>
      <c r="C1492" s="43"/>
      <c r="D1492" s="43"/>
      <c r="E1492" s="43"/>
      <c r="F1492" s="43"/>
      <c r="G1492" s="43"/>
    </row>
    <row r="1493" spans="1:7" s="51" customFormat="1" x14ac:dyDescent="0.35">
      <c r="A1493" s="43"/>
      <c r="B1493" s="43"/>
      <c r="C1493" s="43"/>
      <c r="D1493" s="43"/>
      <c r="E1493" s="43"/>
      <c r="F1493" s="43"/>
      <c r="G1493" s="43"/>
    </row>
    <row r="1494" spans="1:7" s="51" customFormat="1" x14ac:dyDescent="0.35">
      <c r="A1494" s="43"/>
      <c r="B1494" s="43"/>
      <c r="C1494" s="43"/>
      <c r="D1494" s="43"/>
      <c r="E1494" s="43"/>
      <c r="F1494" s="43"/>
      <c r="G1494" s="43"/>
    </row>
    <row r="1495" spans="1:7" s="51" customFormat="1" x14ac:dyDescent="0.35">
      <c r="A1495" s="43"/>
      <c r="B1495" s="43"/>
      <c r="C1495" s="43"/>
      <c r="D1495" s="43"/>
      <c r="E1495" s="43"/>
      <c r="F1495" s="43"/>
      <c r="G1495" s="43"/>
    </row>
    <row r="1496" spans="1:7" s="51" customFormat="1" x14ac:dyDescent="0.35">
      <c r="A1496" s="43"/>
      <c r="B1496" s="43"/>
      <c r="C1496" s="43"/>
      <c r="D1496" s="43"/>
      <c r="E1496" s="43"/>
      <c r="F1496" s="43"/>
      <c r="G1496" s="43"/>
    </row>
    <row r="1497" spans="1:7" s="51" customFormat="1" x14ac:dyDescent="0.35">
      <c r="A1497" s="43"/>
      <c r="B1497" s="43"/>
      <c r="C1497" s="43"/>
      <c r="D1497" s="43"/>
      <c r="E1497" s="43"/>
      <c r="F1497" s="43"/>
      <c r="G1497" s="43"/>
    </row>
    <row r="1498" spans="1:7" s="51" customFormat="1" x14ac:dyDescent="0.35">
      <c r="A1498" s="43"/>
      <c r="B1498" s="43"/>
      <c r="C1498" s="43"/>
      <c r="D1498" s="43"/>
      <c r="E1498" s="43"/>
      <c r="F1498" s="43"/>
      <c r="G1498" s="43"/>
    </row>
    <row r="1499" spans="1:7" s="51" customFormat="1" x14ac:dyDescent="0.35">
      <c r="A1499" s="43"/>
      <c r="B1499" s="43"/>
      <c r="C1499" s="43"/>
      <c r="D1499" s="43"/>
      <c r="E1499" s="43"/>
      <c r="F1499" s="43"/>
      <c r="G1499" s="43"/>
    </row>
    <row r="1500" spans="1:7" s="51" customFormat="1" x14ac:dyDescent="0.35">
      <c r="A1500" s="43"/>
      <c r="B1500" s="43"/>
      <c r="C1500" s="43"/>
      <c r="D1500" s="43"/>
      <c r="E1500" s="43"/>
      <c r="F1500" s="43"/>
      <c r="G1500" s="43"/>
    </row>
    <row r="1501" spans="1:7" s="51" customFormat="1" x14ac:dyDescent="0.35">
      <c r="A1501" s="43"/>
      <c r="B1501" s="43"/>
      <c r="C1501" s="43"/>
      <c r="D1501" s="43"/>
      <c r="E1501" s="43"/>
      <c r="F1501" s="43"/>
      <c r="G1501" s="43"/>
    </row>
    <row r="1502" spans="1:7" s="51" customFormat="1" x14ac:dyDescent="0.35">
      <c r="A1502" s="43"/>
      <c r="B1502" s="43"/>
      <c r="C1502" s="43"/>
      <c r="D1502" s="43"/>
      <c r="E1502" s="43"/>
      <c r="F1502" s="43"/>
      <c r="G1502" s="43"/>
    </row>
    <row r="1503" spans="1:7" s="51" customFormat="1" x14ac:dyDescent="0.35">
      <c r="A1503" s="43"/>
      <c r="B1503" s="43"/>
      <c r="C1503" s="43"/>
      <c r="D1503" s="43"/>
      <c r="E1503" s="43"/>
      <c r="F1503" s="43"/>
      <c r="G1503" s="43"/>
    </row>
    <row r="1504" spans="1:7" s="51" customFormat="1" x14ac:dyDescent="0.35">
      <c r="A1504" s="43"/>
      <c r="B1504" s="43"/>
      <c r="C1504" s="43"/>
      <c r="D1504" s="43"/>
      <c r="E1504" s="43"/>
      <c r="F1504" s="43"/>
      <c r="G1504" s="43"/>
    </row>
    <row r="1505" spans="1:7" s="51" customFormat="1" x14ac:dyDescent="0.35">
      <c r="A1505" s="43"/>
      <c r="B1505" s="43"/>
      <c r="C1505" s="43"/>
      <c r="D1505" s="43"/>
      <c r="E1505" s="43"/>
      <c r="F1505" s="43"/>
      <c r="G1505" s="43"/>
    </row>
    <row r="1506" spans="1:7" s="51" customFormat="1" x14ac:dyDescent="0.35">
      <c r="A1506" s="43"/>
      <c r="B1506" s="43"/>
      <c r="C1506" s="43"/>
      <c r="D1506" s="43"/>
      <c r="E1506" s="43"/>
      <c r="F1506" s="43"/>
      <c r="G1506" s="43"/>
    </row>
    <row r="1507" spans="1:7" s="51" customFormat="1" x14ac:dyDescent="0.35">
      <c r="A1507" s="43"/>
      <c r="B1507" s="43"/>
      <c r="C1507" s="43"/>
      <c r="D1507" s="43"/>
      <c r="E1507" s="43"/>
      <c r="F1507" s="43"/>
      <c r="G1507" s="43"/>
    </row>
    <row r="1508" spans="1:7" s="51" customFormat="1" x14ac:dyDescent="0.35">
      <c r="A1508" s="43"/>
      <c r="B1508" s="43"/>
      <c r="C1508" s="43"/>
      <c r="D1508" s="43"/>
      <c r="E1508" s="43"/>
      <c r="F1508" s="43"/>
      <c r="G1508" s="43"/>
    </row>
    <row r="1509" spans="1:7" s="51" customFormat="1" x14ac:dyDescent="0.35">
      <c r="A1509" s="43"/>
      <c r="B1509" s="43"/>
      <c r="C1509" s="43"/>
      <c r="D1509" s="43"/>
      <c r="E1509" s="43"/>
      <c r="F1509" s="43"/>
      <c r="G1509" s="43"/>
    </row>
    <row r="1510" spans="1:7" s="51" customFormat="1" x14ac:dyDescent="0.35">
      <c r="A1510" s="43"/>
      <c r="B1510" s="43"/>
      <c r="C1510" s="43"/>
      <c r="D1510" s="43"/>
      <c r="E1510" s="43"/>
      <c r="F1510" s="43"/>
      <c r="G1510" s="43"/>
    </row>
    <row r="1511" spans="1:7" s="51" customFormat="1" x14ac:dyDescent="0.35">
      <c r="A1511" s="43"/>
      <c r="B1511" s="43"/>
      <c r="C1511" s="43"/>
      <c r="D1511" s="43"/>
      <c r="E1511" s="43"/>
      <c r="F1511" s="43"/>
      <c r="G1511" s="43"/>
    </row>
    <row r="1512" spans="1:7" s="51" customFormat="1" x14ac:dyDescent="0.35">
      <c r="A1512" s="43"/>
      <c r="B1512" s="43"/>
      <c r="C1512" s="43"/>
      <c r="D1512" s="43"/>
      <c r="E1512" s="43"/>
      <c r="F1512" s="43"/>
      <c r="G1512" s="43"/>
    </row>
    <row r="1513" spans="1:7" s="51" customFormat="1" x14ac:dyDescent="0.35">
      <c r="A1513" s="43"/>
      <c r="B1513" s="43"/>
      <c r="C1513" s="43"/>
      <c r="D1513" s="43"/>
      <c r="E1513" s="43"/>
      <c r="F1513" s="43"/>
      <c r="G1513" s="43"/>
    </row>
    <row r="1514" spans="1:7" s="51" customFormat="1" x14ac:dyDescent="0.35">
      <c r="A1514" s="43"/>
      <c r="B1514" s="43"/>
      <c r="C1514" s="43"/>
      <c r="D1514" s="43"/>
      <c r="E1514" s="43"/>
      <c r="F1514" s="43"/>
      <c r="G1514" s="43"/>
    </row>
    <row r="1515" spans="1:7" s="51" customFormat="1" x14ac:dyDescent="0.35">
      <c r="A1515" s="43"/>
      <c r="B1515" s="43"/>
      <c r="C1515" s="43"/>
      <c r="D1515" s="43"/>
      <c r="E1515" s="43"/>
      <c r="F1515" s="43"/>
      <c r="G1515" s="43"/>
    </row>
    <row r="1516" spans="1:7" s="51" customFormat="1" x14ac:dyDescent="0.35">
      <c r="A1516" s="43"/>
      <c r="B1516" s="43"/>
      <c r="C1516" s="43"/>
      <c r="D1516" s="43"/>
      <c r="E1516" s="43"/>
      <c r="F1516" s="43"/>
      <c r="G1516" s="43"/>
    </row>
    <row r="1517" spans="1:7" s="51" customFormat="1" x14ac:dyDescent="0.35">
      <c r="A1517" s="43"/>
      <c r="B1517" s="43"/>
      <c r="C1517" s="43"/>
      <c r="D1517" s="43"/>
      <c r="E1517" s="43"/>
      <c r="F1517" s="43"/>
      <c r="G1517" s="43"/>
    </row>
    <row r="1518" spans="1:7" s="51" customFormat="1" x14ac:dyDescent="0.35">
      <c r="A1518" s="43"/>
      <c r="B1518" s="43"/>
      <c r="C1518" s="43"/>
      <c r="D1518" s="43"/>
      <c r="E1518" s="43"/>
      <c r="F1518" s="43"/>
      <c r="G1518" s="43"/>
    </row>
    <row r="1519" spans="1:7" s="51" customFormat="1" x14ac:dyDescent="0.35">
      <c r="A1519" s="43"/>
      <c r="B1519" s="43"/>
      <c r="C1519" s="43"/>
      <c r="D1519" s="43"/>
      <c r="E1519" s="43"/>
      <c r="F1519" s="43"/>
      <c r="G1519" s="43"/>
    </row>
    <row r="1520" spans="1:7" s="51" customFormat="1" x14ac:dyDescent="0.35">
      <c r="A1520" s="43"/>
      <c r="B1520" s="43"/>
      <c r="C1520" s="43"/>
      <c r="D1520" s="43"/>
      <c r="E1520" s="43"/>
      <c r="F1520" s="43"/>
      <c r="G1520" s="43"/>
    </row>
    <row r="1521" spans="1:7" s="51" customFormat="1" x14ac:dyDescent="0.35">
      <c r="A1521" s="43"/>
      <c r="B1521" s="43"/>
      <c r="C1521" s="43"/>
      <c r="D1521" s="43"/>
      <c r="E1521" s="43"/>
      <c r="F1521" s="43"/>
      <c r="G1521" s="43"/>
    </row>
    <row r="1522" spans="1:7" s="51" customFormat="1" x14ac:dyDescent="0.35">
      <c r="A1522" s="43"/>
      <c r="B1522" s="43"/>
      <c r="C1522" s="43"/>
      <c r="D1522" s="43"/>
      <c r="E1522" s="43"/>
      <c r="F1522" s="43"/>
      <c r="G1522" s="43"/>
    </row>
    <row r="1523" spans="1:7" s="51" customFormat="1" x14ac:dyDescent="0.35">
      <c r="A1523" s="43"/>
      <c r="B1523" s="43"/>
      <c r="C1523" s="43"/>
      <c r="D1523" s="43"/>
      <c r="E1523" s="43"/>
      <c r="F1523" s="43"/>
      <c r="G1523" s="43"/>
    </row>
    <row r="1524" spans="1:7" s="51" customFormat="1" x14ac:dyDescent="0.35">
      <c r="A1524" s="43"/>
      <c r="B1524" s="43"/>
      <c r="C1524" s="43"/>
      <c r="D1524" s="43"/>
      <c r="E1524" s="43"/>
      <c r="F1524" s="43"/>
      <c r="G1524" s="43"/>
    </row>
    <row r="1525" spans="1:7" s="51" customFormat="1" x14ac:dyDescent="0.35">
      <c r="A1525" s="43"/>
      <c r="B1525" s="43"/>
      <c r="C1525" s="43"/>
      <c r="D1525" s="43"/>
      <c r="E1525" s="43"/>
      <c r="F1525" s="43"/>
      <c r="G1525" s="43"/>
    </row>
    <row r="1526" spans="1:7" s="51" customFormat="1" x14ac:dyDescent="0.35">
      <c r="A1526" s="43"/>
      <c r="B1526" s="43"/>
      <c r="C1526" s="43"/>
      <c r="D1526" s="43"/>
      <c r="E1526" s="43"/>
      <c r="F1526" s="43"/>
      <c r="G1526" s="43"/>
    </row>
    <row r="1527" spans="1:7" s="51" customFormat="1" x14ac:dyDescent="0.35">
      <c r="A1527" s="43"/>
      <c r="B1527" s="43"/>
      <c r="C1527" s="43"/>
      <c r="D1527" s="43"/>
      <c r="E1527" s="43"/>
      <c r="F1527" s="43"/>
      <c r="G1527" s="43"/>
    </row>
    <row r="1528" spans="1:7" s="51" customFormat="1" x14ac:dyDescent="0.35">
      <c r="A1528" s="43"/>
      <c r="B1528" s="43"/>
      <c r="C1528" s="43"/>
      <c r="D1528" s="43"/>
      <c r="E1528" s="43"/>
      <c r="F1528" s="43"/>
      <c r="G1528" s="43"/>
    </row>
    <row r="1529" spans="1:7" s="51" customFormat="1" x14ac:dyDescent="0.35">
      <c r="A1529" s="43"/>
      <c r="B1529" s="43"/>
      <c r="C1529" s="43"/>
      <c r="D1529" s="43"/>
      <c r="E1529" s="43"/>
      <c r="F1529" s="43"/>
      <c r="G1529" s="43"/>
    </row>
    <row r="1530" spans="1:7" s="51" customFormat="1" x14ac:dyDescent="0.35">
      <c r="A1530" s="43"/>
      <c r="B1530" s="43"/>
      <c r="C1530" s="43"/>
      <c r="D1530" s="43"/>
      <c r="E1530" s="43"/>
      <c r="F1530" s="43"/>
      <c r="G1530" s="43"/>
    </row>
    <row r="1531" spans="1:7" s="51" customFormat="1" x14ac:dyDescent="0.35">
      <c r="A1531" s="43"/>
      <c r="B1531" s="43"/>
      <c r="C1531" s="43"/>
      <c r="D1531" s="43"/>
      <c r="E1531" s="43"/>
      <c r="F1531" s="43"/>
      <c r="G1531" s="43"/>
    </row>
    <row r="1532" spans="1:7" s="51" customFormat="1" x14ac:dyDescent="0.35">
      <c r="A1532" s="43"/>
      <c r="B1532" s="43"/>
      <c r="C1532" s="43"/>
      <c r="D1532" s="43"/>
      <c r="E1532" s="43"/>
      <c r="F1532" s="43"/>
      <c r="G1532" s="43"/>
    </row>
    <row r="1533" spans="1:7" s="51" customFormat="1" x14ac:dyDescent="0.35">
      <c r="A1533" s="43"/>
      <c r="B1533" s="43"/>
      <c r="C1533" s="43"/>
      <c r="D1533" s="43"/>
      <c r="E1533" s="43"/>
      <c r="F1533" s="43"/>
      <c r="G1533" s="43"/>
    </row>
    <row r="1534" spans="1:7" s="51" customFormat="1" x14ac:dyDescent="0.35">
      <c r="A1534" s="43"/>
      <c r="B1534" s="43"/>
      <c r="C1534" s="43"/>
      <c r="D1534" s="43"/>
      <c r="E1534" s="43"/>
      <c r="F1534" s="43"/>
      <c r="G1534" s="43"/>
    </row>
    <row r="1535" spans="1:7" s="51" customFormat="1" x14ac:dyDescent="0.35">
      <c r="A1535" s="43"/>
      <c r="B1535" s="43"/>
      <c r="C1535" s="43"/>
      <c r="D1535" s="43"/>
      <c r="E1535" s="43"/>
      <c r="F1535" s="43"/>
      <c r="G1535" s="43"/>
    </row>
    <row r="1536" spans="1:7" s="51" customFormat="1" x14ac:dyDescent="0.35">
      <c r="A1536" s="43"/>
      <c r="B1536" s="43"/>
      <c r="C1536" s="43"/>
      <c r="D1536" s="43"/>
      <c r="E1536" s="43"/>
      <c r="F1536" s="43"/>
      <c r="G1536" s="43"/>
    </row>
    <row r="1537" spans="1:7" s="51" customFormat="1" x14ac:dyDescent="0.35">
      <c r="A1537" s="43"/>
      <c r="B1537" s="43"/>
      <c r="C1537" s="43"/>
      <c r="D1537" s="43"/>
      <c r="E1537" s="43"/>
      <c r="F1537" s="43"/>
      <c r="G1537" s="43"/>
    </row>
    <row r="1538" spans="1:7" s="51" customFormat="1" x14ac:dyDescent="0.35">
      <c r="A1538" s="43"/>
      <c r="B1538" s="43"/>
      <c r="C1538" s="43"/>
      <c r="D1538" s="43"/>
      <c r="E1538" s="43"/>
      <c r="F1538" s="43"/>
      <c r="G1538" s="43"/>
    </row>
    <row r="1539" spans="1:7" s="51" customFormat="1" x14ac:dyDescent="0.35">
      <c r="A1539" s="43"/>
      <c r="B1539" s="43"/>
      <c r="C1539" s="43"/>
      <c r="D1539" s="43"/>
      <c r="E1539" s="43"/>
      <c r="F1539" s="43"/>
      <c r="G1539" s="43"/>
    </row>
    <row r="1540" spans="1:7" s="51" customFormat="1" x14ac:dyDescent="0.35">
      <c r="A1540" s="43"/>
      <c r="B1540" s="43"/>
      <c r="C1540" s="43"/>
      <c r="D1540" s="43"/>
      <c r="E1540" s="43"/>
      <c r="F1540" s="43"/>
      <c r="G1540" s="43"/>
    </row>
    <row r="1541" spans="1:7" s="51" customFormat="1" x14ac:dyDescent="0.35">
      <c r="A1541" s="43"/>
      <c r="B1541" s="43"/>
      <c r="C1541" s="43"/>
      <c r="D1541" s="43"/>
      <c r="E1541" s="43"/>
      <c r="F1541" s="43"/>
      <c r="G1541" s="43"/>
    </row>
    <row r="1542" spans="1:7" s="51" customFormat="1" x14ac:dyDescent="0.35">
      <c r="A1542" s="43"/>
      <c r="B1542" s="43"/>
      <c r="C1542" s="43"/>
      <c r="D1542" s="43"/>
      <c r="E1542" s="43"/>
      <c r="F1542" s="43"/>
      <c r="G1542" s="43"/>
    </row>
    <row r="1543" spans="1:7" s="51" customFormat="1" x14ac:dyDescent="0.35">
      <c r="A1543" s="43"/>
      <c r="B1543" s="43"/>
      <c r="C1543" s="43"/>
      <c r="D1543" s="43"/>
      <c r="E1543" s="43"/>
      <c r="F1543" s="43"/>
      <c r="G1543" s="43"/>
    </row>
    <row r="1544" spans="1:7" s="51" customFormat="1" x14ac:dyDescent="0.35">
      <c r="A1544" s="43"/>
      <c r="B1544" s="43"/>
      <c r="C1544" s="43"/>
      <c r="D1544" s="43"/>
      <c r="E1544" s="43"/>
      <c r="F1544" s="43"/>
      <c r="G1544" s="43"/>
    </row>
    <row r="1545" spans="1:7" s="51" customFormat="1" x14ac:dyDescent="0.35">
      <c r="A1545" s="43"/>
      <c r="B1545" s="43"/>
      <c r="C1545" s="43"/>
      <c r="D1545" s="43"/>
      <c r="E1545" s="43"/>
      <c r="F1545" s="43"/>
      <c r="G1545" s="43"/>
    </row>
    <row r="1546" spans="1:7" s="51" customFormat="1" x14ac:dyDescent="0.35">
      <c r="A1546" s="43"/>
      <c r="B1546" s="43"/>
      <c r="C1546" s="43"/>
      <c r="D1546" s="43"/>
      <c r="E1546" s="43"/>
      <c r="F1546" s="43"/>
      <c r="G1546" s="43"/>
    </row>
    <row r="1547" spans="1:7" s="51" customFormat="1" x14ac:dyDescent="0.35">
      <c r="A1547" s="43"/>
      <c r="B1547" s="43"/>
      <c r="C1547" s="43"/>
      <c r="D1547" s="43"/>
      <c r="E1547" s="43"/>
      <c r="F1547" s="43"/>
      <c r="G1547" s="43"/>
    </row>
    <row r="1548" spans="1:7" s="51" customFormat="1" x14ac:dyDescent="0.35">
      <c r="A1548" s="43"/>
      <c r="B1548" s="43"/>
      <c r="C1548" s="43"/>
      <c r="D1548" s="43"/>
      <c r="E1548" s="43"/>
      <c r="F1548" s="43"/>
      <c r="G1548" s="43"/>
    </row>
    <row r="1549" spans="1:7" s="51" customFormat="1" x14ac:dyDescent="0.35">
      <c r="A1549" s="43"/>
      <c r="B1549" s="43"/>
      <c r="C1549" s="43"/>
      <c r="D1549" s="43"/>
      <c r="E1549" s="43"/>
      <c r="F1549" s="43"/>
      <c r="G1549" s="43"/>
    </row>
    <row r="1550" spans="1:7" s="51" customFormat="1" x14ac:dyDescent="0.35">
      <c r="A1550" s="43"/>
      <c r="B1550" s="43"/>
      <c r="C1550" s="43"/>
      <c r="D1550" s="43"/>
      <c r="E1550" s="43"/>
      <c r="F1550" s="43"/>
      <c r="G1550" s="43"/>
    </row>
    <row r="1551" spans="1:7" s="51" customFormat="1" x14ac:dyDescent="0.35">
      <c r="A1551" s="43"/>
      <c r="B1551" s="43"/>
      <c r="C1551" s="43"/>
      <c r="D1551" s="43"/>
      <c r="E1551" s="43"/>
      <c r="F1551" s="43"/>
      <c r="G1551" s="43"/>
    </row>
    <row r="1552" spans="1:7" s="51" customFormat="1" x14ac:dyDescent="0.35">
      <c r="A1552" s="43"/>
      <c r="B1552" s="43"/>
      <c r="C1552" s="43"/>
      <c r="D1552" s="43"/>
      <c r="E1552" s="43"/>
      <c r="F1552" s="43"/>
      <c r="G1552" s="43"/>
    </row>
    <row r="1553" spans="1:7" s="51" customFormat="1" x14ac:dyDescent="0.35">
      <c r="A1553" s="43"/>
      <c r="B1553" s="43"/>
      <c r="C1553" s="43"/>
      <c r="D1553" s="43"/>
      <c r="E1553" s="43"/>
      <c r="F1553" s="43"/>
      <c r="G1553" s="43"/>
    </row>
    <row r="1554" spans="1:7" s="51" customFormat="1" x14ac:dyDescent="0.35">
      <c r="A1554" s="43"/>
      <c r="B1554" s="43"/>
      <c r="C1554" s="43"/>
      <c r="D1554" s="43"/>
      <c r="E1554" s="43"/>
      <c r="F1554" s="43"/>
      <c r="G1554" s="43"/>
    </row>
    <row r="1555" spans="1:7" s="51" customFormat="1" x14ac:dyDescent="0.35">
      <c r="A1555" s="43"/>
      <c r="B1555" s="43"/>
      <c r="C1555" s="43"/>
      <c r="D1555" s="43"/>
      <c r="E1555" s="43"/>
      <c r="F1555" s="43"/>
      <c r="G1555" s="43"/>
    </row>
    <row r="1556" spans="1:7" s="51" customFormat="1" x14ac:dyDescent="0.35">
      <c r="A1556" s="43"/>
      <c r="B1556" s="43"/>
      <c r="C1556" s="43"/>
      <c r="D1556" s="43"/>
      <c r="E1556" s="43"/>
      <c r="F1556" s="43"/>
      <c r="G1556" s="43"/>
    </row>
    <row r="1557" spans="1:7" s="51" customFormat="1" x14ac:dyDescent="0.35">
      <c r="A1557" s="43"/>
      <c r="B1557" s="43"/>
      <c r="C1557" s="43"/>
      <c r="D1557" s="43"/>
      <c r="E1557" s="43"/>
      <c r="F1557" s="43"/>
      <c r="G1557" s="43"/>
    </row>
    <row r="1558" spans="1:7" s="51" customFormat="1" x14ac:dyDescent="0.35">
      <c r="A1558" s="43"/>
      <c r="B1558" s="43"/>
      <c r="C1558" s="43"/>
      <c r="D1558" s="43"/>
      <c r="E1558" s="43"/>
      <c r="F1558" s="43"/>
      <c r="G1558" s="43"/>
    </row>
    <row r="1559" spans="1:7" s="51" customFormat="1" x14ac:dyDescent="0.35">
      <c r="A1559" s="43"/>
      <c r="B1559" s="43"/>
      <c r="C1559" s="43"/>
      <c r="D1559" s="43"/>
      <c r="E1559" s="43"/>
      <c r="F1559" s="43"/>
      <c r="G1559" s="43"/>
    </row>
    <row r="1560" spans="1:7" s="51" customFormat="1" x14ac:dyDescent="0.35">
      <c r="A1560" s="43"/>
      <c r="B1560" s="43"/>
      <c r="C1560" s="43"/>
      <c r="D1560" s="43"/>
      <c r="E1560" s="43"/>
      <c r="F1560" s="43"/>
      <c r="G1560" s="43"/>
    </row>
    <row r="1561" spans="1:7" s="51" customFormat="1" x14ac:dyDescent="0.35">
      <c r="A1561" s="43"/>
      <c r="B1561" s="43"/>
      <c r="C1561" s="43"/>
      <c r="D1561" s="43"/>
      <c r="E1561" s="43"/>
      <c r="F1561" s="43"/>
      <c r="G1561" s="43"/>
    </row>
    <row r="1562" spans="1:7" s="51" customFormat="1" x14ac:dyDescent="0.35">
      <c r="A1562" s="43"/>
      <c r="B1562" s="43"/>
      <c r="C1562" s="43"/>
      <c r="D1562" s="43"/>
      <c r="E1562" s="43"/>
      <c r="F1562" s="43"/>
      <c r="G1562" s="43"/>
    </row>
    <row r="1563" spans="1:7" s="51" customFormat="1" x14ac:dyDescent="0.35">
      <c r="A1563" s="43"/>
      <c r="B1563" s="43"/>
      <c r="C1563" s="43"/>
      <c r="D1563" s="43"/>
      <c r="E1563" s="43"/>
      <c r="F1563" s="43"/>
      <c r="G1563" s="43"/>
    </row>
    <row r="1564" spans="1:7" s="51" customFormat="1" x14ac:dyDescent="0.35">
      <c r="A1564" s="43"/>
      <c r="B1564" s="43"/>
      <c r="C1564" s="43"/>
      <c r="D1564" s="43"/>
      <c r="E1564" s="43"/>
      <c r="F1564" s="43"/>
      <c r="G1564" s="43"/>
    </row>
    <row r="1565" spans="1:7" s="51" customFormat="1" x14ac:dyDescent="0.35">
      <c r="A1565" s="43"/>
      <c r="B1565" s="43"/>
      <c r="C1565" s="43"/>
      <c r="D1565" s="43"/>
      <c r="E1565" s="43"/>
      <c r="F1565" s="43"/>
      <c r="G1565" s="43"/>
    </row>
    <row r="1566" spans="1:7" s="51" customFormat="1" x14ac:dyDescent="0.35">
      <c r="A1566" s="43"/>
      <c r="B1566" s="43"/>
      <c r="C1566" s="43"/>
      <c r="D1566" s="43"/>
      <c r="E1566" s="43"/>
      <c r="F1566" s="43"/>
      <c r="G1566" s="43"/>
    </row>
    <row r="1567" spans="1:7" s="51" customFormat="1" x14ac:dyDescent="0.35">
      <c r="A1567" s="43"/>
      <c r="B1567" s="43"/>
      <c r="C1567" s="43"/>
      <c r="D1567" s="43"/>
      <c r="E1567" s="43"/>
      <c r="F1567" s="43"/>
      <c r="G1567" s="43"/>
    </row>
    <row r="1568" spans="1:7" s="51" customFormat="1" x14ac:dyDescent="0.35">
      <c r="A1568" s="43"/>
      <c r="B1568" s="43"/>
      <c r="C1568" s="43"/>
      <c r="D1568" s="43"/>
      <c r="E1568" s="43"/>
      <c r="F1568" s="43"/>
      <c r="G1568" s="43"/>
    </row>
    <row r="1569" spans="1:7" s="51" customFormat="1" x14ac:dyDescent="0.35">
      <c r="A1569" s="43"/>
      <c r="B1569" s="43"/>
      <c r="C1569" s="43"/>
      <c r="D1569" s="43"/>
      <c r="E1569" s="43"/>
      <c r="F1569" s="43"/>
      <c r="G1569" s="43"/>
    </row>
    <row r="1570" spans="1:7" s="51" customFormat="1" x14ac:dyDescent="0.35">
      <c r="A1570" s="43"/>
      <c r="B1570" s="43"/>
      <c r="C1570" s="43"/>
      <c r="D1570" s="43"/>
      <c r="E1570" s="43"/>
      <c r="F1570" s="43"/>
      <c r="G1570" s="43"/>
    </row>
    <row r="1571" spans="1:7" s="51" customFormat="1" x14ac:dyDescent="0.35">
      <c r="A1571" s="43"/>
      <c r="B1571" s="43"/>
      <c r="C1571" s="43"/>
      <c r="D1571" s="43"/>
      <c r="E1571" s="43"/>
      <c r="F1571" s="43"/>
      <c r="G1571" s="43"/>
    </row>
    <row r="1572" spans="1:7" s="51" customFormat="1" x14ac:dyDescent="0.35">
      <c r="A1572" s="43"/>
      <c r="B1572" s="43"/>
      <c r="C1572" s="43"/>
      <c r="D1572" s="43"/>
      <c r="E1572" s="43"/>
      <c r="F1572" s="43"/>
      <c r="G1572" s="43"/>
    </row>
    <row r="1573" spans="1:7" s="51" customFormat="1" x14ac:dyDescent="0.35">
      <c r="A1573" s="43"/>
      <c r="B1573" s="43"/>
      <c r="C1573" s="43"/>
      <c r="D1573" s="43"/>
      <c r="E1573" s="43"/>
      <c r="F1573" s="43"/>
      <c r="G1573" s="43"/>
    </row>
    <row r="1574" spans="1:7" s="51" customFormat="1" x14ac:dyDescent="0.35">
      <c r="A1574" s="43"/>
      <c r="B1574" s="43"/>
      <c r="C1574" s="43"/>
      <c r="D1574" s="43"/>
      <c r="E1574" s="43"/>
      <c r="F1574" s="43"/>
      <c r="G1574" s="43"/>
    </row>
    <row r="1575" spans="1:7" s="51" customFormat="1" x14ac:dyDescent="0.35">
      <c r="A1575" s="43"/>
      <c r="B1575" s="43"/>
      <c r="C1575" s="43"/>
      <c r="D1575" s="43"/>
      <c r="E1575" s="43"/>
      <c r="F1575" s="43"/>
      <c r="G1575" s="43"/>
    </row>
    <row r="1576" spans="1:7" s="51" customFormat="1" x14ac:dyDescent="0.35">
      <c r="A1576" s="43"/>
      <c r="B1576" s="43"/>
      <c r="C1576" s="43"/>
      <c r="D1576" s="43"/>
      <c r="E1576" s="43"/>
      <c r="F1576" s="43"/>
      <c r="G1576" s="43"/>
    </row>
    <row r="1577" spans="1:7" s="51" customFormat="1" x14ac:dyDescent="0.35">
      <c r="A1577" s="43"/>
      <c r="B1577" s="43"/>
      <c r="C1577" s="43"/>
      <c r="D1577" s="43"/>
      <c r="E1577" s="43"/>
      <c r="F1577" s="43"/>
      <c r="G1577" s="43"/>
    </row>
    <row r="1578" spans="1:7" s="51" customFormat="1" x14ac:dyDescent="0.35">
      <c r="A1578" s="43"/>
      <c r="B1578" s="43"/>
      <c r="C1578" s="43"/>
      <c r="D1578" s="43"/>
      <c r="E1578" s="43"/>
      <c r="F1578" s="43"/>
      <c r="G1578" s="43"/>
    </row>
    <row r="1579" spans="1:7" s="51" customFormat="1" x14ac:dyDescent="0.35">
      <c r="A1579" s="43"/>
      <c r="B1579" s="43"/>
      <c r="C1579" s="43"/>
      <c r="D1579" s="43"/>
      <c r="E1579" s="43"/>
      <c r="F1579" s="43"/>
      <c r="G1579" s="43"/>
    </row>
    <row r="1580" spans="1:7" s="51" customFormat="1" x14ac:dyDescent="0.35">
      <c r="A1580" s="43"/>
      <c r="B1580" s="43"/>
      <c r="C1580" s="43"/>
      <c r="D1580" s="43"/>
      <c r="E1580" s="43"/>
      <c r="F1580" s="43"/>
      <c r="G1580" s="43"/>
    </row>
    <row r="1581" spans="1:7" s="51" customFormat="1" x14ac:dyDescent="0.35">
      <c r="A1581" s="43"/>
      <c r="B1581" s="43"/>
      <c r="C1581" s="43"/>
      <c r="D1581" s="43"/>
      <c r="E1581" s="43"/>
      <c r="F1581" s="43"/>
      <c r="G1581" s="43"/>
    </row>
    <row r="1582" spans="1:7" s="51" customFormat="1" x14ac:dyDescent="0.35">
      <c r="A1582" s="43"/>
      <c r="B1582" s="43"/>
      <c r="C1582" s="43"/>
      <c r="D1582" s="43"/>
      <c r="E1582" s="43"/>
      <c r="F1582" s="43"/>
      <c r="G1582" s="43"/>
    </row>
    <row r="1583" spans="1:7" s="51" customFormat="1" x14ac:dyDescent="0.35">
      <c r="A1583" s="43"/>
      <c r="B1583" s="43"/>
      <c r="C1583" s="43"/>
      <c r="D1583" s="43"/>
      <c r="E1583" s="43"/>
      <c r="F1583" s="43"/>
      <c r="G1583" s="43"/>
    </row>
    <row r="1584" spans="1:7" s="51" customFormat="1" x14ac:dyDescent="0.35">
      <c r="A1584" s="43"/>
      <c r="B1584" s="43"/>
      <c r="C1584" s="43"/>
      <c r="D1584" s="43"/>
      <c r="E1584" s="43"/>
      <c r="F1584" s="43"/>
      <c r="G1584" s="43"/>
    </row>
    <row r="1585" spans="1:7" s="51" customFormat="1" x14ac:dyDescent="0.35">
      <c r="A1585" s="43"/>
      <c r="B1585" s="43"/>
      <c r="C1585" s="43"/>
      <c r="D1585" s="43"/>
      <c r="E1585" s="43"/>
      <c r="F1585" s="43"/>
      <c r="G1585" s="43"/>
    </row>
    <row r="1586" spans="1:7" s="51" customFormat="1" x14ac:dyDescent="0.35">
      <c r="A1586" s="43"/>
      <c r="B1586" s="43"/>
      <c r="C1586" s="43"/>
      <c r="D1586" s="43"/>
      <c r="E1586" s="43"/>
      <c r="F1586" s="43"/>
      <c r="G1586" s="43"/>
    </row>
    <row r="1587" spans="1:7" s="51" customFormat="1" x14ac:dyDescent="0.35">
      <c r="A1587" s="43"/>
      <c r="B1587" s="43"/>
      <c r="C1587" s="43"/>
      <c r="D1587" s="43"/>
      <c r="E1587" s="43"/>
      <c r="F1587" s="43"/>
      <c r="G1587" s="43"/>
    </row>
    <row r="1588" spans="1:7" s="51" customFormat="1" x14ac:dyDescent="0.35">
      <c r="A1588" s="43"/>
      <c r="B1588" s="43"/>
      <c r="C1588" s="43"/>
      <c r="D1588" s="43"/>
      <c r="E1588" s="43"/>
      <c r="F1588" s="43"/>
      <c r="G1588" s="43"/>
    </row>
    <row r="1589" spans="1:7" s="51" customFormat="1" x14ac:dyDescent="0.35">
      <c r="A1589" s="43"/>
      <c r="B1589" s="43"/>
      <c r="C1589" s="43"/>
      <c r="D1589" s="43"/>
      <c r="E1589" s="43"/>
      <c r="F1589" s="43"/>
      <c r="G1589" s="43"/>
    </row>
    <row r="1590" spans="1:7" s="51" customFormat="1" x14ac:dyDescent="0.35">
      <c r="A1590" s="43"/>
      <c r="B1590" s="43"/>
      <c r="C1590" s="43"/>
      <c r="D1590" s="43"/>
      <c r="E1590" s="43"/>
      <c r="F1590" s="43"/>
      <c r="G1590" s="43"/>
    </row>
    <row r="1591" spans="1:7" s="51" customFormat="1" x14ac:dyDescent="0.35">
      <c r="A1591" s="43"/>
      <c r="B1591" s="43"/>
      <c r="C1591" s="43"/>
      <c r="D1591" s="43"/>
      <c r="E1591" s="43"/>
      <c r="F1591" s="43"/>
      <c r="G1591" s="43"/>
    </row>
    <row r="1592" spans="1:7" s="51" customFormat="1" x14ac:dyDescent="0.35">
      <c r="A1592" s="43"/>
      <c r="B1592" s="43"/>
      <c r="C1592" s="43"/>
      <c r="D1592" s="43"/>
      <c r="E1592" s="43"/>
      <c r="F1592" s="43"/>
      <c r="G1592" s="43"/>
    </row>
    <row r="1593" spans="1:7" s="51" customFormat="1" x14ac:dyDescent="0.35">
      <c r="A1593" s="43"/>
      <c r="B1593" s="43"/>
      <c r="C1593" s="43"/>
      <c r="D1593" s="43"/>
      <c r="E1593" s="43"/>
      <c r="F1593" s="43"/>
      <c r="G1593" s="43"/>
    </row>
    <row r="1594" spans="1:7" s="51" customFormat="1" x14ac:dyDescent="0.35">
      <c r="A1594" s="43"/>
      <c r="B1594" s="43"/>
      <c r="C1594" s="43"/>
      <c r="D1594" s="43"/>
      <c r="E1594" s="43"/>
      <c r="F1594" s="43"/>
      <c r="G1594" s="43"/>
    </row>
    <row r="1595" spans="1:7" s="51" customFormat="1" x14ac:dyDescent="0.35">
      <c r="A1595" s="43"/>
      <c r="B1595" s="43"/>
      <c r="C1595" s="43"/>
      <c r="D1595" s="43"/>
      <c r="E1595" s="43"/>
      <c r="F1595" s="43"/>
      <c r="G1595" s="43"/>
    </row>
    <row r="1596" spans="1:7" s="51" customFormat="1" x14ac:dyDescent="0.35">
      <c r="A1596" s="43"/>
      <c r="B1596" s="43"/>
      <c r="C1596" s="43"/>
      <c r="D1596" s="43"/>
      <c r="E1596" s="43"/>
      <c r="F1596" s="43"/>
      <c r="G1596" s="43"/>
    </row>
    <row r="1597" spans="1:7" s="51" customFormat="1" x14ac:dyDescent="0.35">
      <c r="A1597" s="43"/>
      <c r="B1597" s="43"/>
      <c r="C1597" s="43"/>
      <c r="D1597" s="43"/>
      <c r="E1597" s="43"/>
      <c r="F1597" s="43"/>
      <c r="G1597" s="43"/>
    </row>
    <row r="1598" spans="1:7" s="51" customFormat="1" x14ac:dyDescent="0.35">
      <c r="A1598" s="43"/>
      <c r="B1598" s="43"/>
      <c r="C1598" s="43"/>
      <c r="D1598" s="43"/>
      <c r="E1598" s="43"/>
      <c r="F1598" s="43"/>
      <c r="G1598" s="43"/>
    </row>
    <row r="1599" spans="1:7" s="51" customFormat="1" x14ac:dyDescent="0.35">
      <c r="A1599" s="43"/>
      <c r="B1599" s="43"/>
      <c r="C1599" s="43"/>
      <c r="D1599" s="43"/>
      <c r="E1599" s="43"/>
      <c r="F1599" s="43"/>
      <c r="G1599" s="43"/>
    </row>
    <row r="1600" spans="1:7" s="51" customFormat="1" x14ac:dyDescent="0.35">
      <c r="A1600" s="43"/>
      <c r="B1600" s="43"/>
      <c r="C1600" s="43"/>
      <c r="D1600" s="43"/>
      <c r="E1600" s="43"/>
      <c r="F1600" s="43"/>
      <c r="G1600" s="43"/>
    </row>
    <row r="1601" spans="1:7" s="51" customFormat="1" x14ac:dyDescent="0.35">
      <c r="A1601" s="43"/>
      <c r="B1601" s="43"/>
      <c r="C1601" s="43"/>
      <c r="D1601" s="43"/>
      <c r="E1601" s="43"/>
      <c r="F1601" s="43"/>
      <c r="G1601" s="43"/>
    </row>
    <row r="1602" spans="1:7" s="51" customFormat="1" x14ac:dyDescent="0.35">
      <c r="A1602" s="43"/>
      <c r="B1602" s="43"/>
      <c r="C1602" s="43"/>
      <c r="D1602" s="43"/>
      <c r="E1602" s="43"/>
      <c r="F1602" s="43"/>
      <c r="G1602" s="43"/>
    </row>
    <row r="1603" spans="1:7" s="51" customFormat="1" x14ac:dyDescent="0.35">
      <c r="A1603" s="43"/>
      <c r="B1603" s="43"/>
      <c r="C1603" s="43"/>
      <c r="D1603" s="43"/>
      <c r="E1603" s="43"/>
      <c r="F1603" s="43"/>
      <c r="G1603" s="43"/>
    </row>
    <row r="1604" spans="1:7" s="51" customFormat="1" x14ac:dyDescent="0.35">
      <c r="A1604" s="43"/>
      <c r="B1604" s="43"/>
      <c r="C1604" s="43"/>
      <c r="D1604" s="43"/>
      <c r="E1604" s="43"/>
      <c r="F1604" s="43"/>
      <c r="G1604" s="43"/>
    </row>
    <row r="1605" spans="1:7" s="51" customFormat="1" x14ac:dyDescent="0.35">
      <c r="A1605" s="43"/>
      <c r="B1605" s="43"/>
      <c r="C1605" s="43"/>
      <c r="D1605" s="43"/>
      <c r="E1605" s="43"/>
      <c r="F1605" s="43"/>
      <c r="G1605" s="43"/>
    </row>
    <row r="1606" spans="1:7" s="51" customFormat="1" x14ac:dyDescent="0.35">
      <c r="A1606" s="43"/>
      <c r="B1606" s="43"/>
      <c r="C1606" s="43"/>
      <c r="D1606" s="43"/>
      <c r="E1606" s="43"/>
      <c r="F1606" s="43"/>
      <c r="G1606" s="43"/>
    </row>
    <row r="1607" spans="1:7" s="51" customFormat="1" x14ac:dyDescent="0.35">
      <c r="A1607" s="43"/>
      <c r="B1607" s="43"/>
      <c r="C1607" s="43"/>
      <c r="D1607" s="43"/>
      <c r="E1607" s="43"/>
      <c r="F1607" s="43"/>
      <c r="G1607" s="43"/>
    </row>
    <row r="1608" spans="1:7" s="51" customFormat="1" x14ac:dyDescent="0.35">
      <c r="A1608" s="43"/>
      <c r="B1608" s="43"/>
      <c r="C1608" s="43"/>
      <c r="D1608" s="43"/>
      <c r="E1608" s="43"/>
      <c r="F1608" s="43"/>
      <c r="G1608" s="43"/>
    </row>
    <row r="1609" spans="1:7" s="51" customFormat="1" x14ac:dyDescent="0.35">
      <c r="A1609" s="43"/>
      <c r="B1609" s="43"/>
      <c r="C1609" s="43"/>
      <c r="D1609" s="43"/>
      <c r="E1609" s="43"/>
      <c r="F1609" s="43"/>
      <c r="G1609" s="43"/>
    </row>
    <row r="1610" spans="1:7" s="51" customFormat="1" x14ac:dyDescent="0.35">
      <c r="A1610" s="43"/>
      <c r="B1610" s="43"/>
      <c r="C1610" s="43"/>
      <c r="D1610" s="43"/>
      <c r="E1610" s="43"/>
      <c r="F1610" s="43"/>
      <c r="G1610" s="43"/>
    </row>
    <row r="1611" spans="1:7" s="51" customFormat="1" x14ac:dyDescent="0.35">
      <c r="A1611" s="43"/>
      <c r="B1611" s="43"/>
      <c r="C1611" s="43"/>
      <c r="D1611" s="43"/>
      <c r="E1611" s="43"/>
      <c r="F1611" s="43"/>
      <c r="G1611" s="43"/>
    </row>
    <row r="1612" spans="1:7" s="51" customFormat="1" x14ac:dyDescent="0.35">
      <c r="A1612" s="43"/>
      <c r="B1612" s="43"/>
      <c r="C1612" s="43"/>
      <c r="D1612" s="43"/>
      <c r="E1612" s="43"/>
      <c r="F1612" s="43"/>
      <c r="G1612" s="43"/>
    </row>
    <row r="1613" spans="1:7" s="51" customFormat="1" x14ac:dyDescent="0.35">
      <c r="A1613" s="43"/>
      <c r="B1613" s="43"/>
      <c r="C1613" s="43"/>
      <c r="D1613" s="43"/>
      <c r="E1613" s="43"/>
      <c r="F1613" s="43"/>
      <c r="G1613" s="43"/>
    </row>
    <row r="1614" spans="1:7" s="51" customFormat="1" x14ac:dyDescent="0.35">
      <c r="A1614" s="43"/>
      <c r="B1614" s="43"/>
      <c r="C1614" s="43"/>
      <c r="D1614" s="43"/>
      <c r="E1614" s="43"/>
      <c r="F1614" s="43"/>
      <c r="G1614" s="43"/>
    </row>
    <row r="1615" spans="1:7" s="51" customFormat="1" x14ac:dyDescent="0.35">
      <c r="A1615" s="43"/>
      <c r="B1615" s="43"/>
      <c r="C1615" s="43"/>
      <c r="D1615" s="43"/>
      <c r="E1615" s="43"/>
      <c r="F1615" s="43"/>
      <c r="G1615" s="43"/>
    </row>
    <row r="1616" spans="1:7" s="51" customFormat="1" x14ac:dyDescent="0.35">
      <c r="A1616" s="43"/>
      <c r="B1616" s="43"/>
      <c r="C1616" s="43"/>
      <c r="D1616" s="43"/>
      <c r="E1616" s="43"/>
      <c r="F1616" s="43"/>
      <c r="G1616" s="43"/>
    </row>
    <row r="1617" spans="1:7" s="51" customFormat="1" x14ac:dyDescent="0.35">
      <c r="A1617" s="43"/>
      <c r="B1617" s="43"/>
      <c r="C1617" s="43"/>
      <c r="D1617" s="43"/>
      <c r="E1617" s="43"/>
      <c r="F1617" s="43"/>
      <c r="G1617" s="43"/>
    </row>
    <row r="1618" spans="1:7" s="51" customFormat="1" x14ac:dyDescent="0.35">
      <c r="A1618" s="43"/>
      <c r="B1618" s="43"/>
      <c r="C1618" s="43"/>
      <c r="D1618" s="43"/>
      <c r="E1618" s="43"/>
      <c r="F1618" s="43"/>
      <c r="G1618" s="43"/>
    </row>
    <row r="1619" spans="1:7" s="51" customFormat="1" x14ac:dyDescent="0.35">
      <c r="A1619" s="43"/>
      <c r="B1619" s="43"/>
      <c r="C1619" s="43"/>
      <c r="D1619" s="43"/>
      <c r="E1619" s="43"/>
      <c r="F1619" s="43"/>
      <c r="G1619" s="43"/>
    </row>
    <row r="1620" spans="1:7" s="51" customFormat="1" x14ac:dyDescent="0.35">
      <c r="A1620" s="43"/>
      <c r="B1620" s="43"/>
      <c r="C1620" s="43"/>
      <c r="D1620" s="43"/>
      <c r="E1620" s="43"/>
      <c r="F1620" s="43"/>
      <c r="G1620" s="43"/>
    </row>
    <row r="1621" spans="1:7" s="51" customFormat="1" x14ac:dyDescent="0.35">
      <c r="A1621" s="43"/>
      <c r="B1621" s="43"/>
      <c r="C1621" s="43"/>
      <c r="D1621" s="43"/>
      <c r="E1621" s="43"/>
      <c r="F1621" s="43"/>
      <c r="G1621" s="43"/>
    </row>
    <row r="1622" spans="1:7" s="51" customFormat="1" x14ac:dyDescent="0.35">
      <c r="A1622" s="43"/>
      <c r="B1622" s="43"/>
      <c r="C1622" s="43"/>
      <c r="D1622" s="43"/>
      <c r="E1622" s="43"/>
      <c r="F1622" s="43"/>
      <c r="G1622" s="43"/>
    </row>
    <row r="1623" spans="1:7" s="51" customFormat="1" x14ac:dyDescent="0.35">
      <c r="A1623" s="43"/>
      <c r="B1623" s="43"/>
      <c r="C1623" s="43"/>
      <c r="D1623" s="43"/>
      <c r="E1623" s="43"/>
      <c r="F1623" s="43"/>
      <c r="G1623" s="43"/>
    </row>
    <row r="1624" spans="1:7" s="51" customFormat="1" x14ac:dyDescent="0.35">
      <c r="A1624" s="43"/>
      <c r="B1624" s="43"/>
      <c r="C1624" s="43"/>
      <c r="D1624" s="43"/>
      <c r="E1624" s="43"/>
      <c r="F1624" s="43"/>
      <c r="G1624" s="43"/>
    </row>
    <row r="1625" spans="1:7" s="51" customFormat="1" x14ac:dyDescent="0.35">
      <c r="A1625" s="43"/>
      <c r="B1625" s="43"/>
      <c r="C1625" s="43"/>
      <c r="D1625" s="43"/>
      <c r="E1625" s="43"/>
      <c r="F1625" s="43"/>
      <c r="G1625" s="43"/>
    </row>
    <row r="1626" spans="1:7" s="51" customFormat="1" x14ac:dyDescent="0.35">
      <c r="A1626" s="43"/>
      <c r="B1626" s="43"/>
      <c r="C1626" s="43"/>
      <c r="D1626" s="43"/>
      <c r="E1626" s="43"/>
      <c r="F1626" s="43"/>
      <c r="G1626" s="43"/>
    </row>
    <row r="1627" spans="1:7" s="51" customFormat="1" x14ac:dyDescent="0.35">
      <c r="A1627" s="43"/>
      <c r="B1627" s="43"/>
      <c r="C1627" s="43"/>
      <c r="D1627" s="43"/>
      <c r="E1627" s="43"/>
      <c r="F1627" s="43"/>
      <c r="G1627" s="43"/>
    </row>
    <row r="1628" spans="1:7" s="51" customFormat="1" x14ac:dyDescent="0.35">
      <c r="A1628" s="43"/>
      <c r="B1628" s="43"/>
      <c r="C1628" s="43"/>
      <c r="D1628" s="43"/>
      <c r="E1628" s="43"/>
      <c r="F1628" s="43"/>
      <c r="G1628" s="43"/>
    </row>
    <row r="1629" spans="1:7" s="51" customFormat="1" x14ac:dyDescent="0.35">
      <c r="A1629" s="43"/>
      <c r="B1629" s="43"/>
      <c r="C1629" s="43"/>
      <c r="D1629" s="43"/>
      <c r="E1629" s="43"/>
      <c r="F1629" s="43"/>
      <c r="G1629" s="43"/>
    </row>
    <row r="1630" spans="1:7" s="51" customFormat="1" x14ac:dyDescent="0.35">
      <c r="A1630" s="43"/>
      <c r="B1630" s="43"/>
      <c r="C1630" s="43"/>
      <c r="D1630" s="43"/>
      <c r="E1630" s="43"/>
      <c r="F1630" s="43"/>
      <c r="G1630" s="43"/>
    </row>
    <row r="1631" spans="1:7" s="51" customFormat="1" x14ac:dyDescent="0.35">
      <c r="A1631" s="43"/>
      <c r="B1631" s="43"/>
      <c r="C1631" s="43"/>
      <c r="D1631" s="43"/>
      <c r="E1631" s="43"/>
      <c r="F1631" s="43"/>
      <c r="G1631" s="43"/>
    </row>
    <row r="1632" spans="1:7" s="51" customFormat="1" x14ac:dyDescent="0.35">
      <c r="A1632" s="43"/>
      <c r="B1632" s="43"/>
      <c r="C1632" s="43"/>
      <c r="D1632" s="43"/>
      <c r="E1632" s="43"/>
      <c r="F1632" s="43"/>
      <c r="G1632" s="43"/>
    </row>
    <row r="1633" spans="1:7" s="51" customFormat="1" x14ac:dyDescent="0.35">
      <c r="A1633" s="43"/>
      <c r="B1633" s="43"/>
      <c r="C1633" s="43"/>
      <c r="D1633" s="43"/>
      <c r="E1633" s="43"/>
      <c r="F1633" s="43"/>
      <c r="G1633" s="43"/>
    </row>
    <row r="1634" spans="1:7" s="51" customFormat="1" x14ac:dyDescent="0.35">
      <c r="A1634" s="43"/>
      <c r="B1634" s="43"/>
      <c r="C1634" s="43"/>
      <c r="D1634" s="43"/>
      <c r="E1634" s="43"/>
      <c r="F1634" s="43"/>
      <c r="G1634" s="43"/>
    </row>
    <row r="1635" spans="1:7" s="51" customFormat="1" x14ac:dyDescent="0.35">
      <c r="A1635" s="43"/>
      <c r="B1635" s="43"/>
      <c r="C1635" s="43"/>
      <c r="D1635" s="43"/>
      <c r="E1635" s="43"/>
      <c r="F1635" s="43"/>
      <c r="G1635" s="43"/>
    </row>
    <row r="1636" spans="1:7" s="51" customFormat="1" x14ac:dyDescent="0.35">
      <c r="A1636" s="43"/>
      <c r="B1636" s="43"/>
      <c r="C1636" s="43"/>
      <c r="D1636" s="43"/>
      <c r="E1636" s="43"/>
      <c r="F1636" s="43"/>
      <c r="G1636" s="43"/>
    </row>
    <row r="1637" spans="1:7" s="51" customFormat="1" x14ac:dyDescent="0.35">
      <c r="A1637" s="43"/>
      <c r="B1637" s="43"/>
      <c r="C1637" s="43"/>
      <c r="D1637" s="43"/>
      <c r="E1637" s="43"/>
      <c r="F1637" s="43"/>
      <c r="G1637" s="43"/>
    </row>
    <row r="1638" spans="1:7" s="51" customFormat="1" x14ac:dyDescent="0.35">
      <c r="A1638" s="43"/>
      <c r="B1638" s="43"/>
      <c r="C1638" s="43"/>
      <c r="D1638" s="43"/>
      <c r="E1638" s="43"/>
      <c r="F1638" s="43"/>
      <c r="G1638" s="43"/>
    </row>
    <row r="1639" spans="1:7" s="51" customFormat="1" x14ac:dyDescent="0.35">
      <c r="A1639" s="43"/>
      <c r="B1639" s="43"/>
      <c r="C1639" s="43"/>
      <c r="D1639" s="43"/>
      <c r="E1639" s="43"/>
      <c r="F1639" s="43"/>
      <c r="G1639" s="43"/>
    </row>
    <row r="1640" spans="1:7" s="51" customFormat="1" x14ac:dyDescent="0.35">
      <c r="A1640" s="43"/>
      <c r="B1640" s="43"/>
      <c r="C1640" s="43"/>
      <c r="D1640" s="43"/>
      <c r="E1640" s="43"/>
      <c r="F1640" s="43"/>
      <c r="G1640" s="43"/>
    </row>
    <row r="1641" spans="1:7" s="51" customFormat="1" x14ac:dyDescent="0.35">
      <c r="A1641" s="43"/>
      <c r="B1641" s="43"/>
      <c r="C1641" s="43"/>
      <c r="D1641" s="43"/>
      <c r="E1641" s="43"/>
      <c r="F1641" s="43"/>
      <c r="G1641" s="43"/>
    </row>
    <row r="1642" spans="1:7" s="51" customFormat="1" x14ac:dyDescent="0.35">
      <c r="A1642" s="43"/>
      <c r="B1642" s="43"/>
      <c r="C1642" s="43"/>
      <c r="D1642" s="43"/>
      <c r="E1642" s="43"/>
      <c r="F1642" s="43"/>
      <c r="G1642" s="43"/>
    </row>
    <row r="1643" spans="1:7" s="51" customFormat="1" x14ac:dyDescent="0.35">
      <c r="A1643" s="43"/>
      <c r="B1643" s="43"/>
      <c r="C1643" s="43"/>
      <c r="D1643" s="43"/>
      <c r="E1643" s="43"/>
      <c r="F1643" s="43"/>
      <c r="G1643" s="43"/>
    </row>
    <row r="1644" spans="1:7" s="51" customFormat="1" x14ac:dyDescent="0.35">
      <c r="A1644" s="43"/>
      <c r="B1644" s="43"/>
      <c r="C1644" s="43"/>
      <c r="D1644" s="43"/>
      <c r="E1644" s="43"/>
      <c r="F1644" s="43"/>
      <c r="G1644" s="43"/>
    </row>
    <row r="1645" spans="1:7" s="51" customFormat="1" x14ac:dyDescent="0.35">
      <c r="A1645" s="43"/>
      <c r="B1645" s="43"/>
      <c r="C1645" s="43"/>
      <c r="D1645" s="43"/>
      <c r="E1645" s="43"/>
      <c r="F1645" s="43"/>
      <c r="G1645" s="43"/>
    </row>
    <row r="1646" spans="1:7" s="51" customFormat="1" x14ac:dyDescent="0.35">
      <c r="A1646" s="43"/>
      <c r="B1646" s="43"/>
      <c r="C1646" s="43"/>
      <c r="D1646" s="43"/>
      <c r="E1646" s="43"/>
      <c r="F1646" s="43"/>
      <c r="G1646" s="43"/>
    </row>
    <row r="1647" spans="1:7" s="51" customFormat="1" x14ac:dyDescent="0.35">
      <c r="A1647" s="43"/>
      <c r="B1647" s="43"/>
      <c r="C1647" s="43"/>
      <c r="D1647" s="43"/>
      <c r="E1647" s="43"/>
      <c r="F1647" s="43"/>
      <c r="G1647" s="43"/>
    </row>
    <row r="1648" spans="1:7" s="51" customFormat="1" x14ac:dyDescent="0.35">
      <c r="A1648" s="43"/>
      <c r="B1648" s="43"/>
      <c r="C1648" s="43"/>
      <c r="D1648" s="43"/>
      <c r="E1648" s="43"/>
      <c r="F1648" s="43"/>
      <c r="G1648" s="43"/>
    </row>
    <row r="1649" spans="1:7" s="51" customFormat="1" x14ac:dyDescent="0.35">
      <c r="A1649" s="43"/>
      <c r="B1649" s="43"/>
      <c r="C1649" s="43"/>
      <c r="D1649" s="43"/>
      <c r="E1649" s="43"/>
      <c r="F1649" s="43"/>
      <c r="G1649" s="43"/>
    </row>
    <row r="1650" spans="1:7" s="51" customFormat="1" x14ac:dyDescent="0.35">
      <c r="A1650" s="43"/>
      <c r="B1650" s="43"/>
      <c r="C1650" s="43"/>
      <c r="D1650" s="43"/>
      <c r="E1650" s="43"/>
      <c r="F1650" s="43"/>
      <c r="G1650" s="43"/>
    </row>
    <row r="1651" spans="1:7" s="51" customFormat="1" x14ac:dyDescent="0.35">
      <c r="A1651" s="43"/>
      <c r="B1651" s="43"/>
      <c r="C1651" s="43"/>
      <c r="D1651" s="43"/>
      <c r="E1651" s="43"/>
      <c r="F1651" s="43"/>
      <c r="G1651" s="43"/>
    </row>
    <row r="1652" spans="1:7" s="51" customFormat="1" x14ac:dyDescent="0.35">
      <c r="A1652" s="43"/>
      <c r="B1652" s="43"/>
      <c r="C1652" s="43"/>
      <c r="D1652" s="43"/>
      <c r="E1652" s="43"/>
      <c r="F1652" s="43"/>
      <c r="G1652" s="43"/>
    </row>
    <row r="1653" spans="1:7" s="51" customFormat="1" x14ac:dyDescent="0.35">
      <c r="A1653" s="43"/>
      <c r="B1653" s="43"/>
      <c r="C1653" s="43"/>
      <c r="D1653" s="43"/>
      <c r="E1653" s="43"/>
      <c r="F1653" s="43"/>
      <c r="G1653" s="43"/>
    </row>
    <row r="1654" spans="1:7" s="51" customFormat="1" x14ac:dyDescent="0.35">
      <c r="A1654" s="43"/>
      <c r="B1654" s="43"/>
      <c r="C1654" s="43"/>
      <c r="D1654" s="43"/>
      <c r="E1654" s="43"/>
      <c r="F1654" s="43"/>
      <c r="G1654" s="43"/>
    </row>
    <row r="1655" spans="1:7" s="51" customFormat="1" x14ac:dyDescent="0.35">
      <c r="A1655" s="43"/>
      <c r="B1655" s="43"/>
      <c r="C1655" s="43"/>
      <c r="D1655" s="43"/>
      <c r="E1655" s="43"/>
      <c r="F1655" s="43"/>
      <c r="G1655" s="43"/>
    </row>
    <row r="1656" spans="1:7" s="51" customFormat="1" x14ac:dyDescent="0.35">
      <c r="A1656" s="43"/>
      <c r="B1656" s="43"/>
      <c r="C1656" s="43"/>
      <c r="D1656" s="43"/>
      <c r="E1656" s="43"/>
      <c r="F1656" s="43"/>
      <c r="G1656" s="43"/>
    </row>
    <row r="1657" spans="1:7" s="51" customFormat="1" x14ac:dyDescent="0.35">
      <c r="A1657" s="43"/>
      <c r="B1657" s="43"/>
      <c r="C1657" s="43"/>
      <c r="D1657" s="43"/>
      <c r="E1657" s="43"/>
      <c r="F1657" s="43"/>
      <c r="G1657" s="43"/>
    </row>
    <row r="1658" spans="1:7" s="51" customFormat="1" x14ac:dyDescent="0.35">
      <c r="A1658" s="43"/>
      <c r="B1658" s="43"/>
      <c r="C1658" s="43"/>
      <c r="D1658" s="43"/>
      <c r="E1658" s="43"/>
      <c r="F1658" s="43"/>
      <c r="G1658" s="43"/>
    </row>
    <row r="1659" spans="1:7" s="51" customFormat="1" x14ac:dyDescent="0.35">
      <c r="A1659" s="43"/>
      <c r="B1659" s="43"/>
      <c r="C1659" s="43"/>
      <c r="D1659" s="43"/>
      <c r="E1659" s="43"/>
      <c r="F1659" s="43"/>
      <c r="G1659" s="43"/>
    </row>
    <row r="1660" spans="1:7" s="51" customFormat="1" x14ac:dyDescent="0.35">
      <c r="A1660" s="43"/>
      <c r="B1660" s="43"/>
      <c r="C1660" s="43"/>
      <c r="D1660" s="43"/>
      <c r="E1660" s="43"/>
      <c r="F1660" s="43"/>
      <c r="G1660" s="43"/>
    </row>
    <row r="1661" spans="1:7" s="51" customFormat="1" x14ac:dyDescent="0.35">
      <c r="A1661" s="43"/>
      <c r="B1661" s="43"/>
      <c r="C1661" s="43"/>
      <c r="D1661" s="43"/>
      <c r="E1661" s="43"/>
      <c r="F1661" s="43"/>
      <c r="G1661" s="43"/>
    </row>
    <row r="1662" spans="1:7" s="51" customFormat="1" x14ac:dyDescent="0.35">
      <c r="A1662" s="43"/>
      <c r="B1662" s="43"/>
      <c r="C1662" s="43"/>
      <c r="D1662" s="43"/>
      <c r="E1662" s="43"/>
      <c r="F1662" s="43"/>
      <c r="G1662" s="43"/>
    </row>
    <row r="1663" spans="1:7" s="51" customFormat="1" x14ac:dyDescent="0.35">
      <c r="A1663" s="43"/>
      <c r="B1663" s="43"/>
      <c r="C1663" s="43"/>
      <c r="D1663" s="43"/>
      <c r="E1663" s="43"/>
      <c r="F1663" s="43"/>
      <c r="G1663" s="43"/>
    </row>
    <row r="1664" spans="1:7" s="51" customFormat="1" x14ac:dyDescent="0.35">
      <c r="A1664" s="43"/>
      <c r="B1664" s="43"/>
      <c r="C1664" s="43"/>
      <c r="D1664" s="43"/>
      <c r="E1664" s="43"/>
      <c r="F1664" s="43"/>
      <c r="G1664" s="43"/>
    </row>
    <row r="1665" spans="1:7" s="51" customFormat="1" x14ac:dyDescent="0.35">
      <c r="A1665" s="43"/>
      <c r="B1665" s="43"/>
      <c r="C1665" s="43"/>
      <c r="D1665" s="43"/>
      <c r="E1665" s="43"/>
      <c r="F1665" s="43"/>
      <c r="G1665" s="43"/>
    </row>
    <row r="1666" spans="1:7" s="51" customFormat="1" x14ac:dyDescent="0.35">
      <c r="A1666" s="43"/>
      <c r="B1666" s="43"/>
      <c r="C1666" s="43"/>
      <c r="D1666" s="43"/>
      <c r="E1666" s="43"/>
      <c r="F1666" s="43"/>
      <c r="G1666" s="43"/>
    </row>
    <row r="1667" spans="1:7" s="51" customFormat="1" x14ac:dyDescent="0.35">
      <c r="A1667" s="43"/>
      <c r="B1667" s="43"/>
      <c r="C1667" s="43"/>
      <c r="D1667" s="43"/>
      <c r="E1667" s="43"/>
      <c r="F1667" s="43"/>
      <c r="G1667" s="43"/>
    </row>
    <row r="1668" spans="1:7" s="51" customFormat="1" x14ac:dyDescent="0.35">
      <c r="A1668" s="43"/>
      <c r="B1668" s="43"/>
      <c r="C1668" s="43"/>
      <c r="D1668" s="43"/>
      <c r="E1668" s="43"/>
      <c r="F1668" s="43"/>
      <c r="G1668" s="43"/>
    </row>
    <row r="1669" spans="1:7" s="51" customFormat="1" x14ac:dyDescent="0.35">
      <c r="A1669" s="43"/>
      <c r="B1669" s="43"/>
      <c r="C1669" s="43"/>
      <c r="D1669" s="43"/>
      <c r="E1669" s="43"/>
      <c r="F1669" s="43"/>
      <c r="G1669" s="43"/>
    </row>
    <row r="1670" spans="1:7" s="51" customFormat="1" x14ac:dyDescent="0.35">
      <c r="A1670" s="43"/>
      <c r="B1670" s="43"/>
      <c r="C1670" s="43"/>
      <c r="D1670" s="43"/>
      <c r="E1670" s="43"/>
      <c r="F1670" s="43"/>
      <c r="G1670" s="43"/>
    </row>
    <row r="1671" spans="1:7" s="51" customFormat="1" x14ac:dyDescent="0.35">
      <c r="A1671" s="43"/>
      <c r="B1671" s="43"/>
      <c r="C1671" s="43"/>
      <c r="D1671" s="43"/>
      <c r="E1671" s="43"/>
      <c r="F1671" s="43"/>
      <c r="G1671" s="43"/>
    </row>
    <row r="1672" spans="1:7" s="51" customFormat="1" x14ac:dyDescent="0.35">
      <c r="A1672" s="43"/>
      <c r="B1672" s="43"/>
      <c r="C1672" s="43"/>
      <c r="D1672" s="43"/>
      <c r="E1672" s="43"/>
      <c r="F1672" s="43"/>
      <c r="G1672" s="43"/>
    </row>
    <row r="1673" spans="1:7" s="51" customFormat="1" x14ac:dyDescent="0.35">
      <c r="A1673" s="43"/>
      <c r="B1673" s="43"/>
      <c r="C1673" s="43"/>
      <c r="D1673" s="43"/>
      <c r="E1673" s="43"/>
      <c r="F1673" s="43"/>
      <c r="G1673" s="43"/>
    </row>
    <row r="1674" spans="1:7" s="51" customFormat="1" x14ac:dyDescent="0.35">
      <c r="A1674" s="43"/>
      <c r="B1674" s="43"/>
      <c r="C1674" s="43"/>
      <c r="D1674" s="43"/>
      <c r="E1674" s="43"/>
      <c r="F1674" s="43"/>
      <c r="G1674" s="43"/>
    </row>
    <row r="1675" spans="1:7" s="51" customFormat="1" x14ac:dyDescent="0.35">
      <c r="A1675" s="43"/>
      <c r="B1675" s="43"/>
      <c r="C1675" s="43"/>
      <c r="D1675" s="43"/>
      <c r="E1675" s="43"/>
      <c r="F1675" s="43"/>
      <c r="G1675" s="43"/>
    </row>
    <row r="1676" spans="1:7" s="51" customFormat="1" x14ac:dyDescent="0.35">
      <c r="A1676" s="43"/>
      <c r="B1676" s="43"/>
      <c r="C1676" s="43"/>
      <c r="D1676" s="43"/>
      <c r="E1676" s="43"/>
      <c r="F1676" s="43"/>
      <c r="G1676" s="43"/>
    </row>
    <row r="1677" spans="1:7" s="51" customFormat="1" x14ac:dyDescent="0.35">
      <c r="A1677" s="43"/>
      <c r="B1677" s="43"/>
      <c r="C1677" s="43"/>
      <c r="D1677" s="43"/>
      <c r="E1677" s="43"/>
      <c r="F1677" s="43"/>
      <c r="G1677" s="43"/>
    </row>
    <row r="1678" spans="1:7" s="51" customFormat="1" x14ac:dyDescent="0.35">
      <c r="A1678" s="43"/>
      <c r="B1678" s="43"/>
      <c r="C1678" s="43"/>
      <c r="D1678" s="43"/>
      <c r="E1678" s="43"/>
      <c r="F1678" s="43"/>
      <c r="G1678" s="43"/>
    </row>
    <row r="1679" spans="1:7" s="51" customFormat="1" x14ac:dyDescent="0.35">
      <c r="A1679" s="43"/>
      <c r="B1679" s="43"/>
      <c r="C1679" s="43"/>
      <c r="D1679" s="43"/>
      <c r="E1679" s="43"/>
      <c r="F1679" s="43"/>
      <c r="G1679" s="43"/>
    </row>
    <row r="1680" spans="1:7" s="51" customFormat="1" x14ac:dyDescent="0.35">
      <c r="A1680" s="43"/>
      <c r="B1680" s="43"/>
      <c r="C1680" s="43"/>
      <c r="D1680" s="43"/>
      <c r="E1680" s="43"/>
      <c r="F1680" s="43"/>
      <c r="G1680" s="43"/>
    </row>
    <row r="1681" spans="1:7" s="51" customFormat="1" x14ac:dyDescent="0.35">
      <c r="A1681" s="43"/>
      <c r="B1681" s="43"/>
      <c r="C1681" s="43"/>
      <c r="D1681" s="43"/>
      <c r="E1681" s="43"/>
      <c r="F1681" s="43"/>
      <c r="G1681" s="43"/>
    </row>
    <row r="1682" spans="1:7" s="51" customFormat="1" x14ac:dyDescent="0.35">
      <c r="A1682" s="43"/>
      <c r="B1682" s="43"/>
      <c r="C1682" s="43"/>
      <c r="D1682" s="43"/>
      <c r="E1682" s="43"/>
      <c r="F1682" s="43"/>
      <c r="G1682" s="43"/>
    </row>
    <row r="1683" spans="1:7" s="51" customFormat="1" x14ac:dyDescent="0.35">
      <c r="A1683" s="43"/>
      <c r="B1683" s="43"/>
      <c r="C1683" s="43"/>
      <c r="D1683" s="43"/>
      <c r="E1683" s="43"/>
      <c r="F1683" s="43"/>
      <c r="G1683" s="43"/>
    </row>
    <row r="1684" spans="1:7" s="51" customFormat="1" x14ac:dyDescent="0.35">
      <c r="A1684" s="43"/>
      <c r="B1684" s="43"/>
      <c r="C1684" s="43"/>
      <c r="D1684" s="43"/>
      <c r="E1684" s="43"/>
      <c r="F1684" s="43"/>
      <c r="G1684" s="43"/>
    </row>
    <row r="1685" spans="1:7" s="51" customFormat="1" x14ac:dyDescent="0.35">
      <c r="A1685" s="43"/>
      <c r="B1685" s="43"/>
      <c r="C1685" s="43"/>
      <c r="D1685" s="43"/>
      <c r="E1685" s="43"/>
      <c r="F1685" s="43"/>
      <c r="G1685" s="43"/>
    </row>
    <row r="1686" spans="1:7" s="51" customFormat="1" x14ac:dyDescent="0.35">
      <c r="A1686" s="43"/>
      <c r="B1686" s="43"/>
      <c r="C1686" s="43"/>
      <c r="D1686" s="43"/>
      <c r="E1686" s="43"/>
      <c r="F1686" s="43"/>
      <c r="G1686" s="43"/>
    </row>
    <row r="1687" spans="1:7" s="51" customFormat="1" x14ac:dyDescent="0.35">
      <c r="A1687" s="43"/>
      <c r="B1687" s="43"/>
      <c r="C1687" s="43"/>
      <c r="D1687" s="43"/>
      <c r="E1687" s="43"/>
      <c r="F1687" s="43"/>
      <c r="G1687" s="43"/>
    </row>
    <row r="1688" spans="1:7" s="51" customFormat="1" x14ac:dyDescent="0.35">
      <c r="A1688" s="43"/>
      <c r="B1688" s="43"/>
      <c r="C1688" s="43"/>
      <c r="D1688" s="43"/>
      <c r="E1688" s="43"/>
      <c r="F1688" s="43"/>
      <c r="G1688" s="43"/>
    </row>
    <row r="1689" spans="1:7" s="51" customFormat="1" x14ac:dyDescent="0.35">
      <c r="A1689" s="43"/>
      <c r="B1689" s="43"/>
      <c r="C1689" s="43"/>
      <c r="D1689" s="43"/>
      <c r="E1689" s="43"/>
      <c r="F1689" s="43"/>
      <c r="G1689" s="43"/>
    </row>
    <row r="1690" spans="1:7" s="51" customFormat="1" x14ac:dyDescent="0.35">
      <c r="A1690" s="43"/>
      <c r="B1690" s="43"/>
      <c r="C1690" s="43"/>
      <c r="D1690" s="43"/>
      <c r="E1690" s="43"/>
      <c r="F1690" s="43"/>
      <c r="G1690" s="43"/>
    </row>
    <row r="1691" spans="1:7" s="51" customFormat="1" x14ac:dyDescent="0.35">
      <c r="A1691" s="43"/>
      <c r="B1691" s="43"/>
      <c r="C1691" s="43"/>
      <c r="D1691" s="43"/>
      <c r="E1691" s="43"/>
      <c r="F1691" s="43"/>
      <c r="G1691" s="43"/>
    </row>
    <row r="1692" spans="1:7" s="51" customFormat="1" x14ac:dyDescent="0.35">
      <c r="A1692" s="43"/>
      <c r="B1692" s="43"/>
      <c r="C1692" s="43"/>
      <c r="D1692" s="43"/>
      <c r="E1692" s="43"/>
      <c r="F1692" s="43"/>
      <c r="G1692" s="43"/>
    </row>
    <row r="1693" spans="1:7" s="51" customFormat="1" x14ac:dyDescent="0.35">
      <c r="A1693" s="43"/>
      <c r="B1693" s="43"/>
      <c r="C1693" s="43"/>
      <c r="D1693" s="43"/>
      <c r="E1693" s="43"/>
      <c r="F1693" s="43"/>
      <c r="G1693" s="43"/>
    </row>
    <row r="1694" spans="1:7" s="51" customFormat="1" x14ac:dyDescent="0.35">
      <c r="A1694" s="43"/>
      <c r="B1694" s="43"/>
      <c r="C1694" s="43"/>
      <c r="D1694" s="43"/>
      <c r="E1694" s="43"/>
      <c r="F1694" s="43"/>
      <c r="G1694" s="43"/>
    </row>
    <row r="1695" spans="1:7" s="51" customFormat="1" x14ac:dyDescent="0.35">
      <c r="A1695" s="43"/>
      <c r="B1695" s="43"/>
      <c r="C1695" s="43"/>
      <c r="D1695" s="43"/>
      <c r="E1695" s="43"/>
      <c r="F1695" s="43"/>
      <c r="G1695" s="43"/>
    </row>
    <row r="1696" spans="1:7" s="51" customFormat="1" x14ac:dyDescent="0.35">
      <c r="A1696" s="43"/>
      <c r="B1696" s="43"/>
      <c r="C1696" s="43"/>
      <c r="D1696" s="43"/>
      <c r="E1696" s="43"/>
      <c r="F1696" s="43"/>
      <c r="G1696" s="43"/>
    </row>
    <row r="1697" spans="1:7" s="51" customFormat="1" x14ac:dyDescent="0.35">
      <c r="A1697" s="43"/>
      <c r="B1697" s="43"/>
      <c r="C1697" s="43"/>
      <c r="D1697" s="43"/>
      <c r="E1697" s="43"/>
      <c r="F1697" s="43"/>
      <c r="G1697" s="43"/>
    </row>
    <row r="1698" spans="1:7" s="51" customFormat="1" x14ac:dyDescent="0.35">
      <c r="A1698" s="43"/>
      <c r="B1698" s="43"/>
      <c r="C1698" s="43"/>
      <c r="D1698" s="43"/>
      <c r="E1698" s="43"/>
      <c r="F1698" s="43"/>
      <c r="G1698" s="43"/>
    </row>
    <row r="1699" spans="1:7" s="51" customFormat="1" x14ac:dyDescent="0.35">
      <c r="A1699" s="43"/>
      <c r="B1699" s="43"/>
      <c r="C1699" s="43"/>
      <c r="D1699" s="43"/>
      <c r="E1699" s="43"/>
      <c r="F1699" s="43"/>
      <c r="G1699" s="43"/>
    </row>
    <row r="1700" spans="1:7" s="51" customFormat="1" x14ac:dyDescent="0.35">
      <c r="A1700" s="43"/>
      <c r="B1700" s="43"/>
      <c r="C1700" s="43"/>
      <c r="D1700" s="43"/>
      <c r="E1700" s="43"/>
      <c r="F1700" s="43"/>
      <c r="G1700" s="43"/>
    </row>
    <row r="1701" spans="1:7" s="51" customFormat="1" x14ac:dyDescent="0.35">
      <c r="A1701" s="43"/>
      <c r="B1701" s="43"/>
      <c r="C1701" s="43"/>
      <c r="D1701" s="43"/>
      <c r="E1701" s="43"/>
      <c r="F1701" s="43"/>
      <c r="G1701" s="43"/>
    </row>
    <row r="1702" spans="1:7" s="51" customFormat="1" x14ac:dyDescent="0.35">
      <c r="A1702" s="43"/>
      <c r="B1702" s="43"/>
      <c r="C1702" s="43"/>
      <c r="D1702" s="43"/>
      <c r="E1702" s="43"/>
      <c r="F1702" s="43"/>
      <c r="G1702" s="43"/>
    </row>
    <row r="1703" spans="1:7" s="51" customFormat="1" x14ac:dyDescent="0.35">
      <c r="A1703" s="43"/>
      <c r="B1703" s="43"/>
      <c r="C1703" s="43"/>
      <c r="D1703" s="43"/>
      <c r="E1703" s="43"/>
      <c r="F1703" s="43"/>
      <c r="G1703" s="43"/>
    </row>
    <row r="1704" spans="1:7" s="51" customFormat="1" x14ac:dyDescent="0.35">
      <c r="A1704" s="43"/>
      <c r="B1704" s="43"/>
      <c r="C1704" s="43"/>
      <c r="D1704" s="43"/>
      <c r="E1704" s="43"/>
      <c r="F1704" s="43"/>
      <c r="G1704" s="43"/>
    </row>
    <row r="1705" spans="1:7" s="51" customFormat="1" x14ac:dyDescent="0.35">
      <c r="A1705" s="43"/>
      <c r="B1705" s="43"/>
      <c r="C1705" s="43"/>
      <c r="D1705" s="43"/>
      <c r="E1705" s="43"/>
      <c r="F1705" s="43"/>
      <c r="G1705" s="43"/>
    </row>
    <row r="1706" spans="1:7" s="51" customFormat="1" x14ac:dyDescent="0.35">
      <c r="A1706" s="43"/>
      <c r="B1706" s="43"/>
      <c r="C1706" s="43"/>
      <c r="D1706" s="43"/>
      <c r="E1706" s="43"/>
      <c r="F1706" s="43"/>
      <c r="G1706" s="43"/>
    </row>
    <row r="1707" spans="1:7" s="51" customFormat="1" x14ac:dyDescent="0.35">
      <c r="A1707" s="43"/>
      <c r="B1707" s="43"/>
      <c r="C1707" s="43"/>
      <c r="D1707" s="43"/>
      <c r="E1707" s="43"/>
      <c r="F1707" s="43"/>
      <c r="G1707" s="43"/>
    </row>
    <row r="1708" spans="1:7" s="51" customFormat="1" x14ac:dyDescent="0.35">
      <c r="A1708" s="43"/>
      <c r="B1708" s="43"/>
      <c r="C1708" s="43"/>
      <c r="D1708" s="43"/>
      <c r="E1708" s="43"/>
      <c r="F1708" s="43"/>
      <c r="G1708" s="43"/>
    </row>
    <row r="1709" spans="1:7" s="51" customFormat="1" x14ac:dyDescent="0.35">
      <c r="A1709" s="43"/>
      <c r="B1709" s="43"/>
      <c r="C1709" s="43"/>
      <c r="D1709" s="43"/>
      <c r="E1709" s="43"/>
      <c r="F1709" s="43"/>
      <c r="G1709" s="43"/>
    </row>
    <row r="1710" spans="1:7" s="51" customFormat="1" x14ac:dyDescent="0.35">
      <c r="A1710" s="43"/>
      <c r="B1710" s="43"/>
      <c r="C1710" s="43"/>
      <c r="D1710" s="43"/>
      <c r="E1710" s="43"/>
      <c r="F1710" s="43"/>
      <c r="G1710" s="43"/>
    </row>
    <row r="1711" spans="1:7" s="51" customFormat="1" x14ac:dyDescent="0.35">
      <c r="A1711" s="43"/>
      <c r="B1711" s="43"/>
      <c r="C1711" s="43"/>
      <c r="D1711" s="43"/>
      <c r="E1711" s="43"/>
      <c r="F1711" s="43"/>
      <c r="G1711" s="43"/>
    </row>
    <row r="1712" spans="1:7" s="51" customFormat="1" x14ac:dyDescent="0.35">
      <c r="A1712" s="43"/>
      <c r="B1712" s="43"/>
      <c r="C1712" s="43"/>
      <c r="D1712" s="43"/>
      <c r="E1712" s="43"/>
      <c r="F1712" s="43"/>
      <c r="G1712" s="43"/>
    </row>
    <row r="1713" spans="1:7" s="51" customFormat="1" x14ac:dyDescent="0.35">
      <c r="A1713" s="43"/>
      <c r="B1713" s="43"/>
      <c r="C1713" s="43"/>
      <c r="D1713" s="43"/>
      <c r="E1713" s="43"/>
      <c r="F1713" s="43"/>
      <c r="G1713" s="43"/>
    </row>
    <row r="1714" spans="1:7" s="51" customFormat="1" x14ac:dyDescent="0.35">
      <c r="A1714" s="43"/>
      <c r="B1714" s="43"/>
      <c r="C1714" s="43"/>
      <c r="D1714" s="43"/>
      <c r="E1714" s="43"/>
      <c r="F1714" s="43"/>
      <c r="G1714" s="43"/>
    </row>
    <row r="1715" spans="1:7" s="51" customFormat="1" x14ac:dyDescent="0.35">
      <c r="A1715" s="43"/>
      <c r="B1715" s="43"/>
      <c r="C1715" s="43"/>
      <c r="D1715" s="43"/>
      <c r="E1715" s="43"/>
      <c r="F1715" s="43"/>
      <c r="G1715" s="43"/>
    </row>
    <row r="1716" spans="1:7" s="51" customFormat="1" x14ac:dyDescent="0.35">
      <c r="A1716" s="43"/>
      <c r="B1716" s="43"/>
      <c r="C1716" s="43"/>
      <c r="D1716" s="43"/>
      <c r="E1716" s="43"/>
      <c r="F1716" s="43"/>
      <c r="G1716" s="43"/>
    </row>
    <row r="1717" spans="1:7" s="51" customFormat="1" x14ac:dyDescent="0.35">
      <c r="A1717" s="43"/>
      <c r="B1717" s="43"/>
      <c r="C1717" s="43"/>
      <c r="D1717" s="43"/>
      <c r="E1717" s="43"/>
      <c r="F1717" s="43"/>
      <c r="G1717" s="43"/>
    </row>
    <row r="1718" spans="1:7" s="51" customFormat="1" x14ac:dyDescent="0.35">
      <c r="A1718" s="43"/>
      <c r="B1718" s="43"/>
      <c r="C1718" s="43"/>
      <c r="D1718" s="43"/>
      <c r="E1718" s="43"/>
      <c r="F1718" s="43"/>
      <c r="G1718" s="43"/>
    </row>
    <row r="1719" spans="1:7" s="51" customFormat="1" x14ac:dyDescent="0.35">
      <c r="A1719" s="43"/>
      <c r="B1719" s="43"/>
      <c r="C1719" s="43"/>
      <c r="D1719" s="43"/>
      <c r="E1719" s="43"/>
      <c r="F1719" s="43"/>
      <c r="G1719" s="43"/>
    </row>
    <row r="1720" spans="1:7" s="51" customFormat="1" x14ac:dyDescent="0.35">
      <c r="A1720" s="43"/>
      <c r="B1720" s="43"/>
      <c r="C1720" s="43"/>
      <c r="D1720" s="43"/>
      <c r="E1720" s="43"/>
      <c r="F1720" s="43"/>
      <c r="G1720" s="43"/>
    </row>
    <row r="1721" spans="1:7" s="51" customFormat="1" x14ac:dyDescent="0.35">
      <c r="A1721" s="43"/>
      <c r="B1721" s="43"/>
      <c r="C1721" s="43"/>
      <c r="D1721" s="43"/>
      <c r="E1721" s="43"/>
      <c r="F1721" s="43"/>
      <c r="G1721" s="43"/>
    </row>
    <row r="1722" spans="1:7" s="51" customFormat="1" x14ac:dyDescent="0.35">
      <c r="A1722" s="43"/>
      <c r="B1722" s="43"/>
      <c r="C1722" s="43"/>
      <c r="D1722" s="43"/>
      <c r="E1722" s="43"/>
      <c r="F1722" s="43"/>
      <c r="G1722" s="43"/>
    </row>
    <row r="1723" spans="1:7" s="51" customFormat="1" x14ac:dyDescent="0.35">
      <c r="A1723" s="43"/>
      <c r="B1723" s="43"/>
      <c r="C1723" s="43"/>
      <c r="D1723" s="43"/>
      <c r="E1723" s="43"/>
      <c r="F1723" s="43"/>
      <c r="G1723" s="43"/>
    </row>
    <row r="1724" spans="1:7" s="51" customFormat="1" x14ac:dyDescent="0.35">
      <c r="A1724" s="43"/>
      <c r="B1724" s="43"/>
      <c r="C1724" s="43"/>
      <c r="D1724" s="43"/>
      <c r="E1724" s="43"/>
      <c r="F1724" s="43"/>
      <c r="G1724" s="43"/>
    </row>
    <row r="1725" spans="1:7" s="51" customFormat="1" x14ac:dyDescent="0.35">
      <c r="A1725" s="43"/>
      <c r="B1725" s="43"/>
      <c r="C1725" s="43"/>
      <c r="D1725" s="43"/>
      <c r="E1725" s="43"/>
      <c r="F1725" s="43"/>
      <c r="G1725" s="43"/>
    </row>
    <row r="1726" spans="1:7" s="51" customFormat="1" x14ac:dyDescent="0.35">
      <c r="A1726" s="43"/>
      <c r="B1726" s="43"/>
      <c r="C1726" s="43"/>
      <c r="D1726" s="43"/>
      <c r="E1726" s="43"/>
      <c r="F1726" s="43"/>
      <c r="G1726" s="43"/>
    </row>
    <row r="1727" spans="1:7" s="51" customFormat="1" x14ac:dyDescent="0.35">
      <c r="A1727" s="43"/>
      <c r="B1727" s="43"/>
      <c r="C1727" s="43"/>
      <c r="D1727" s="43"/>
      <c r="E1727" s="43"/>
      <c r="F1727" s="43"/>
      <c r="G1727" s="43"/>
    </row>
    <row r="1728" spans="1:7" s="51" customFormat="1" x14ac:dyDescent="0.35">
      <c r="A1728" s="43"/>
      <c r="B1728" s="43"/>
      <c r="C1728" s="43"/>
      <c r="D1728" s="43"/>
      <c r="E1728" s="43"/>
      <c r="F1728" s="43"/>
      <c r="G1728" s="43"/>
    </row>
    <row r="1729" spans="1:7" s="51" customFormat="1" x14ac:dyDescent="0.35">
      <c r="A1729" s="43"/>
      <c r="B1729" s="43"/>
      <c r="C1729" s="43"/>
      <c r="D1729" s="43"/>
      <c r="E1729" s="43"/>
      <c r="F1729" s="43"/>
      <c r="G1729" s="43"/>
    </row>
    <row r="1730" spans="1:7" s="51" customFormat="1" x14ac:dyDescent="0.35">
      <c r="A1730" s="43"/>
      <c r="B1730" s="43"/>
      <c r="C1730" s="43"/>
      <c r="D1730" s="43"/>
      <c r="E1730" s="43"/>
      <c r="F1730" s="43"/>
      <c r="G1730" s="43"/>
    </row>
    <row r="1731" spans="1:7" s="51" customFormat="1" x14ac:dyDescent="0.35">
      <c r="A1731" s="43"/>
      <c r="B1731" s="43"/>
      <c r="C1731" s="43"/>
      <c r="D1731" s="43"/>
      <c r="E1731" s="43"/>
      <c r="F1731" s="43"/>
      <c r="G1731" s="43"/>
    </row>
    <row r="1732" spans="1:7" s="51" customFormat="1" x14ac:dyDescent="0.35">
      <c r="A1732" s="43"/>
      <c r="B1732" s="43"/>
      <c r="C1732" s="43"/>
      <c r="D1732" s="43"/>
      <c r="E1732" s="43"/>
      <c r="F1732" s="43"/>
      <c r="G1732" s="43"/>
    </row>
    <row r="1733" spans="1:7" s="51" customFormat="1" x14ac:dyDescent="0.35">
      <c r="A1733" s="43"/>
      <c r="B1733" s="43"/>
      <c r="C1733" s="43"/>
      <c r="D1733" s="43"/>
      <c r="E1733" s="43"/>
      <c r="F1733" s="43"/>
      <c r="G1733" s="43"/>
    </row>
    <row r="1734" spans="1:7" s="51" customFormat="1" x14ac:dyDescent="0.35">
      <c r="A1734" s="43"/>
      <c r="B1734" s="43"/>
      <c r="C1734" s="43"/>
      <c r="D1734" s="43"/>
      <c r="E1734" s="43"/>
      <c r="F1734" s="43"/>
      <c r="G1734" s="43"/>
    </row>
    <row r="1735" spans="1:7" s="51" customFormat="1" x14ac:dyDescent="0.35">
      <c r="A1735" s="43"/>
      <c r="B1735" s="43"/>
      <c r="C1735" s="43"/>
      <c r="D1735" s="43"/>
      <c r="E1735" s="43"/>
      <c r="F1735" s="43"/>
      <c r="G1735" s="43"/>
    </row>
    <row r="1736" spans="1:7" s="51" customFormat="1" x14ac:dyDescent="0.35">
      <c r="A1736" s="43"/>
      <c r="B1736" s="43"/>
      <c r="C1736" s="43"/>
      <c r="D1736" s="43"/>
      <c r="E1736" s="43"/>
      <c r="F1736" s="43"/>
      <c r="G1736" s="43"/>
    </row>
    <row r="1737" spans="1:7" s="51" customFormat="1" x14ac:dyDescent="0.35">
      <c r="A1737" s="43"/>
      <c r="B1737" s="43"/>
      <c r="C1737" s="43"/>
      <c r="D1737" s="43"/>
      <c r="E1737" s="43"/>
      <c r="F1737" s="43"/>
      <c r="G1737" s="43"/>
    </row>
    <row r="1738" spans="1:7" s="51" customFormat="1" x14ac:dyDescent="0.35">
      <c r="A1738" s="43"/>
      <c r="B1738" s="43"/>
      <c r="C1738" s="43"/>
      <c r="D1738" s="43"/>
      <c r="E1738" s="43"/>
      <c r="F1738" s="43"/>
      <c r="G1738" s="43"/>
    </row>
    <row r="1739" spans="1:7" s="51" customFormat="1" x14ac:dyDescent="0.35">
      <c r="A1739" s="43"/>
      <c r="B1739" s="43"/>
      <c r="C1739" s="43"/>
      <c r="D1739" s="43"/>
      <c r="E1739" s="43"/>
      <c r="F1739" s="43"/>
      <c r="G1739" s="43"/>
    </row>
    <row r="1740" spans="1:7" s="51" customFormat="1" x14ac:dyDescent="0.35">
      <c r="A1740" s="43"/>
      <c r="B1740" s="43"/>
      <c r="C1740" s="43"/>
      <c r="D1740" s="43"/>
      <c r="E1740" s="43"/>
      <c r="F1740" s="43"/>
      <c r="G1740" s="43"/>
    </row>
    <row r="1741" spans="1:7" s="51" customFormat="1" x14ac:dyDescent="0.35">
      <c r="A1741" s="43"/>
      <c r="B1741" s="43"/>
      <c r="C1741" s="43"/>
      <c r="D1741" s="43"/>
      <c r="E1741" s="43"/>
      <c r="F1741" s="43"/>
      <c r="G1741" s="43"/>
    </row>
    <row r="1742" spans="1:7" s="51" customFormat="1" x14ac:dyDescent="0.35">
      <c r="A1742" s="43"/>
      <c r="B1742" s="43"/>
      <c r="C1742" s="43"/>
      <c r="D1742" s="43"/>
      <c r="E1742" s="43"/>
      <c r="F1742" s="43"/>
      <c r="G1742" s="43"/>
    </row>
    <row r="1743" spans="1:7" s="51" customFormat="1" x14ac:dyDescent="0.35">
      <c r="A1743" s="43"/>
      <c r="B1743" s="43"/>
      <c r="C1743" s="43"/>
      <c r="D1743" s="43"/>
      <c r="E1743" s="43"/>
      <c r="F1743" s="43"/>
      <c r="G1743" s="43"/>
    </row>
    <row r="1744" spans="1:7" s="51" customFormat="1" x14ac:dyDescent="0.35">
      <c r="A1744" s="43"/>
      <c r="B1744" s="43"/>
      <c r="C1744" s="43"/>
      <c r="D1744" s="43"/>
      <c r="E1744" s="43"/>
      <c r="F1744" s="43"/>
      <c r="G1744" s="43"/>
    </row>
    <row r="1745" spans="1:7" s="51" customFormat="1" x14ac:dyDescent="0.35">
      <c r="A1745" s="43"/>
      <c r="B1745" s="43"/>
      <c r="C1745" s="43"/>
      <c r="D1745" s="43"/>
      <c r="E1745" s="43"/>
      <c r="F1745" s="43"/>
      <c r="G1745" s="43"/>
    </row>
    <row r="1746" spans="1:7" s="51" customFormat="1" x14ac:dyDescent="0.35">
      <c r="A1746" s="43"/>
      <c r="B1746" s="43"/>
      <c r="C1746" s="43"/>
      <c r="D1746" s="43"/>
      <c r="E1746" s="43"/>
      <c r="F1746" s="43"/>
      <c r="G1746" s="43"/>
    </row>
    <row r="1747" spans="1:7" s="51" customFormat="1" x14ac:dyDescent="0.35">
      <c r="A1747" s="43"/>
      <c r="B1747" s="43"/>
      <c r="C1747" s="43"/>
      <c r="D1747" s="43"/>
      <c r="E1747" s="43"/>
      <c r="F1747" s="43"/>
      <c r="G1747" s="43"/>
    </row>
    <row r="1748" spans="1:7" s="51" customFormat="1" x14ac:dyDescent="0.35">
      <c r="A1748" s="43"/>
      <c r="B1748" s="43"/>
      <c r="C1748" s="43"/>
      <c r="D1748" s="43"/>
      <c r="E1748" s="43"/>
      <c r="F1748" s="43"/>
      <c r="G1748" s="43"/>
    </row>
    <row r="1749" spans="1:7" s="51" customFormat="1" x14ac:dyDescent="0.35">
      <c r="A1749" s="43"/>
      <c r="B1749" s="43"/>
      <c r="C1749" s="43"/>
      <c r="D1749" s="43"/>
      <c r="E1749" s="43"/>
      <c r="F1749" s="43"/>
      <c r="G1749" s="43"/>
    </row>
    <row r="1750" spans="1:7" s="51" customFormat="1" x14ac:dyDescent="0.35">
      <c r="A1750" s="43"/>
      <c r="B1750" s="43"/>
      <c r="C1750" s="43"/>
      <c r="D1750" s="43"/>
      <c r="E1750" s="43"/>
      <c r="F1750" s="43"/>
      <c r="G1750" s="43"/>
    </row>
    <row r="1751" spans="1:7" s="51" customFormat="1" x14ac:dyDescent="0.35">
      <c r="A1751" s="43"/>
      <c r="B1751" s="43"/>
      <c r="C1751" s="43"/>
      <c r="D1751" s="43"/>
      <c r="E1751" s="43"/>
      <c r="F1751" s="43"/>
      <c r="G1751" s="43"/>
    </row>
    <row r="1752" spans="1:7" s="51" customFormat="1" x14ac:dyDescent="0.35">
      <c r="A1752" s="43"/>
      <c r="B1752" s="43"/>
      <c r="C1752" s="43"/>
      <c r="D1752" s="43"/>
      <c r="E1752" s="43"/>
      <c r="F1752" s="43"/>
      <c r="G1752" s="43"/>
    </row>
    <row r="1753" spans="1:7" s="51" customFormat="1" x14ac:dyDescent="0.35">
      <c r="A1753" s="43"/>
      <c r="B1753" s="43"/>
      <c r="C1753" s="43"/>
      <c r="D1753" s="43"/>
      <c r="E1753" s="43"/>
      <c r="F1753" s="43"/>
      <c r="G1753" s="43"/>
    </row>
    <row r="1754" spans="1:7" s="51" customFormat="1" x14ac:dyDescent="0.35">
      <c r="A1754" s="43"/>
      <c r="B1754" s="43"/>
      <c r="C1754" s="43"/>
      <c r="D1754" s="43"/>
      <c r="E1754" s="43"/>
      <c r="F1754" s="43"/>
      <c r="G1754" s="43"/>
    </row>
    <row r="1755" spans="1:7" s="51" customFormat="1" x14ac:dyDescent="0.35">
      <c r="A1755" s="43"/>
      <c r="B1755" s="43"/>
      <c r="C1755" s="43"/>
      <c r="D1755" s="43"/>
      <c r="E1755" s="43"/>
      <c r="F1755" s="43"/>
      <c r="G1755" s="43"/>
    </row>
    <row r="1756" spans="1:7" s="51" customFormat="1" x14ac:dyDescent="0.35">
      <c r="A1756" s="43"/>
      <c r="B1756" s="43"/>
      <c r="C1756" s="43"/>
      <c r="D1756" s="43"/>
      <c r="E1756" s="43"/>
      <c r="F1756" s="43"/>
      <c r="G1756" s="43"/>
    </row>
    <row r="1757" spans="1:7" s="51" customFormat="1" x14ac:dyDescent="0.35">
      <c r="A1757" s="43"/>
      <c r="B1757" s="43"/>
      <c r="C1757" s="43"/>
      <c r="D1757" s="43"/>
      <c r="E1757" s="43"/>
      <c r="F1757" s="43"/>
      <c r="G1757" s="43"/>
    </row>
    <row r="1758" spans="1:7" s="51" customFormat="1" x14ac:dyDescent="0.35">
      <c r="A1758" s="43"/>
      <c r="B1758" s="43"/>
      <c r="C1758" s="43"/>
      <c r="D1758" s="43"/>
      <c r="E1758" s="43"/>
      <c r="F1758" s="43"/>
      <c r="G1758" s="43"/>
    </row>
    <row r="1759" spans="1:7" s="51" customFormat="1" x14ac:dyDescent="0.35">
      <c r="A1759" s="43"/>
      <c r="B1759" s="43"/>
      <c r="C1759" s="43"/>
      <c r="D1759" s="43"/>
      <c r="E1759" s="43"/>
      <c r="F1759" s="43"/>
      <c r="G1759" s="43"/>
    </row>
    <row r="1760" spans="1:7" s="51" customFormat="1" x14ac:dyDescent="0.35">
      <c r="A1760" s="43"/>
      <c r="B1760" s="43"/>
      <c r="C1760" s="43"/>
      <c r="D1760" s="43"/>
      <c r="E1760" s="43"/>
      <c r="F1760" s="43"/>
      <c r="G1760" s="43"/>
    </row>
    <row r="1761" spans="1:7" s="51" customFormat="1" x14ac:dyDescent="0.35">
      <c r="A1761" s="43"/>
      <c r="B1761" s="43"/>
      <c r="C1761" s="43"/>
      <c r="D1761" s="43"/>
      <c r="E1761" s="43"/>
      <c r="F1761" s="43"/>
      <c r="G1761" s="43"/>
    </row>
    <row r="1762" spans="1:7" s="51" customFormat="1" x14ac:dyDescent="0.35">
      <c r="A1762" s="43"/>
      <c r="B1762" s="43"/>
      <c r="C1762" s="43"/>
      <c r="D1762" s="43"/>
      <c r="E1762" s="43"/>
      <c r="F1762" s="43"/>
      <c r="G1762" s="43"/>
    </row>
    <row r="1763" spans="1:7" s="51" customFormat="1" x14ac:dyDescent="0.35">
      <c r="A1763" s="43"/>
      <c r="B1763" s="43"/>
      <c r="C1763" s="43"/>
      <c r="D1763" s="43"/>
      <c r="E1763" s="43"/>
      <c r="F1763" s="43"/>
      <c r="G1763" s="43"/>
    </row>
    <row r="1764" spans="1:7" s="51" customFormat="1" x14ac:dyDescent="0.35">
      <c r="A1764" s="43"/>
      <c r="B1764" s="43"/>
      <c r="C1764" s="43"/>
      <c r="D1764" s="43"/>
      <c r="E1764" s="43"/>
      <c r="F1764" s="43"/>
      <c r="G1764" s="43"/>
    </row>
    <row r="1765" spans="1:7" s="51" customFormat="1" x14ac:dyDescent="0.35">
      <c r="A1765" s="43"/>
      <c r="B1765" s="43"/>
      <c r="C1765" s="43"/>
      <c r="D1765" s="43"/>
      <c r="E1765" s="43"/>
      <c r="F1765" s="43"/>
      <c r="G1765" s="43"/>
    </row>
    <row r="1766" spans="1:7" s="51" customFormat="1" x14ac:dyDescent="0.35">
      <c r="A1766" s="43"/>
      <c r="B1766" s="43"/>
      <c r="C1766" s="43"/>
      <c r="D1766" s="43"/>
      <c r="E1766" s="43"/>
      <c r="F1766" s="43"/>
      <c r="G1766" s="43"/>
    </row>
    <row r="1767" spans="1:7" s="51" customFormat="1" x14ac:dyDescent="0.35">
      <c r="A1767" s="43"/>
      <c r="B1767" s="43"/>
      <c r="C1767" s="43"/>
      <c r="D1767" s="43"/>
      <c r="E1767" s="43"/>
      <c r="F1767" s="43"/>
      <c r="G1767" s="43"/>
    </row>
    <row r="1768" spans="1:7" s="51" customFormat="1" x14ac:dyDescent="0.35">
      <c r="A1768" s="43"/>
      <c r="B1768" s="43"/>
      <c r="C1768" s="43"/>
      <c r="D1768" s="43"/>
      <c r="E1768" s="43"/>
      <c r="F1768" s="43"/>
      <c r="G1768" s="43"/>
    </row>
    <row r="1769" spans="1:7" s="51" customFormat="1" x14ac:dyDescent="0.35">
      <c r="A1769" s="43"/>
      <c r="B1769" s="43"/>
      <c r="C1769" s="43"/>
      <c r="D1769" s="43"/>
      <c r="E1769" s="43"/>
      <c r="F1769" s="43"/>
      <c r="G1769" s="43"/>
    </row>
    <row r="1770" spans="1:7" s="51" customFormat="1" x14ac:dyDescent="0.35">
      <c r="A1770" s="43"/>
      <c r="B1770" s="43"/>
      <c r="C1770" s="43"/>
      <c r="D1770" s="43"/>
      <c r="E1770" s="43"/>
      <c r="F1770" s="43"/>
      <c r="G1770" s="43"/>
    </row>
    <row r="1771" spans="1:7" s="51" customFormat="1" x14ac:dyDescent="0.35">
      <c r="A1771" s="43"/>
      <c r="B1771" s="43"/>
      <c r="C1771" s="43"/>
      <c r="D1771" s="43"/>
      <c r="E1771" s="43"/>
      <c r="F1771" s="43"/>
      <c r="G1771" s="43"/>
    </row>
    <row r="1772" spans="1:7" s="51" customFormat="1" x14ac:dyDescent="0.35">
      <c r="A1772" s="43"/>
      <c r="B1772" s="43"/>
      <c r="C1772" s="43"/>
      <c r="D1772" s="43"/>
      <c r="E1772" s="43"/>
      <c r="F1772" s="43"/>
      <c r="G1772" s="43"/>
    </row>
    <row r="1773" spans="1:7" s="51" customFormat="1" x14ac:dyDescent="0.35">
      <c r="A1773" s="43"/>
      <c r="B1773" s="43"/>
      <c r="C1773" s="43"/>
      <c r="D1773" s="43"/>
      <c r="E1773" s="43"/>
      <c r="F1773" s="43"/>
      <c r="G1773" s="43"/>
    </row>
    <row r="1774" spans="1:7" s="51" customFormat="1" x14ac:dyDescent="0.35">
      <c r="A1774" s="43"/>
      <c r="B1774" s="43"/>
      <c r="C1774" s="43"/>
      <c r="D1774" s="43"/>
      <c r="E1774" s="43"/>
      <c r="F1774" s="43"/>
      <c r="G1774" s="43"/>
    </row>
    <row r="1775" spans="1:7" s="51" customFormat="1" x14ac:dyDescent="0.35">
      <c r="A1775" s="43"/>
      <c r="B1775" s="43"/>
      <c r="C1775" s="43"/>
      <c r="D1775" s="43"/>
      <c r="E1775" s="43"/>
      <c r="F1775" s="43"/>
      <c r="G1775" s="43"/>
    </row>
    <row r="1776" spans="1:7" s="51" customFormat="1" x14ac:dyDescent="0.35">
      <c r="A1776" s="43"/>
      <c r="B1776" s="43"/>
      <c r="C1776" s="43"/>
      <c r="D1776" s="43"/>
      <c r="E1776" s="43"/>
      <c r="F1776" s="43"/>
      <c r="G1776" s="43"/>
    </row>
    <row r="1777" spans="1:7" s="51" customFormat="1" x14ac:dyDescent="0.35">
      <c r="A1777" s="43"/>
      <c r="B1777" s="43"/>
      <c r="C1777" s="43"/>
      <c r="D1777" s="43"/>
      <c r="E1777" s="43"/>
      <c r="F1777" s="43"/>
      <c r="G1777" s="43"/>
    </row>
    <row r="1778" spans="1:7" s="51" customFormat="1" x14ac:dyDescent="0.35">
      <c r="A1778" s="43"/>
      <c r="B1778" s="43"/>
      <c r="C1778" s="43"/>
      <c r="D1778" s="43"/>
      <c r="E1778" s="43"/>
      <c r="F1778" s="43"/>
      <c r="G1778" s="43"/>
    </row>
    <row r="1779" spans="1:7" s="51" customFormat="1" x14ac:dyDescent="0.35">
      <c r="A1779" s="43"/>
      <c r="B1779" s="43"/>
      <c r="C1779" s="43"/>
      <c r="D1779" s="43"/>
      <c r="E1779" s="43"/>
      <c r="F1779" s="43"/>
      <c r="G1779" s="43"/>
    </row>
    <row r="1780" spans="1:7" s="51" customFormat="1" x14ac:dyDescent="0.35">
      <c r="A1780" s="43"/>
      <c r="B1780" s="43"/>
      <c r="C1780" s="43"/>
      <c r="D1780" s="43"/>
      <c r="E1780" s="43"/>
      <c r="F1780" s="43"/>
      <c r="G1780" s="43"/>
    </row>
    <row r="1781" spans="1:7" s="51" customFormat="1" x14ac:dyDescent="0.35">
      <c r="A1781" s="43"/>
      <c r="B1781" s="43"/>
      <c r="C1781" s="43"/>
      <c r="D1781" s="43"/>
      <c r="E1781" s="43"/>
      <c r="F1781" s="43"/>
      <c r="G1781" s="43"/>
    </row>
    <row r="1782" spans="1:7" s="51" customFormat="1" x14ac:dyDescent="0.35">
      <c r="A1782" s="43"/>
      <c r="B1782" s="43"/>
      <c r="C1782" s="43"/>
      <c r="D1782" s="43"/>
      <c r="E1782" s="43"/>
      <c r="F1782" s="43"/>
      <c r="G1782" s="43"/>
    </row>
    <row r="1783" spans="1:7" s="51" customFormat="1" x14ac:dyDescent="0.35">
      <c r="A1783" s="43"/>
      <c r="B1783" s="43"/>
      <c r="C1783" s="43"/>
      <c r="D1783" s="43"/>
      <c r="E1783" s="43"/>
      <c r="F1783" s="43"/>
      <c r="G1783" s="43"/>
    </row>
    <row r="1784" spans="1:7" s="51" customFormat="1" x14ac:dyDescent="0.35">
      <c r="A1784" s="43"/>
      <c r="B1784" s="43"/>
      <c r="C1784" s="43"/>
      <c r="D1784" s="43"/>
      <c r="E1784" s="43"/>
      <c r="F1784" s="43"/>
      <c r="G1784" s="43"/>
    </row>
    <row r="1785" spans="1:7" s="51" customFormat="1" x14ac:dyDescent="0.35">
      <c r="A1785" s="43"/>
      <c r="B1785" s="43"/>
      <c r="C1785" s="43"/>
      <c r="D1785" s="43"/>
      <c r="E1785" s="43"/>
      <c r="F1785" s="43"/>
      <c r="G1785" s="43"/>
    </row>
    <row r="1786" spans="1:7" s="51" customFormat="1" x14ac:dyDescent="0.35">
      <c r="A1786" s="43"/>
      <c r="B1786" s="43"/>
      <c r="C1786" s="43"/>
      <c r="D1786" s="43"/>
      <c r="E1786" s="43"/>
      <c r="F1786" s="43"/>
      <c r="G1786" s="43"/>
    </row>
    <row r="1787" spans="1:7" s="51" customFormat="1" x14ac:dyDescent="0.35">
      <c r="A1787" s="43"/>
      <c r="B1787" s="43"/>
      <c r="C1787" s="43"/>
      <c r="D1787" s="43"/>
      <c r="E1787" s="43"/>
      <c r="F1787" s="43"/>
      <c r="G1787" s="43"/>
    </row>
    <row r="1788" spans="1:7" s="51" customFormat="1" x14ac:dyDescent="0.35">
      <c r="A1788" s="43"/>
      <c r="B1788" s="43"/>
      <c r="C1788" s="43"/>
      <c r="D1788" s="43"/>
      <c r="E1788" s="43"/>
      <c r="F1788" s="43"/>
      <c r="G1788" s="43"/>
    </row>
    <row r="1789" spans="1:7" s="51" customFormat="1" x14ac:dyDescent="0.35">
      <c r="A1789" s="43"/>
      <c r="B1789" s="43"/>
      <c r="C1789" s="43"/>
      <c r="D1789" s="43"/>
      <c r="E1789" s="43"/>
      <c r="F1789" s="43"/>
      <c r="G1789" s="43"/>
    </row>
    <row r="1790" spans="1:7" s="51" customFormat="1" x14ac:dyDescent="0.35">
      <c r="A1790" s="43"/>
      <c r="B1790" s="43"/>
      <c r="C1790" s="43"/>
      <c r="D1790" s="43"/>
      <c r="E1790" s="43"/>
      <c r="F1790" s="43"/>
      <c r="G1790" s="43"/>
    </row>
    <row r="1791" spans="1:7" s="51" customFormat="1" x14ac:dyDescent="0.35">
      <c r="A1791" s="43"/>
      <c r="B1791" s="43"/>
      <c r="C1791" s="43"/>
      <c r="D1791" s="43"/>
      <c r="E1791" s="43"/>
      <c r="F1791" s="43"/>
      <c r="G1791" s="43"/>
    </row>
    <row r="1792" spans="1:7" s="51" customFormat="1" x14ac:dyDescent="0.35">
      <c r="A1792" s="43"/>
      <c r="B1792" s="43"/>
      <c r="C1792" s="43"/>
      <c r="D1792" s="43"/>
      <c r="E1792" s="43"/>
      <c r="F1792" s="43"/>
      <c r="G1792" s="43"/>
    </row>
    <row r="1793" spans="1:7" s="51" customFormat="1" x14ac:dyDescent="0.35">
      <c r="A1793" s="43"/>
      <c r="B1793" s="43"/>
      <c r="C1793" s="43"/>
      <c r="D1793" s="43"/>
      <c r="E1793" s="43"/>
      <c r="F1793" s="43"/>
      <c r="G1793" s="43"/>
    </row>
    <row r="1794" spans="1:7" s="51" customFormat="1" x14ac:dyDescent="0.35">
      <c r="A1794" s="43"/>
      <c r="B1794" s="43"/>
      <c r="C1794" s="43"/>
      <c r="D1794" s="43"/>
      <c r="E1794" s="43"/>
      <c r="F1794" s="43"/>
      <c r="G1794" s="43"/>
    </row>
    <row r="1795" spans="1:7" s="51" customFormat="1" x14ac:dyDescent="0.35">
      <c r="A1795" s="43"/>
      <c r="B1795" s="43"/>
      <c r="C1795" s="43"/>
      <c r="D1795" s="43"/>
      <c r="E1795" s="43"/>
      <c r="F1795" s="43"/>
      <c r="G1795" s="43"/>
    </row>
    <row r="1796" spans="1:7" s="51" customFormat="1" x14ac:dyDescent="0.35">
      <c r="A1796" s="43"/>
      <c r="B1796" s="43"/>
      <c r="C1796" s="43"/>
      <c r="D1796" s="43"/>
      <c r="E1796" s="43"/>
      <c r="F1796" s="43"/>
      <c r="G1796" s="43"/>
    </row>
    <row r="1797" spans="1:7" s="51" customFormat="1" x14ac:dyDescent="0.35">
      <c r="A1797" s="43"/>
      <c r="B1797" s="43"/>
      <c r="C1797" s="43"/>
      <c r="D1797" s="43"/>
      <c r="E1797" s="43"/>
      <c r="F1797" s="43"/>
      <c r="G1797" s="43"/>
    </row>
    <row r="1798" spans="1:7" s="51" customFormat="1" x14ac:dyDescent="0.35">
      <c r="A1798" s="43"/>
      <c r="B1798" s="43"/>
      <c r="C1798" s="43"/>
      <c r="D1798" s="43"/>
      <c r="E1798" s="43"/>
      <c r="F1798" s="43"/>
      <c r="G1798" s="43"/>
    </row>
    <row r="1799" spans="1:7" s="51" customFormat="1" x14ac:dyDescent="0.35">
      <c r="A1799" s="43"/>
      <c r="B1799" s="43"/>
      <c r="C1799" s="43"/>
      <c r="D1799" s="43"/>
      <c r="E1799" s="43"/>
      <c r="F1799" s="43"/>
      <c r="G1799" s="43"/>
    </row>
    <row r="1800" spans="1:7" s="51" customFormat="1" x14ac:dyDescent="0.35">
      <c r="A1800" s="43"/>
      <c r="B1800" s="43"/>
      <c r="C1800" s="43"/>
      <c r="D1800" s="43"/>
      <c r="E1800" s="43"/>
      <c r="F1800" s="43"/>
      <c r="G1800" s="43"/>
    </row>
    <row r="1801" spans="1:7" s="51" customFormat="1" x14ac:dyDescent="0.35">
      <c r="A1801" s="43"/>
      <c r="B1801" s="43"/>
      <c r="C1801" s="43"/>
      <c r="D1801" s="43"/>
      <c r="E1801" s="43"/>
      <c r="F1801" s="43"/>
      <c r="G1801" s="43"/>
    </row>
    <row r="1802" spans="1:7" s="51" customFormat="1" x14ac:dyDescent="0.35">
      <c r="A1802" s="43"/>
      <c r="B1802" s="43"/>
      <c r="C1802" s="43"/>
      <c r="D1802" s="43"/>
      <c r="E1802" s="43"/>
      <c r="F1802" s="43"/>
      <c r="G1802" s="43"/>
    </row>
    <row r="1803" spans="1:7" s="51" customFormat="1" x14ac:dyDescent="0.35">
      <c r="A1803" s="43"/>
      <c r="B1803" s="43"/>
      <c r="C1803" s="43"/>
      <c r="D1803" s="43"/>
      <c r="E1803" s="43"/>
      <c r="F1803" s="43"/>
      <c r="G1803" s="43"/>
    </row>
    <row r="1804" spans="1:7" s="51" customFormat="1" x14ac:dyDescent="0.35">
      <c r="A1804" s="43"/>
      <c r="B1804" s="43"/>
      <c r="C1804" s="43"/>
      <c r="D1804" s="43"/>
      <c r="E1804" s="43"/>
      <c r="F1804" s="43"/>
      <c r="G1804" s="43"/>
    </row>
    <row r="1805" spans="1:7" s="51" customFormat="1" x14ac:dyDescent="0.35">
      <c r="A1805" s="43"/>
      <c r="B1805" s="43"/>
      <c r="C1805" s="43"/>
      <c r="D1805" s="43"/>
      <c r="E1805" s="43"/>
      <c r="F1805" s="43"/>
      <c r="G1805" s="43"/>
    </row>
    <row r="1806" spans="1:7" s="51" customFormat="1" x14ac:dyDescent="0.35">
      <c r="A1806" s="43"/>
      <c r="B1806" s="43"/>
      <c r="C1806" s="43"/>
      <c r="D1806" s="43"/>
      <c r="E1806" s="43"/>
      <c r="F1806" s="43"/>
      <c r="G1806" s="43"/>
    </row>
    <row r="1807" spans="1:7" s="51" customFormat="1" x14ac:dyDescent="0.35">
      <c r="A1807" s="43"/>
      <c r="B1807" s="43"/>
      <c r="C1807" s="43"/>
      <c r="D1807" s="43"/>
      <c r="E1807" s="43"/>
      <c r="F1807" s="43"/>
      <c r="G1807" s="43"/>
    </row>
    <row r="1808" spans="1:7" s="51" customFormat="1" x14ac:dyDescent="0.35">
      <c r="A1808" s="43"/>
      <c r="B1808" s="43"/>
      <c r="C1808" s="43"/>
      <c r="D1808" s="43"/>
      <c r="E1808" s="43"/>
      <c r="F1808" s="43"/>
      <c r="G1808" s="43"/>
    </row>
    <row r="1809" spans="1:7" s="51" customFormat="1" x14ac:dyDescent="0.35">
      <c r="A1809" s="43"/>
      <c r="B1809" s="43"/>
      <c r="C1809" s="43"/>
      <c r="D1809" s="43"/>
      <c r="E1809" s="43"/>
      <c r="F1809" s="43"/>
      <c r="G1809" s="43"/>
    </row>
    <row r="1810" spans="1:7" s="51" customFormat="1" x14ac:dyDescent="0.35">
      <c r="A1810" s="43"/>
      <c r="B1810" s="43"/>
      <c r="C1810" s="43"/>
      <c r="D1810" s="43"/>
      <c r="E1810" s="43"/>
      <c r="F1810" s="43"/>
      <c r="G1810" s="43"/>
    </row>
    <row r="1811" spans="1:7" s="51" customFormat="1" x14ac:dyDescent="0.35">
      <c r="A1811" s="43"/>
      <c r="B1811" s="43"/>
      <c r="C1811" s="43"/>
      <c r="D1811" s="43"/>
      <c r="E1811" s="43"/>
      <c r="F1811" s="43"/>
      <c r="G1811" s="43"/>
    </row>
    <row r="1812" spans="1:7" s="51" customFormat="1" x14ac:dyDescent="0.35">
      <c r="A1812" s="43"/>
      <c r="B1812" s="43"/>
      <c r="C1812" s="43"/>
      <c r="D1812" s="43"/>
      <c r="E1812" s="43"/>
      <c r="F1812" s="43"/>
      <c r="G1812" s="43"/>
    </row>
    <row r="1813" spans="1:7" s="51" customFormat="1" x14ac:dyDescent="0.35">
      <c r="A1813" s="43"/>
      <c r="B1813" s="43"/>
      <c r="C1813" s="43"/>
      <c r="D1813" s="43"/>
      <c r="E1813" s="43"/>
      <c r="F1813" s="43"/>
      <c r="G1813" s="43"/>
    </row>
    <row r="1814" spans="1:7" s="51" customFormat="1" x14ac:dyDescent="0.35">
      <c r="A1814" s="43"/>
      <c r="B1814" s="43"/>
      <c r="C1814" s="43"/>
      <c r="D1814" s="43"/>
      <c r="E1814" s="43"/>
      <c r="F1814" s="43"/>
      <c r="G1814" s="43"/>
    </row>
    <row r="1815" spans="1:7" s="51" customFormat="1" x14ac:dyDescent="0.35">
      <c r="A1815" s="43"/>
      <c r="B1815" s="43"/>
      <c r="C1815" s="43"/>
      <c r="D1815" s="43"/>
      <c r="E1815" s="43"/>
      <c r="F1815" s="43"/>
      <c r="G1815" s="43"/>
    </row>
    <row r="1816" spans="1:7" s="51" customFormat="1" x14ac:dyDescent="0.35">
      <c r="A1816" s="43"/>
      <c r="B1816" s="43"/>
      <c r="C1816" s="43"/>
      <c r="D1816" s="43"/>
      <c r="E1816" s="43"/>
      <c r="F1816" s="43"/>
      <c r="G1816" s="43"/>
    </row>
    <row r="1817" spans="1:7" s="51" customFormat="1" x14ac:dyDescent="0.35">
      <c r="A1817" s="43"/>
      <c r="B1817" s="43"/>
      <c r="C1817" s="43"/>
      <c r="D1817" s="43"/>
      <c r="E1817" s="43"/>
      <c r="F1817" s="43"/>
      <c r="G1817" s="43"/>
    </row>
    <row r="1818" spans="1:7" s="51" customFormat="1" x14ac:dyDescent="0.35">
      <c r="A1818" s="43"/>
      <c r="B1818" s="43"/>
      <c r="C1818" s="43"/>
      <c r="D1818" s="43"/>
      <c r="E1818" s="43"/>
      <c r="F1818" s="43"/>
      <c r="G1818" s="43"/>
    </row>
    <row r="1819" spans="1:7" s="51" customFormat="1" x14ac:dyDescent="0.35">
      <c r="A1819" s="43"/>
      <c r="B1819" s="43"/>
      <c r="C1819" s="43"/>
      <c r="D1819" s="43"/>
      <c r="E1819" s="43"/>
      <c r="F1819" s="43"/>
      <c r="G1819" s="43"/>
    </row>
    <row r="1820" spans="1:7" s="51" customFormat="1" x14ac:dyDescent="0.35">
      <c r="A1820" s="43"/>
      <c r="B1820" s="43"/>
      <c r="C1820" s="43"/>
      <c r="D1820" s="43"/>
      <c r="E1820" s="43"/>
      <c r="F1820" s="43"/>
      <c r="G1820" s="43"/>
    </row>
    <row r="1821" spans="1:7" s="51" customFormat="1" x14ac:dyDescent="0.35">
      <c r="A1821" s="43"/>
      <c r="B1821" s="43"/>
      <c r="C1821" s="43"/>
      <c r="D1821" s="43"/>
      <c r="E1821" s="43"/>
      <c r="F1821" s="43"/>
      <c r="G1821" s="43"/>
    </row>
    <row r="1822" spans="1:7" s="51" customFormat="1" x14ac:dyDescent="0.35">
      <c r="A1822" s="43"/>
      <c r="B1822" s="43"/>
      <c r="C1822" s="43"/>
      <c r="D1822" s="43"/>
      <c r="E1822" s="43"/>
      <c r="F1822" s="43"/>
      <c r="G1822" s="43"/>
    </row>
    <row r="1823" spans="1:7" s="51" customFormat="1" x14ac:dyDescent="0.35">
      <c r="A1823" s="43"/>
      <c r="B1823" s="43"/>
      <c r="C1823" s="43"/>
      <c r="D1823" s="43"/>
      <c r="E1823" s="43"/>
      <c r="F1823" s="43"/>
      <c r="G1823" s="43"/>
    </row>
    <row r="1824" spans="1:7" s="51" customFormat="1" x14ac:dyDescent="0.35">
      <c r="A1824" s="43"/>
      <c r="B1824" s="43"/>
      <c r="C1824" s="43"/>
      <c r="D1824" s="43"/>
      <c r="E1824" s="43"/>
      <c r="F1824" s="43"/>
      <c r="G1824" s="43"/>
    </row>
    <row r="1825" spans="1:7" s="51" customFormat="1" x14ac:dyDescent="0.35">
      <c r="A1825" s="43"/>
      <c r="B1825" s="43"/>
      <c r="C1825" s="43"/>
      <c r="D1825" s="43"/>
      <c r="E1825" s="43"/>
      <c r="F1825" s="43"/>
      <c r="G1825" s="43"/>
    </row>
    <row r="1826" spans="1:7" s="51" customFormat="1" x14ac:dyDescent="0.35">
      <c r="A1826" s="43"/>
      <c r="B1826" s="43"/>
      <c r="C1826" s="43"/>
      <c r="D1826" s="43"/>
      <c r="E1826" s="43"/>
      <c r="F1826" s="43"/>
      <c r="G1826" s="43"/>
    </row>
    <row r="1827" spans="1:7" s="51" customFormat="1" x14ac:dyDescent="0.35">
      <c r="A1827" s="43"/>
      <c r="B1827" s="43"/>
      <c r="C1827" s="43"/>
      <c r="D1827" s="43"/>
      <c r="E1827" s="43"/>
      <c r="F1827" s="43"/>
      <c r="G1827" s="43"/>
    </row>
    <row r="1828" spans="1:7" s="51" customFormat="1" x14ac:dyDescent="0.35">
      <c r="A1828" s="43"/>
      <c r="B1828" s="43"/>
      <c r="C1828" s="43"/>
      <c r="D1828" s="43"/>
      <c r="E1828" s="43"/>
      <c r="F1828" s="43"/>
      <c r="G1828" s="43"/>
    </row>
    <row r="1829" spans="1:7" s="51" customFormat="1" x14ac:dyDescent="0.35">
      <c r="A1829" s="43"/>
      <c r="B1829" s="43"/>
      <c r="C1829" s="43"/>
      <c r="D1829" s="43"/>
      <c r="E1829" s="43"/>
      <c r="F1829" s="43"/>
      <c r="G1829" s="43"/>
    </row>
    <row r="1830" spans="1:7" s="51" customFormat="1" x14ac:dyDescent="0.35">
      <c r="A1830" s="43"/>
      <c r="B1830" s="43"/>
      <c r="C1830" s="43"/>
      <c r="D1830" s="43"/>
      <c r="E1830" s="43"/>
      <c r="F1830" s="43"/>
      <c r="G1830" s="43"/>
    </row>
    <row r="1831" spans="1:7" s="51" customFormat="1" x14ac:dyDescent="0.35">
      <c r="A1831" s="43"/>
      <c r="B1831" s="43"/>
      <c r="C1831" s="43"/>
      <c r="D1831" s="43"/>
      <c r="E1831" s="43"/>
      <c r="F1831" s="43"/>
      <c r="G1831" s="43"/>
    </row>
    <row r="1832" spans="1:7" s="51" customFormat="1" x14ac:dyDescent="0.35">
      <c r="A1832" s="43"/>
      <c r="B1832" s="43"/>
      <c r="C1832" s="43"/>
      <c r="D1832" s="43"/>
      <c r="E1832" s="43"/>
      <c r="F1832" s="43"/>
      <c r="G1832" s="43"/>
    </row>
    <row r="1833" spans="1:7" s="51" customFormat="1" x14ac:dyDescent="0.35">
      <c r="A1833" s="43"/>
      <c r="B1833" s="43"/>
      <c r="C1833" s="43"/>
      <c r="D1833" s="43"/>
      <c r="E1833" s="43"/>
      <c r="F1833" s="43"/>
      <c r="G1833" s="43"/>
    </row>
    <row r="1834" spans="1:7" s="51" customFormat="1" x14ac:dyDescent="0.35">
      <c r="A1834" s="43"/>
      <c r="B1834" s="43"/>
      <c r="C1834" s="43"/>
      <c r="D1834" s="43"/>
      <c r="E1834" s="43"/>
      <c r="F1834" s="43"/>
      <c r="G1834" s="43"/>
    </row>
    <row r="1835" spans="1:7" s="51" customFormat="1" x14ac:dyDescent="0.35">
      <c r="A1835" s="43"/>
      <c r="B1835" s="43"/>
      <c r="C1835" s="43"/>
      <c r="D1835" s="43"/>
      <c r="E1835" s="43"/>
      <c r="F1835" s="43"/>
      <c r="G1835" s="43"/>
    </row>
    <row r="1836" spans="1:7" s="51" customFormat="1" x14ac:dyDescent="0.35">
      <c r="A1836" s="43"/>
      <c r="B1836" s="43"/>
      <c r="C1836" s="43"/>
      <c r="D1836" s="43"/>
      <c r="E1836" s="43"/>
      <c r="F1836" s="43"/>
      <c r="G1836" s="43"/>
    </row>
    <row r="1837" spans="1:7" s="51" customFormat="1" x14ac:dyDescent="0.35">
      <c r="A1837" s="43"/>
      <c r="B1837" s="43"/>
      <c r="C1837" s="43"/>
      <c r="D1837" s="43"/>
      <c r="E1837" s="43"/>
      <c r="F1837" s="43"/>
      <c r="G1837" s="43"/>
    </row>
    <row r="1838" spans="1:7" s="51" customFormat="1" x14ac:dyDescent="0.35">
      <c r="A1838" s="43"/>
      <c r="B1838" s="43"/>
      <c r="C1838" s="43"/>
      <c r="D1838" s="43"/>
      <c r="E1838" s="43"/>
      <c r="F1838" s="43"/>
      <c r="G1838" s="43"/>
    </row>
    <row r="1839" spans="1:7" s="51" customFormat="1" x14ac:dyDescent="0.35">
      <c r="A1839" s="43"/>
      <c r="B1839" s="43"/>
      <c r="C1839" s="43"/>
      <c r="D1839" s="43"/>
      <c r="E1839" s="43"/>
      <c r="F1839" s="43"/>
      <c r="G1839" s="43"/>
    </row>
    <row r="1840" spans="1:7" s="51" customFormat="1" x14ac:dyDescent="0.35">
      <c r="A1840" s="43"/>
      <c r="B1840" s="43"/>
      <c r="C1840" s="43"/>
      <c r="D1840" s="43"/>
      <c r="E1840" s="43"/>
      <c r="F1840" s="43"/>
      <c r="G1840" s="43"/>
    </row>
    <row r="1841" spans="1:7" s="51" customFormat="1" x14ac:dyDescent="0.35">
      <c r="A1841" s="43"/>
      <c r="B1841" s="43"/>
      <c r="C1841" s="43"/>
      <c r="D1841" s="43"/>
      <c r="E1841" s="43"/>
      <c r="F1841" s="43"/>
      <c r="G1841" s="43"/>
    </row>
    <row r="1842" spans="1:7" s="51" customFormat="1" x14ac:dyDescent="0.35">
      <c r="A1842" s="43"/>
      <c r="B1842" s="43"/>
      <c r="C1842" s="43"/>
      <c r="D1842" s="43"/>
      <c r="E1842" s="43"/>
      <c r="F1842" s="43"/>
      <c r="G1842" s="43"/>
    </row>
    <row r="1843" spans="1:7" s="51" customFormat="1" x14ac:dyDescent="0.35">
      <c r="A1843" s="43"/>
      <c r="B1843" s="43"/>
      <c r="C1843" s="43"/>
      <c r="D1843" s="43"/>
      <c r="E1843" s="43"/>
      <c r="F1843" s="43"/>
      <c r="G1843" s="43"/>
    </row>
    <row r="1844" spans="1:7" s="51" customFormat="1" x14ac:dyDescent="0.35">
      <c r="A1844" s="43"/>
      <c r="B1844" s="43"/>
      <c r="C1844" s="43"/>
      <c r="D1844" s="43"/>
      <c r="E1844" s="43"/>
      <c r="F1844" s="43"/>
      <c r="G1844" s="43"/>
    </row>
    <row r="1845" spans="1:7" s="51" customFormat="1" x14ac:dyDescent="0.35">
      <c r="A1845" s="43"/>
      <c r="B1845" s="43"/>
      <c r="C1845" s="43"/>
      <c r="D1845" s="43"/>
      <c r="E1845" s="43"/>
      <c r="F1845" s="43"/>
      <c r="G1845" s="43"/>
    </row>
    <row r="1846" spans="1:7" s="51" customFormat="1" x14ac:dyDescent="0.35">
      <c r="A1846" s="43"/>
      <c r="B1846" s="43"/>
      <c r="C1846" s="43"/>
      <c r="D1846" s="43"/>
      <c r="E1846" s="43"/>
      <c r="F1846" s="43"/>
      <c r="G1846" s="43"/>
    </row>
    <row r="1847" spans="1:7" s="51" customFormat="1" x14ac:dyDescent="0.35">
      <c r="A1847" s="43"/>
      <c r="B1847" s="43"/>
      <c r="C1847" s="43"/>
      <c r="D1847" s="43"/>
      <c r="E1847" s="43"/>
      <c r="F1847" s="43"/>
      <c r="G1847" s="43"/>
    </row>
    <row r="1848" spans="1:7" s="51" customFormat="1" x14ac:dyDescent="0.35">
      <c r="A1848" s="43"/>
      <c r="B1848" s="43"/>
      <c r="C1848" s="43"/>
      <c r="D1848" s="43"/>
      <c r="E1848" s="43"/>
      <c r="F1848" s="43"/>
      <c r="G1848" s="43"/>
    </row>
    <row r="1849" spans="1:7" s="51" customFormat="1" x14ac:dyDescent="0.35">
      <c r="A1849" s="43"/>
      <c r="B1849" s="43"/>
      <c r="C1849" s="43"/>
      <c r="D1849" s="43"/>
      <c r="E1849" s="43"/>
      <c r="F1849" s="43"/>
      <c r="G1849" s="43"/>
    </row>
    <row r="1850" spans="1:7" s="51" customFormat="1" x14ac:dyDescent="0.35">
      <c r="A1850" s="43"/>
      <c r="B1850" s="43"/>
      <c r="C1850" s="43"/>
      <c r="D1850" s="43"/>
      <c r="E1850" s="43"/>
      <c r="F1850" s="43"/>
      <c r="G1850" s="43"/>
    </row>
    <row r="1851" spans="1:7" s="51" customFormat="1" x14ac:dyDescent="0.35">
      <c r="A1851" s="43"/>
      <c r="B1851" s="43"/>
      <c r="C1851" s="43"/>
      <c r="D1851" s="43"/>
      <c r="E1851" s="43"/>
      <c r="F1851" s="43"/>
      <c r="G1851" s="43"/>
    </row>
    <row r="1852" spans="1:7" s="51" customFormat="1" x14ac:dyDescent="0.35">
      <c r="A1852" s="43"/>
      <c r="B1852" s="43"/>
      <c r="C1852" s="43"/>
      <c r="D1852" s="43"/>
      <c r="E1852" s="43"/>
      <c r="F1852" s="43"/>
      <c r="G1852" s="43"/>
    </row>
    <row r="1853" spans="1:7" s="51" customFormat="1" x14ac:dyDescent="0.35">
      <c r="A1853" s="43"/>
      <c r="B1853" s="43"/>
      <c r="C1853" s="43"/>
      <c r="D1853" s="43"/>
      <c r="E1853" s="43"/>
      <c r="F1853" s="43"/>
      <c r="G1853" s="43"/>
    </row>
    <row r="1854" spans="1:7" s="51" customFormat="1" x14ac:dyDescent="0.35">
      <c r="A1854" s="43"/>
      <c r="B1854" s="43"/>
      <c r="C1854" s="43"/>
      <c r="D1854" s="43"/>
      <c r="E1854" s="43"/>
      <c r="F1854" s="43"/>
      <c r="G1854" s="43"/>
    </row>
    <row r="1855" spans="1:7" s="51" customFormat="1" x14ac:dyDescent="0.35">
      <c r="A1855" s="43"/>
      <c r="B1855" s="43"/>
      <c r="C1855" s="43"/>
      <c r="D1855" s="43"/>
      <c r="E1855" s="43"/>
      <c r="F1855" s="43"/>
      <c r="G1855" s="43"/>
    </row>
    <row r="1856" spans="1:7" s="51" customFormat="1" x14ac:dyDescent="0.35">
      <c r="A1856" s="43"/>
      <c r="B1856" s="43"/>
      <c r="C1856" s="43"/>
      <c r="D1856" s="43"/>
      <c r="E1856" s="43"/>
      <c r="F1856" s="43"/>
      <c r="G1856" s="43"/>
    </row>
    <row r="1857" spans="1:7" s="51" customFormat="1" x14ac:dyDescent="0.35">
      <c r="A1857" s="43"/>
      <c r="B1857" s="43"/>
      <c r="C1857" s="43"/>
      <c r="D1857" s="43"/>
      <c r="E1857" s="43"/>
      <c r="F1857" s="43"/>
      <c r="G1857" s="43"/>
    </row>
    <row r="1858" spans="1:7" s="51" customFormat="1" x14ac:dyDescent="0.35">
      <c r="A1858" s="43"/>
      <c r="B1858" s="43"/>
      <c r="C1858" s="43"/>
      <c r="D1858" s="43"/>
      <c r="E1858" s="43"/>
      <c r="F1858" s="43"/>
      <c r="G1858" s="43"/>
    </row>
    <row r="1859" spans="1:7" s="51" customFormat="1" x14ac:dyDescent="0.35">
      <c r="A1859" s="43"/>
      <c r="B1859" s="43"/>
      <c r="C1859" s="43"/>
      <c r="D1859" s="43"/>
      <c r="E1859" s="43"/>
      <c r="F1859" s="43"/>
      <c r="G1859" s="43"/>
    </row>
    <row r="1860" spans="1:7" s="51" customFormat="1" x14ac:dyDescent="0.35">
      <c r="A1860" s="43"/>
      <c r="B1860" s="43"/>
      <c r="C1860" s="43"/>
      <c r="D1860" s="43"/>
      <c r="E1860" s="43"/>
      <c r="F1860" s="43"/>
      <c r="G1860" s="43"/>
    </row>
    <row r="1861" spans="1:7" s="51" customFormat="1" x14ac:dyDescent="0.35">
      <c r="A1861" s="43"/>
      <c r="B1861" s="43"/>
      <c r="C1861" s="43"/>
      <c r="D1861" s="43"/>
      <c r="E1861" s="43"/>
      <c r="F1861" s="43"/>
      <c r="G1861" s="43"/>
    </row>
    <row r="1862" spans="1:7" s="51" customFormat="1" x14ac:dyDescent="0.35">
      <c r="A1862" s="43"/>
      <c r="B1862" s="43"/>
      <c r="C1862" s="43"/>
      <c r="D1862" s="43"/>
      <c r="E1862" s="43"/>
      <c r="F1862" s="43"/>
      <c r="G1862" s="43"/>
    </row>
    <row r="1863" spans="1:7" s="51" customFormat="1" x14ac:dyDescent="0.35">
      <c r="A1863" s="43"/>
      <c r="B1863" s="43"/>
      <c r="C1863" s="43"/>
      <c r="D1863" s="43"/>
      <c r="E1863" s="43"/>
      <c r="F1863" s="43"/>
      <c r="G1863" s="43"/>
    </row>
    <row r="1864" spans="1:7" s="51" customFormat="1" x14ac:dyDescent="0.35">
      <c r="A1864" s="43"/>
      <c r="B1864" s="43"/>
      <c r="C1864" s="43"/>
      <c r="D1864" s="43"/>
      <c r="E1864" s="43"/>
      <c r="F1864" s="43"/>
      <c r="G1864" s="43"/>
    </row>
    <row r="1865" spans="1:7" s="51" customFormat="1" x14ac:dyDescent="0.35">
      <c r="A1865" s="43"/>
      <c r="B1865" s="43"/>
      <c r="C1865" s="43"/>
      <c r="D1865" s="43"/>
      <c r="E1865" s="43"/>
      <c r="F1865" s="43"/>
      <c r="G1865" s="43"/>
    </row>
    <row r="1866" spans="1:7" s="51" customFormat="1" x14ac:dyDescent="0.35">
      <c r="A1866" s="43"/>
      <c r="B1866" s="43"/>
      <c r="C1866" s="43"/>
      <c r="D1866" s="43"/>
      <c r="E1866" s="43"/>
      <c r="F1866" s="43"/>
      <c r="G1866" s="43"/>
    </row>
    <row r="1867" spans="1:7" s="51" customFormat="1" x14ac:dyDescent="0.35">
      <c r="A1867" s="43"/>
      <c r="B1867" s="43"/>
      <c r="C1867" s="43"/>
      <c r="D1867" s="43"/>
      <c r="E1867" s="43"/>
      <c r="F1867" s="43"/>
      <c r="G1867" s="43"/>
    </row>
    <row r="1868" spans="1:7" s="51" customFormat="1" x14ac:dyDescent="0.35">
      <c r="A1868" s="43"/>
      <c r="B1868" s="43"/>
      <c r="C1868" s="43"/>
      <c r="D1868" s="43"/>
      <c r="E1868" s="43"/>
      <c r="F1868" s="43"/>
      <c r="G1868" s="43"/>
    </row>
    <row r="1869" spans="1:7" s="51" customFormat="1" x14ac:dyDescent="0.35">
      <c r="A1869" s="43"/>
      <c r="B1869" s="43"/>
      <c r="C1869" s="43"/>
      <c r="D1869" s="43"/>
      <c r="E1869" s="43"/>
      <c r="F1869" s="43"/>
      <c r="G1869" s="43"/>
    </row>
    <row r="1870" spans="1:7" s="51" customFormat="1" x14ac:dyDescent="0.35">
      <c r="A1870" s="43"/>
      <c r="B1870" s="43"/>
      <c r="C1870" s="43"/>
      <c r="D1870" s="43"/>
      <c r="E1870" s="43"/>
      <c r="F1870" s="43"/>
      <c r="G1870" s="43"/>
    </row>
    <row r="1871" spans="1:7" s="51" customFormat="1" x14ac:dyDescent="0.35">
      <c r="A1871" s="43"/>
      <c r="B1871" s="43"/>
      <c r="C1871" s="43"/>
      <c r="D1871" s="43"/>
      <c r="E1871" s="43"/>
      <c r="F1871" s="43"/>
      <c r="G1871" s="43"/>
    </row>
    <row r="1872" spans="1:7" s="51" customFormat="1" x14ac:dyDescent="0.35">
      <c r="A1872" s="43"/>
      <c r="B1872" s="43"/>
      <c r="C1872" s="43"/>
      <c r="D1872" s="43"/>
      <c r="E1872" s="43"/>
      <c r="F1872" s="43"/>
      <c r="G1872" s="43"/>
    </row>
    <row r="1873" spans="1:7" s="51" customFormat="1" x14ac:dyDescent="0.35">
      <c r="A1873" s="43"/>
      <c r="B1873" s="43"/>
      <c r="C1873" s="43"/>
      <c r="D1873" s="43"/>
      <c r="E1873" s="43"/>
      <c r="F1873" s="43"/>
      <c r="G1873" s="43"/>
    </row>
    <row r="1874" spans="1:7" s="51" customFormat="1" x14ac:dyDescent="0.35">
      <c r="A1874" s="43"/>
      <c r="B1874" s="43"/>
      <c r="C1874" s="43"/>
      <c r="D1874" s="43"/>
      <c r="E1874" s="43"/>
      <c r="F1874" s="43"/>
      <c r="G1874" s="43"/>
    </row>
    <row r="1875" spans="1:7" s="51" customFormat="1" x14ac:dyDescent="0.35">
      <c r="A1875" s="43"/>
      <c r="B1875" s="43"/>
      <c r="C1875" s="43"/>
      <c r="D1875" s="43"/>
      <c r="E1875" s="43"/>
      <c r="F1875" s="43"/>
      <c r="G1875" s="43"/>
    </row>
    <row r="1876" spans="1:7" s="51" customFormat="1" x14ac:dyDescent="0.35">
      <c r="A1876" s="43"/>
      <c r="B1876" s="43"/>
      <c r="C1876" s="43"/>
      <c r="D1876" s="43"/>
      <c r="E1876" s="43"/>
      <c r="F1876" s="43"/>
      <c r="G1876" s="43"/>
    </row>
    <row r="1877" spans="1:7" s="51" customFormat="1" x14ac:dyDescent="0.35">
      <c r="A1877" s="43"/>
      <c r="B1877" s="43"/>
      <c r="C1877" s="43"/>
      <c r="D1877" s="43"/>
      <c r="E1877" s="43"/>
      <c r="F1877" s="43"/>
      <c r="G1877" s="43"/>
    </row>
    <row r="1878" spans="1:7" s="51" customFormat="1" x14ac:dyDescent="0.35">
      <c r="A1878" s="43"/>
      <c r="B1878" s="43"/>
      <c r="C1878" s="43"/>
      <c r="D1878" s="43"/>
      <c r="E1878" s="43"/>
      <c r="F1878" s="43"/>
      <c r="G1878" s="43"/>
    </row>
    <row r="1879" spans="1:7" s="51" customFormat="1" x14ac:dyDescent="0.35">
      <c r="A1879" s="43"/>
      <c r="B1879" s="43"/>
      <c r="C1879" s="43"/>
      <c r="D1879" s="43"/>
      <c r="E1879" s="43"/>
      <c r="F1879" s="43"/>
      <c r="G1879" s="43"/>
    </row>
    <row r="1880" spans="1:7" s="51" customFormat="1" x14ac:dyDescent="0.35">
      <c r="A1880" s="43"/>
      <c r="B1880" s="43"/>
      <c r="C1880" s="43"/>
      <c r="D1880" s="43"/>
      <c r="E1880" s="43"/>
      <c r="F1880" s="43"/>
      <c r="G1880" s="43"/>
    </row>
    <row r="1881" spans="1:7" s="51" customFormat="1" x14ac:dyDescent="0.35">
      <c r="A1881" s="43"/>
      <c r="B1881" s="43"/>
      <c r="C1881" s="43"/>
      <c r="D1881" s="43"/>
      <c r="E1881" s="43"/>
      <c r="F1881" s="43"/>
      <c r="G1881" s="43"/>
    </row>
    <row r="1882" spans="1:7" s="51" customFormat="1" x14ac:dyDescent="0.35">
      <c r="A1882" s="43"/>
      <c r="B1882" s="43"/>
      <c r="C1882" s="43"/>
      <c r="D1882" s="43"/>
      <c r="E1882" s="43"/>
      <c r="F1882" s="43"/>
      <c r="G1882" s="43"/>
    </row>
    <row r="1883" spans="1:7" s="51" customFormat="1" x14ac:dyDescent="0.35">
      <c r="A1883" s="43"/>
      <c r="B1883" s="43"/>
      <c r="C1883" s="43"/>
      <c r="D1883" s="43"/>
      <c r="E1883" s="43"/>
      <c r="F1883" s="43"/>
      <c r="G1883" s="43"/>
    </row>
    <row r="1884" spans="1:7" s="51" customFormat="1" x14ac:dyDescent="0.35">
      <c r="A1884" s="43"/>
      <c r="B1884" s="43"/>
      <c r="C1884" s="43"/>
      <c r="D1884" s="43"/>
      <c r="E1884" s="43"/>
      <c r="F1884" s="43"/>
      <c r="G1884" s="43"/>
    </row>
    <row r="1885" spans="1:7" s="51" customFormat="1" x14ac:dyDescent="0.35">
      <c r="A1885" s="43"/>
      <c r="B1885" s="43"/>
      <c r="C1885" s="43"/>
      <c r="D1885" s="43"/>
      <c r="E1885" s="43"/>
      <c r="F1885" s="43"/>
      <c r="G1885" s="43"/>
    </row>
    <row r="1886" spans="1:7" s="51" customFormat="1" x14ac:dyDescent="0.35">
      <c r="A1886" s="43"/>
      <c r="B1886" s="43"/>
      <c r="C1886" s="43"/>
      <c r="D1886" s="43"/>
      <c r="E1886" s="43"/>
      <c r="F1886" s="43"/>
      <c r="G1886" s="43"/>
    </row>
    <row r="1887" spans="1:7" s="51" customFormat="1" x14ac:dyDescent="0.35">
      <c r="A1887" s="43"/>
      <c r="B1887" s="43"/>
      <c r="C1887" s="43"/>
      <c r="D1887" s="43"/>
      <c r="E1887" s="43"/>
      <c r="F1887" s="43"/>
      <c r="G1887" s="43"/>
    </row>
    <row r="1888" spans="1:7" s="51" customFormat="1" x14ac:dyDescent="0.35">
      <c r="A1888" s="43"/>
      <c r="B1888" s="43"/>
      <c r="C1888" s="43"/>
      <c r="D1888" s="43"/>
      <c r="E1888" s="43"/>
      <c r="F1888" s="43"/>
      <c r="G1888" s="43"/>
    </row>
    <row r="1889" spans="1:7" s="51" customFormat="1" x14ac:dyDescent="0.35">
      <c r="A1889" s="43"/>
      <c r="B1889" s="43"/>
      <c r="C1889" s="43"/>
      <c r="D1889" s="43"/>
      <c r="E1889" s="43"/>
      <c r="F1889" s="43"/>
      <c r="G1889" s="43"/>
    </row>
    <row r="1890" spans="1:7" s="51" customFormat="1" x14ac:dyDescent="0.35">
      <c r="A1890" s="43"/>
      <c r="B1890" s="43"/>
      <c r="C1890" s="43"/>
      <c r="D1890" s="43"/>
      <c r="E1890" s="43"/>
      <c r="F1890" s="43"/>
      <c r="G1890" s="43"/>
    </row>
    <row r="1891" spans="1:7" s="51" customFormat="1" x14ac:dyDescent="0.35">
      <c r="A1891" s="43"/>
      <c r="B1891" s="43"/>
      <c r="C1891" s="43"/>
      <c r="D1891" s="43"/>
      <c r="E1891" s="43"/>
      <c r="F1891" s="43"/>
      <c r="G1891" s="43"/>
    </row>
    <row r="1892" spans="1:7" s="51" customFormat="1" x14ac:dyDescent="0.35">
      <c r="A1892" s="43"/>
      <c r="B1892" s="43"/>
      <c r="C1892" s="43"/>
      <c r="D1892" s="43"/>
      <c r="E1892" s="43"/>
      <c r="F1892" s="43"/>
      <c r="G1892" s="43"/>
    </row>
    <row r="1893" spans="1:7" s="51" customFormat="1" x14ac:dyDescent="0.35">
      <c r="A1893" s="43"/>
      <c r="B1893" s="43"/>
      <c r="C1893" s="43"/>
      <c r="D1893" s="43"/>
      <c r="E1893" s="43"/>
      <c r="F1893" s="43"/>
      <c r="G1893" s="43"/>
    </row>
    <row r="1894" spans="1:7" s="51" customFormat="1" x14ac:dyDescent="0.35">
      <c r="A1894" s="43"/>
      <c r="B1894" s="43"/>
      <c r="C1894" s="43"/>
      <c r="D1894" s="43"/>
      <c r="E1894" s="43"/>
      <c r="F1894" s="43"/>
      <c r="G1894" s="43"/>
    </row>
    <row r="1895" spans="1:7" s="51" customFormat="1" x14ac:dyDescent="0.35">
      <c r="A1895" s="43"/>
      <c r="B1895" s="43"/>
      <c r="C1895" s="43"/>
      <c r="D1895" s="43"/>
      <c r="E1895" s="43"/>
      <c r="F1895" s="43"/>
      <c r="G1895" s="43"/>
    </row>
    <row r="1896" spans="1:7" s="51" customFormat="1" x14ac:dyDescent="0.35">
      <c r="A1896" s="43"/>
      <c r="B1896" s="43"/>
      <c r="C1896" s="43"/>
      <c r="D1896" s="43"/>
      <c r="E1896" s="43"/>
      <c r="F1896" s="43"/>
      <c r="G1896" s="43"/>
    </row>
    <row r="1897" spans="1:7" s="51" customFormat="1" x14ac:dyDescent="0.35">
      <c r="A1897" s="43"/>
      <c r="B1897" s="43"/>
      <c r="C1897" s="43"/>
      <c r="D1897" s="43"/>
      <c r="E1897" s="43"/>
      <c r="F1897" s="43"/>
      <c r="G1897" s="43"/>
    </row>
    <row r="1898" spans="1:7" s="51" customFormat="1" x14ac:dyDescent="0.35">
      <c r="A1898" s="43"/>
      <c r="B1898" s="43"/>
      <c r="C1898" s="43"/>
      <c r="D1898" s="43"/>
      <c r="E1898" s="43"/>
      <c r="F1898" s="43"/>
      <c r="G1898" s="43"/>
    </row>
    <row r="1899" spans="1:7" s="51" customFormat="1" x14ac:dyDescent="0.35">
      <c r="A1899" s="43"/>
      <c r="B1899" s="43"/>
      <c r="C1899" s="43"/>
      <c r="D1899" s="43"/>
      <c r="E1899" s="43"/>
      <c r="F1899" s="43"/>
      <c r="G1899" s="43"/>
    </row>
    <row r="1900" spans="1:7" s="51" customFormat="1" x14ac:dyDescent="0.35">
      <c r="A1900" s="43"/>
      <c r="B1900" s="43"/>
      <c r="C1900" s="43"/>
      <c r="D1900" s="43"/>
      <c r="E1900" s="43"/>
      <c r="F1900" s="43"/>
      <c r="G1900" s="43"/>
    </row>
    <row r="1901" spans="1:7" s="51" customFormat="1" x14ac:dyDescent="0.35">
      <c r="A1901" s="43"/>
      <c r="B1901" s="43"/>
      <c r="C1901" s="43"/>
      <c r="D1901" s="43"/>
      <c r="E1901" s="43"/>
      <c r="F1901" s="43"/>
      <c r="G1901" s="43"/>
    </row>
    <row r="1902" spans="1:7" s="51" customFormat="1" x14ac:dyDescent="0.35">
      <c r="A1902" s="43"/>
      <c r="B1902" s="43"/>
      <c r="C1902" s="43"/>
      <c r="D1902" s="43"/>
      <c r="E1902" s="43"/>
      <c r="F1902" s="43"/>
      <c r="G1902" s="43"/>
    </row>
    <row r="1903" spans="1:7" s="51" customFormat="1" x14ac:dyDescent="0.35">
      <c r="A1903" s="43"/>
      <c r="B1903" s="43"/>
      <c r="C1903" s="43"/>
      <c r="D1903" s="43"/>
      <c r="E1903" s="43"/>
      <c r="F1903" s="43"/>
      <c r="G1903" s="43"/>
    </row>
    <row r="1904" spans="1:7" s="51" customFormat="1" x14ac:dyDescent="0.35">
      <c r="A1904" s="43"/>
      <c r="B1904" s="43"/>
      <c r="C1904" s="43"/>
      <c r="D1904" s="43"/>
      <c r="E1904" s="43"/>
      <c r="F1904" s="43"/>
      <c r="G1904" s="43"/>
    </row>
    <row r="1905" spans="1:7" s="51" customFormat="1" x14ac:dyDescent="0.35">
      <c r="A1905" s="43"/>
      <c r="B1905" s="43"/>
      <c r="C1905" s="43"/>
      <c r="D1905" s="43"/>
      <c r="E1905" s="43"/>
      <c r="F1905" s="43"/>
      <c r="G1905" s="43"/>
    </row>
    <row r="1906" spans="1:7" s="51" customFormat="1" x14ac:dyDescent="0.35">
      <c r="A1906" s="43"/>
      <c r="B1906" s="43"/>
      <c r="C1906" s="43"/>
      <c r="D1906" s="43"/>
      <c r="E1906" s="43"/>
      <c r="F1906" s="43"/>
      <c r="G1906" s="43"/>
    </row>
    <row r="1907" spans="1:7" s="51" customFormat="1" x14ac:dyDescent="0.35">
      <c r="A1907" s="43"/>
      <c r="B1907" s="43"/>
      <c r="C1907" s="43"/>
      <c r="D1907" s="43"/>
      <c r="E1907" s="43"/>
      <c r="F1907" s="43"/>
      <c r="G1907" s="43"/>
    </row>
    <row r="1908" spans="1:7" s="51" customFormat="1" x14ac:dyDescent="0.35">
      <c r="A1908" s="43"/>
      <c r="B1908" s="43"/>
      <c r="C1908" s="43"/>
      <c r="D1908" s="43"/>
      <c r="E1908" s="43"/>
      <c r="F1908" s="43"/>
      <c r="G1908" s="43"/>
    </row>
    <row r="1909" spans="1:7" s="51" customFormat="1" x14ac:dyDescent="0.35">
      <c r="A1909" s="43"/>
      <c r="B1909" s="43"/>
      <c r="C1909" s="43"/>
      <c r="D1909" s="43"/>
      <c r="E1909" s="43"/>
      <c r="F1909" s="43"/>
      <c r="G1909" s="43"/>
    </row>
    <row r="1910" spans="1:7" s="51" customFormat="1" x14ac:dyDescent="0.35">
      <c r="A1910" s="43"/>
      <c r="B1910" s="43"/>
      <c r="C1910" s="43"/>
      <c r="D1910" s="43"/>
      <c r="E1910" s="43"/>
      <c r="F1910" s="43"/>
      <c r="G1910" s="43"/>
    </row>
    <row r="1911" spans="1:7" s="51" customFormat="1" x14ac:dyDescent="0.35">
      <c r="A1911" s="43"/>
      <c r="B1911" s="43"/>
      <c r="C1911" s="43"/>
      <c r="D1911" s="43"/>
      <c r="E1911" s="43"/>
      <c r="F1911" s="43"/>
      <c r="G1911" s="43"/>
    </row>
    <row r="1912" spans="1:7" s="51" customFormat="1" x14ac:dyDescent="0.35">
      <c r="A1912" s="43"/>
      <c r="B1912" s="43"/>
      <c r="C1912" s="43"/>
      <c r="D1912" s="43"/>
      <c r="E1912" s="43"/>
      <c r="F1912" s="43"/>
      <c r="G1912" s="43"/>
    </row>
    <row r="1913" spans="1:7" s="51" customFormat="1" x14ac:dyDescent="0.35">
      <c r="A1913" s="43"/>
      <c r="B1913" s="43"/>
      <c r="C1913" s="43"/>
      <c r="D1913" s="43"/>
      <c r="E1913" s="43"/>
      <c r="F1913" s="43"/>
      <c r="G1913" s="43"/>
    </row>
    <row r="1914" spans="1:7" s="51" customFormat="1" x14ac:dyDescent="0.35">
      <c r="A1914" s="43"/>
      <c r="B1914" s="43"/>
      <c r="C1914" s="43"/>
      <c r="D1914" s="43"/>
      <c r="E1914" s="43"/>
      <c r="F1914" s="43"/>
      <c r="G1914" s="43"/>
    </row>
    <row r="1915" spans="1:7" s="51" customFormat="1" x14ac:dyDescent="0.35">
      <c r="A1915" s="43"/>
      <c r="B1915" s="43"/>
      <c r="C1915" s="43"/>
      <c r="D1915" s="43"/>
      <c r="E1915" s="43"/>
      <c r="F1915" s="43"/>
      <c r="G1915" s="43"/>
    </row>
    <row r="1916" spans="1:7" s="51" customFormat="1" x14ac:dyDescent="0.35">
      <c r="A1916" s="43"/>
      <c r="B1916" s="43"/>
      <c r="C1916" s="43"/>
      <c r="D1916" s="43"/>
      <c r="E1916" s="43"/>
      <c r="F1916" s="43"/>
      <c r="G1916" s="43"/>
    </row>
    <row r="1917" spans="1:7" s="51" customFormat="1" x14ac:dyDescent="0.35">
      <c r="A1917" s="43"/>
      <c r="B1917" s="43"/>
      <c r="C1917" s="43"/>
      <c r="D1917" s="43"/>
      <c r="E1917" s="43"/>
      <c r="F1917" s="43"/>
      <c r="G1917" s="43"/>
    </row>
    <row r="1918" spans="1:7" s="51" customFormat="1" x14ac:dyDescent="0.35">
      <c r="A1918" s="43"/>
      <c r="B1918" s="43"/>
      <c r="C1918" s="43"/>
      <c r="D1918" s="43"/>
      <c r="E1918" s="43"/>
      <c r="F1918" s="43"/>
      <c r="G1918" s="43"/>
    </row>
    <row r="1919" spans="1:7" s="51" customFormat="1" x14ac:dyDescent="0.35">
      <c r="A1919" s="43"/>
      <c r="B1919" s="43"/>
      <c r="C1919" s="43"/>
      <c r="D1919" s="43"/>
      <c r="E1919" s="43"/>
      <c r="F1919" s="43"/>
      <c r="G1919" s="43"/>
    </row>
    <row r="1920" spans="1:7" s="51" customFormat="1" x14ac:dyDescent="0.35">
      <c r="A1920" s="43"/>
      <c r="B1920" s="43"/>
      <c r="C1920" s="43"/>
      <c r="D1920" s="43"/>
      <c r="E1920" s="43"/>
      <c r="F1920" s="43"/>
      <c r="G1920" s="43"/>
    </row>
    <row r="1921" spans="1:7" s="51" customFormat="1" x14ac:dyDescent="0.35">
      <c r="A1921" s="43"/>
      <c r="B1921" s="43"/>
      <c r="C1921" s="43"/>
      <c r="D1921" s="43"/>
      <c r="E1921" s="43"/>
      <c r="F1921" s="43"/>
      <c r="G1921" s="43"/>
    </row>
    <row r="1922" spans="1:7" s="51" customFormat="1" x14ac:dyDescent="0.35">
      <c r="A1922" s="43"/>
      <c r="B1922" s="43"/>
      <c r="C1922" s="43"/>
      <c r="D1922" s="43"/>
      <c r="E1922" s="43"/>
      <c r="F1922" s="43"/>
      <c r="G1922" s="43"/>
    </row>
    <row r="1923" spans="1:7" s="34" customFormat="1" x14ac:dyDescent="0.35">
      <c r="A1923" s="48"/>
      <c r="B1923" s="49"/>
      <c r="C1923" s="50"/>
      <c r="D1923" s="50"/>
      <c r="E1923" s="50"/>
      <c r="F1923" s="50"/>
      <c r="G1923" s="50"/>
    </row>
    <row r="1924" spans="1:7" s="34" customFormat="1" x14ac:dyDescent="0.35">
      <c r="A1924" s="42"/>
      <c r="B1924" s="46"/>
      <c r="C1924" s="39"/>
      <c r="D1924" s="39"/>
      <c r="E1924" s="39"/>
      <c r="F1924" s="39"/>
      <c r="G1924" s="39"/>
    </row>
    <row r="1925" spans="1:7" s="34" customFormat="1" x14ac:dyDescent="0.35">
      <c r="A1925" s="42"/>
      <c r="B1925" s="46"/>
      <c r="C1925" s="39"/>
      <c r="D1925" s="39"/>
      <c r="E1925" s="39"/>
      <c r="F1925" s="39"/>
      <c r="G1925" s="39"/>
    </row>
    <row r="1926" spans="1:7" s="34" customFormat="1" x14ac:dyDescent="0.35">
      <c r="A1926" s="42"/>
      <c r="B1926" s="46"/>
      <c r="C1926" s="39"/>
      <c r="D1926" s="39"/>
      <c r="E1926" s="39"/>
      <c r="F1926" s="39"/>
      <c r="G1926" s="3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2B9E-A3BD-46AD-9636-F885D55CE8C9}">
  <dimension ref="A1:AR1528"/>
  <sheetViews>
    <sheetView workbookViewId="0">
      <selection activeCell="D15" sqref="D15"/>
    </sheetView>
  </sheetViews>
  <sheetFormatPr baseColWidth="10" defaultRowHeight="14.5" x14ac:dyDescent="0.35"/>
  <cols>
    <col min="1" max="1" width="10.90625" style="33"/>
    <col min="2" max="2" width="11.7265625" style="30" customWidth="1"/>
    <col min="3" max="3" width="12.54296875" style="30" customWidth="1"/>
    <col min="4" max="4" width="17.08984375" style="31" customWidth="1"/>
    <col min="5" max="5" width="18.26953125" style="31" customWidth="1"/>
    <col min="6" max="6" width="17.90625" style="31" customWidth="1"/>
    <col min="7" max="7" width="17.90625" style="11" customWidth="1"/>
    <col min="8" max="8" width="17.90625" style="32" customWidth="1"/>
    <col min="9" max="9" width="18.7265625" style="30" customWidth="1"/>
    <col min="10" max="10" width="22.54296875" style="31" customWidth="1"/>
    <col min="11" max="11" width="18.453125" style="10" customWidth="1"/>
    <col min="12" max="12" width="22.453125" style="11" customWidth="1"/>
    <col min="13" max="44" width="10.90625" style="34"/>
  </cols>
  <sheetData>
    <row r="1" spans="1:12" x14ac:dyDescent="0.35">
      <c r="A1" s="56" t="s">
        <v>2600</v>
      </c>
      <c r="B1" s="56" t="s">
        <v>3751</v>
      </c>
      <c r="C1" s="56" t="s">
        <v>3752</v>
      </c>
      <c r="D1" s="57" t="s">
        <v>3753</v>
      </c>
      <c r="E1" s="57" t="s">
        <v>3754</v>
      </c>
      <c r="F1" s="57" t="s">
        <v>3755</v>
      </c>
      <c r="G1" s="57" t="s">
        <v>3756</v>
      </c>
      <c r="H1" s="58" t="s">
        <v>3757</v>
      </c>
      <c r="I1" s="57" t="s">
        <v>3764</v>
      </c>
      <c r="J1" s="57" t="s">
        <v>3765</v>
      </c>
      <c r="K1" s="57" t="s">
        <v>3766</v>
      </c>
      <c r="L1" s="57" t="s">
        <v>3767</v>
      </c>
    </row>
    <row r="2" spans="1:12" x14ac:dyDescent="0.35">
      <c r="A2" s="16" t="s">
        <v>2</v>
      </c>
      <c r="B2" s="17">
        <v>1528.1</v>
      </c>
      <c r="C2" s="7" cm="1">
        <f t="array" ref="C2:C1198">VLOOKUP(A2:A1198,'Data - Silver'!A:B,2,0)</f>
        <v>18.045999999999999</v>
      </c>
      <c r="D2" s="18"/>
      <c r="E2" s="8"/>
      <c r="F2" s="18"/>
      <c r="G2" s="8"/>
      <c r="H2" s="19">
        <f>B2/C2</f>
        <v>84.678044996121017</v>
      </c>
      <c r="I2" s="20">
        <f>MAX($B$2:B2)</f>
        <v>1528.1</v>
      </c>
      <c r="J2" s="21">
        <f>(B2-I2)/I2</f>
        <v>0</v>
      </c>
      <c r="K2" s="7">
        <f>MAX($C$2:C2)</f>
        <v>18.045999999999999</v>
      </c>
      <c r="L2" s="8">
        <f>(C2-K2)/K2</f>
        <v>0</v>
      </c>
    </row>
    <row r="3" spans="1:12" x14ac:dyDescent="0.35">
      <c r="A3" s="5" t="s">
        <v>6</v>
      </c>
      <c r="B3" s="22">
        <v>1568.8</v>
      </c>
      <c r="C3" s="10">
        <v>18.178999999999998</v>
      </c>
      <c r="D3" s="23">
        <f>(B3-B2)/B2</f>
        <v>2.6634382566585988E-2</v>
      </c>
      <c r="E3" s="11">
        <f>(C3-C2)/C2</f>
        <v>7.370054305663256E-3</v>
      </c>
      <c r="F3" s="24">
        <f>(B3-$B$2)/$B$2</f>
        <v>2.6634382566585988E-2</v>
      </c>
      <c r="G3" s="11">
        <f>(C3-$C$2)/$C$2</f>
        <v>7.370054305663256E-3</v>
      </c>
      <c r="H3" s="25">
        <f t="shared" ref="H3:H66" si="0">B3/C3</f>
        <v>86.29737609329446</v>
      </c>
      <c r="I3" s="26">
        <f>MAX($B$2:B3)</f>
        <v>1568.8</v>
      </c>
      <c r="J3" s="27">
        <f>(B3-I3)/I3</f>
        <v>0</v>
      </c>
      <c r="K3" s="10">
        <f>MAX($C$2:C3)</f>
        <v>18.178999999999998</v>
      </c>
      <c r="L3" s="11">
        <f t="shared" ref="L3:L66" si="1">(C3-K3)/K3</f>
        <v>0</v>
      </c>
    </row>
    <row r="4" spans="1:12" x14ac:dyDescent="0.35">
      <c r="A4" s="5" t="s">
        <v>8</v>
      </c>
      <c r="B4" s="22">
        <v>1574.3</v>
      </c>
      <c r="C4" s="10">
        <v>18.393000000000001</v>
      </c>
      <c r="D4" s="23">
        <f>(B4-B3)/B3</f>
        <v>3.505864354920959E-3</v>
      </c>
      <c r="E4" s="11">
        <f t="shared" ref="E4:E67" si="2">(C4-C3)/C3</f>
        <v>1.1771824632818208E-2</v>
      </c>
      <c r="F4" s="24">
        <f>(B4-$B$2)/$B$2</f>
        <v>3.0233623453962469E-2</v>
      </c>
      <c r="G4" s="11">
        <f t="shared" ref="G4:G67" si="3">(C4-$C$2)/$C$2</f>
        <v>1.9228637925302078E-2</v>
      </c>
      <c r="H4" s="25">
        <f t="shared" si="0"/>
        <v>85.592344913825912</v>
      </c>
      <c r="I4" s="26">
        <f>MAX($B$2:B4)</f>
        <v>1574.3</v>
      </c>
      <c r="J4" s="27">
        <f>(B4-I4)/I4</f>
        <v>0</v>
      </c>
      <c r="K4" s="10">
        <f>MAX($C$2:C4)</f>
        <v>18.393000000000001</v>
      </c>
      <c r="L4" s="11">
        <f t="shared" si="1"/>
        <v>0</v>
      </c>
    </row>
    <row r="5" spans="1:12" x14ac:dyDescent="0.35">
      <c r="A5" s="5" t="s">
        <v>10</v>
      </c>
      <c r="B5" s="22">
        <v>1560.2</v>
      </c>
      <c r="C5" s="10">
        <v>18.167000000000002</v>
      </c>
      <c r="D5" s="23">
        <f>(B5-B4)/B4</f>
        <v>-8.9563615575175698E-3</v>
      </c>
      <c r="E5" s="11">
        <f t="shared" si="2"/>
        <v>-1.2287283205567285E-2</v>
      </c>
      <c r="F5" s="24">
        <f>(B5-$B$2)/$B$2</f>
        <v>2.1006478633597368E-2</v>
      </c>
      <c r="G5" s="11">
        <f t="shared" si="3"/>
        <v>6.7050869998892954E-3</v>
      </c>
      <c r="H5" s="25">
        <f t="shared" si="0"/>
        <v>85.880993009302571</v>
      </c>
      <c r="I5" s="26">
        <f>MAX($B$2:B5)</f>
        <v>1574.3</v>
      </c>
      <c r="J5" s="27">
        <f t="shared" ref="J3:J66" si="4">(B5-I5)/I5</f>
        <v>-8.9563615575175698E-3</v>
      </c>
      <c r="K5" s="10">
        <f>MAX($C$2:C5)</f>
        <v>18.393000000000001</v>
      </c>
      <c r="L5" s="11">
        <f t="shared" si="1"/>
        <v>-1.2287283205567285E-2</v>
      </c>
    </row>
    <row r="6" spans="1:12" x14ac:dyDescent="0.35">
      <c r="A6" s="5" t="s">
        <v>12</v>
      </c>
      <c r="B6" s="22">
        <v>1554.3</v>
      </c>
      <c r="C6" s="10">
        <v>17.936</v>
      </c>
      <c r="D6" s="23">
        <f t="shared" ref="D6:D67" si="5">(B6-B5)/B5</f>
        <v>-3.7815664658377712E-3</v>
      </c>
      <c r="E6" s="11">
        <f t="shared" si="2"/>
        <v>-1.2715363020862092E-2</v>
      </c>
      <c r="F6" s="24">
        <f>(B6-$B$2)/$B$2</f>
        <v>1.7145474772593448E-2</v>
      </c>
      <c r="G6" s="11">
        <f t="shared" si="3"/>
        <v>-6.0955336362628525E-3</v>
      </c>
      <c r="H6" s="25">
        <f t="shared" si="0"/>
        <v>86.658117752007129</v>
      </c>
      <c r="I6" s="26">
        <f>MAX($B$2:B6)</f>
        <v>1574.3</v>
      </c>
      <c r="J6" s="27">
        <f t="shared" si="4"/>
        <v>-1.2704058946833513E-2</v>
      </c>
      <c r="K6" s="10">
        <f>MAX($C$2:C6)</f>
        <v>18.393000000000001</v>
      </c>
      <c r="L6" s="11">
        <f t="shared" si="1"/>
        <v>-2.4846408959930448E-2</v>
      </c>
    </row>
    <row r="7" spans="1:12" x14ac:dyDescent="0.35">
      <c r="A7" s="5" t="s">
        <v>16</v>
      </c>
      <c r="B7" s="22">
        <v>1550.6</v>
      </c>
      <c r="C7" s="10">
        <v>17.995999999999999</v>
      </c>
      <c r="D7" s="23">
        <f t="shared" si="5"/>
        <v>-2.3804928263527281E-3</v>
      </c>
      <c r="E7" s="11">
        <f t="shared" si="2"/>
        <v>3.3452274754682603E-3</v>
      </c>
      <c r="F7" s="24">
        <f>(B7-$B$2)/$B$2</f>
        <v>1.4724167266540149E-2</v>
      </c>
      <c r="G7" s="11">
        <f t="shared" si="3"/>
        <v>-2.7706971073922595E-3</v>
      </c>
      <c r="H7" s="25">
        <f t="shared" si="0"/>
        <v>86.163591909313183</v>
      </c>
      <c r="I7" s="26">
        <f>MAX($B$2:B7)</f>
        <v>1574.3</v>
      </c>
      <c r="J7" s="27">
        <f t="shared" si="4"/>
        <v>-1.5054309851997743E-2</v>
      </c>
      <c r="K7" s="10">
        <f>MAX($C$2:C7)</f>
        <v>18.393000000000001</v>
      </c>
      <c r="L7" s="11">
        <f t="shared" si="1"/>
        <v>-2.1584298374381666E-2</v>
      </c>
    </row>
    <row r="8" spans="1:12" x14ac:dyDescent="0.35">
      <c r="A8" s="5" t="s">
        <v>18</v>
      </c>
      <c r="B8" s="22">
        <v>1544.6</v>
      </c>
      <c r="C8" s="10">
        <v>17.742000000000001</v>
      </c>
      <c r="D8" s="23">
        <f t="shared" si="5"/>
        <v>-3.8694698826260802E-3</v>
      </c>
      <c r="E8" s="11">
        <f t="shared" si="2"/>
        <v>-1.4114247610580007E-2</v>
      </c>
      <c r="F8" s="24">
        <f>(B8-$B$2)/$B$2</f>
        <v>1.0797722662129442E-2</v>
      </c>
      <c r="G8" s="11">
        <f t="shared" si="3"/>
        <v>-1.6845838412944614E-2</v>
      </c>
      <c r="H8" s="25">
        <f>B8/C8</f>
        <v>87.058956149250363</v>
      </c>
      <c r="I8" s="26">
        <f>MAX($B$2:B8)</f>
        <v>1574.3</v>
      </c>
      <c r="J8" s="27">
        <f t="shared" si="4"/>
        <v>-1.8865527536047796E-2</v>
      </c>
      <c r="K8" s="10">
        <f>MAX($C$2:C8)</f>
        <v>18.393000000000001</v>
      </c>
      <c r="L8" s="11">
        <f t="shared" si="1"/>
        <v>-3.5393899853205013E-2</v>
      </c>
    </row>
    <row r="9" spans="1:12" x14ac:dyDescent="0.35">
      <c r="A9" s="5" t="s">
        <v>20</v>
      </c>
      <c r="B9" s="22">
        <v>1554</v>
      </c>
      <c r="C9" s="10">
        <v>17.988</v>
      </c>
      <c r="D9" s="23">
        <f t="shared" si="5"/>
        <v>6.0857179852389564E-3</v>
      </c>
      <c r="E9" s="11">
        <f t="shared" si="2"/>
        <v>1.3865404125803104E-2</v>
      </c>
      <c r="F9" s="24">
        <f>(B9-$B$2)/$B$2</f>
        <v>1.694915254237294E-2</v>
      </c>
      <c r="G9" s="11">
        <f t="shared" si="3"/>
        <v>-3.2140086445749659E-3</v>
      </c>
      <c r="H9" s="25">
        <f t="shared" si="0"/>
        <v>86.390927284856573</v>
      </c>
      <c r="I9" s="26">
        <f>MAX($B$2:B9)</f>
        <v>1574.3</v>
      </c>
      <c r="J9" s="27">
        <f t="shared" si="4"/>
        <v>-1.2894619831035988E-2</v>
      </c>
      <c r="K9" s="10">
        <f>MAX($C$2:C9)</f>
        <v>18.393000000000001</v>
      </c>
      <c r="L9" s="11">
        <f t="shared" si="1"/>
        <v>-2.2019246452454799E-2</v>
      </c>
    </row>
    <row r="10" spans="1:12" x14ac:dyDescent="0.35">
      <c r="A10" s="5" t="s">
        <v>22</v>
      </c>
      <c r="B10" s="22">
        <v>1550.5</v>
      </c>
      <c r="C10" s="10">
        <v>17.939</v>
      </c>
      <c r="D10" s="23">
        <f t="shared" si="5"/>
        <v>-2.2522522522522522E-3</v>
      </c>
      <c r="E10" s="11">
        <f t="shared" si="2"/>
        <v>-2.7240382477206745E-3</v>
      </c>
      <c r="F10" s="24">
        <f>(B10-$B$2)/$B$2</f>
        <v>1.4658726523133363E-2</v>
      </c>
      <c r="G10" s="11">
        <f t="shared" si="3"/>
        <v>-5.9292918098193129E-3</v>
      </c>
      <c r="H10" s="25">
        <f t="shared" si="0"/>
        <v>86.431796644183066</v>
      </c>
      <c r="I10" s="26">
        <f>MAX($B$2:B10)</f>
        <v>1574.3</v>
      </c>
      <c r="J10" s="27">
        <f t="shared" si="4"/>
        <v>-1.5117830146731853E-2</v>
      </c>
      <c r="K10" s="10">
        <f>MAX($C$2:C10)</f>
        <v>18.393000000000001</v>
      </c>
      <c r="L10" s="11">
        <f t="shared" si="1"/>
        <v>-2.4683303430653E-2</v>
      </c>
    </row>
    <row r="11" spans="1:12" x14ac:dyDescent="0.35">
      <c r="A11" s="5" t="s">
        <v>28</v>
      </c>
      <c r="B11" s="22">
        <v>1557.9</v>
      </c>
      <c r="C11" s="10">
        <v>17.808</v>
      </c>
      <c r="D11" s="23">
        <f t="shared" si="5"/>
        <v>4.7726539825863213E-3</v>
      </c>
      <c r="E11" s="11">
        <f t="shared" si="2"/>
        <v>-7.3025252243714934E-3</v>
      </c>
      <c r="F11" s="24">
        <f>(B11-$B$2)/$B$2</f>
        <v>1.9501341535239962E-2</v>
      </c>
      <c r="G11" s="11">
        <f t="shared" si="3"/>
        <v>-1.3188518231186943E-2</v>
      </c>
      <c r="H11" s="25">
        <f t="shared" si="0"/>
        <v>87.483153638814017</v>
      </c>
      <c r="I11" s="26">
        <f>MAX($B$2:B11)</f>
        <v>1574.3</v>
      </c>
      <c r="J11" s="27">
        <f t="shared" si="4"/>
        <v>-1.0417328336403395E-2</v>
      </c>
      <c r="K11" s="10">
        <f>MAX($C$2:C11)</f>
        <v>18.393000000000001</v>
      </c>
      <c r="L11" s="11">
        <f t="shared" si="1"/>
        <v>-3.1805578209101334E-2</v>
      </c>
    </row>
    <row r="12" spans="1:12" x14ac:dyDescent="0.35">
      <c r="A12" s="5" t="s">
        <v>29</v>
      </c>
      <c r="B12" s="22">
        <v>1556.7</v>
      </c>
      <c r="C12" s="10">
        <v>17.827999999999999</v>
      </c>
      <c r="D12" s="23">
        <f t="shared" si="5"/>
        <v>-7.7026766801466424E-4</v>
      </c>
      <c r="E12" s="11">
        <f t="shared" si="2"/>
        <v>1.1230907457322312E-3</v>
      </c>
      <c r="F12" s="24">
        <f>(B12-$B$2)/$B$2</f>
        <v>1.8716052614357791E-2</v>
      </c>
      <c r="G12" s="11">
        <f t="shared" si="3"/>
        <v>-1.2080239388230078E-2</v>
      </c>
      <c r="H12" s="25">
        <f t="shared" si="0"/>
        <v>87.317702490464441</v>
      </c>
      <c r="I12" s="26">
        <f>MAX($B$2:B12)</f>
        <v>1574.3</v>
      </c>
      <c r="J12" s="27">
        <f t="shared" si="4"/>
        <v>-1.1179571873213435E-2</v>
      </c>
      <c r="K12" s="10">
        <f>MAX($C$2:C12)</f>
        <v>18.393000000000001</v>
      </c>
      <c r="L12" s="11">
        <f t="shared" si="1"/>
        <v>-3.0718208013918408E-2</v>
      </c>
    </row>
    <row r="13" spans="1:12" x14ac:dyDescent="0.35">
      <c r="A13" s="5" t="s">
        <v>31</v>
      </c>
      <c r="B13" s="22">
        <v>1565.4</v>
      </c>
      <c r="C13" s="10">
        <v>17.829000000000001</v>
      </c>
      <c r="D13" s="23">
        <f t="shared" si="5"/>
        <v>5.5887454230102432E-3</v>
      </c>
      <c r="E13" s="11">
        <f t="shared" si="2"/>
        <v>5.60915413956261E-5</v>
      </c>
      <c r="F13" s="24">
        <f>(B13-$B$2)/$B$2</f>
        <v>2.4409397290753344E-2</v>
      </c>
      <c r="G13" s="11">
        <f t="shared" si="3"/>
        <v>-1.2024825446082165E-2</v>
      </c>
      <c r="H13" s="25">
        <f t="shared" si="0"/>
        <v>87.800774019855297</v>
      </c>
      <c r="I13" s="26">
        <f>MAX($B$2:B13)</f>
        <v>1574.3</v>
      </c>
      <c r="J13" s="27">
        <f t="shared" si="4"/>
        <v>-5.653306231340827E-3</v>
      </c>
      <c r="K13" s="10">
        <f>MAX($C$2:C13)</f>
        <v>18.393000000000001</v>
      </c>
      <c r="L13" s="11">
        <f t="shared" si="1"/>
        <v>-3.0663839504159192E-2</v>
      </c>
    </row>
    <row r="14" spans="1:12" x14ac:dyDescent="0.35">
      <c r="A14" s="5" t="s">
        <v>35</v>
      </c>
      <c r="B14" s="22">
        <v>1577.4</v>
      </c>
      <c r="C14" s="10">
        <v>18.056000000000001</v>
      </c>
      <c r="D14" s="23">
        <f t="shared" si="5"/>
        <v>7.6657723265619003E-3</v>
      </c>
      <c r="E14" s="11">
        <f t="shared" si="2"/>
        <v>1.2732065735599322E-2</v>
      </c>
      <c r="F14" s="24">
        <f>(B14-$B$2)/$B$2</f>
        <v>3.2262286499574758E-2</v>
      </c>
      <c r="G14" s="11">
        <f t="shared" si="3"/>
        <v>5.5413942147853061E-4</v>
      </c>
      <c r="H14" s="25">
        <f t="shared" si="0"/>
        <v>87.361541869738588</v>
      </c>
      <c r="I14" s="26">
        <f>MAX($B$2:B14)</f>
        <v>1577.4</v>
      </c>
      <c r="J14" s="27">
        <f t="shared" si="4"/>
        <v>0</v>
      </c>
      <c r="K14" s="10">
        <f>MAX($C$2:C14)</f>
        <v>18.393000000000001</v>
      </c>
      <c r="L14" s="11">
        <f t="shared" si="1"/>
        <v>-1.8322187788832694E-2</v>
      </c>
    </row>
    <row r="15" spans="1:12" x14ac:dyDescent="0.35">
      <c r="A15" s="5" t="s">
        <v>37</v>
      </c>
      <c r="B15" s="22">
        <v>1569.8</v>
      </c>
      <c r="C15" s="10">
        <v>17.457999999999998</v>
      </c>
      <c r="D15" s="23">
        <f t="shared" si="5"/>
        <v>-4.8180550272601342E-3</v>
      </c>
      <c r="E15" s="11">
        <f t="shared" si="2"/>
        <v>-3.3119184758529159E-2</v>
      </c>
      <c r="F15" s="24">
        <f>(B15-$B$2)/$B$2</f>
        <v>2.7288790000654439E-2</v>
      </c>
      <c r="G15" s="11">
        <f t="shared" si="3"/>
        <v>-3.2583397982932562E-2</v>
      </c>
      <c r="H15" s="25">
        <f t="shared" si="0"/>
        <v>89.918661931492736</v>
      </c>
      <c r="I15" s="26">
        <f>MAX($B$2:B15)</f>
        <v>1577.4</v>
      </c>
      <c r="J15" s="27">
        <f t="shared" si="4"/>
        <v>-4.8180550272601342E-3</v>
      </c>
      <c r="K15" s="10">
        <f>MAX($C$2:C15)</f>
        <v>18.393000000000001</v>
      </c>
      <c r="L15" s="11">
        <f t="shared" si="1"/>
        <v>-5.0834556624803039E-2</v>
      </c>
    </row>
    <row r="16" spans="1:12" x14ac:dyDescent="0.35">
      <c r="A16" s="5" t="s">
        <v>39</v>
      </c>
      <c r="B16" s="22">
        <v>1570.4</v>
      </c>
      <c r="C16" s="10">
        <v>17.486999999999998</v>
      </c>
      <c r="D16" s="23">
        <f t="shared" si="5"/>
        <v>3.8221429481471298E-4</v>
      </c>
      <c r="E16" s="11">
        <f t="shared" si="2"/>
        <v>1.6611295681063076E-3</v>
      </c>
      <c r="F16" s="24">
        <f>(B16-$B$2)/$B$2</f>
        <v>2.7681434461095597E-2</v>
      </c>
      <c r="G16" s="11">
        <f t="shared" si="3"/>
        <v>-3.0976393660645078E-2</v>
      </c>
      <c r="H16" s="25">
        <f t="shared" si="0"/>
        <v>89.803854291759606</v>
      </c>
      <c r="I16" s="26">
        <f>MAX($B$2:B16)</f>
        <v>1577.4</v>
      </c>
      <c r="J16" s="27">
        <f t="shared" si="4"/>
        <v>-4.4376822619500442E-3</v>
      </c>
      <c r="K16" s="10">
        <f>MAX($C$2:C16)</f>
        <v>18.393000000000001</v>
      </c>
      <c r="L16" s="11">
        <f t="shared" si="1"/>
        <v>-4.925786984178776E-2</v>
      </c>
    </row>
    <row r="17" spans="1:12" x14ac:dyDescent="0.35">
      <c r="A17" s="5" t="s">
        <v>41</v>
      </c>
      <c r="B17" s="22">
        <v>1589.2</v>
      </c>
      <c r="C17" s="10">
        <v>18.032</v>
      </c>
      <c r="D17" s="23">
        <f t="shared" si="5"/>
        <v>1.197147223637287E-2</v>
      </c>
      <c r="E17" s="11">
        <f t="shared" si="2"/>
        <v>3.1166009035283455E-2</v>
      </c>
      <c r="F17" s="24">
        <f>(B17-$B$2)/$B$2</f>
        <v>3.998429422158245E-2</v>
      </c>
      <c r="G17" s="11">
        <f t="shared" si="3"/>
        <v>-7.7579519006978534E-4</v>
      </c>
      <c r="H17" s="25">
        <f t="shared" si="0"/>
        <v>88.132209405501328</v>
      </c>
      <c r="I17" s="26">
        <f>MAX($B$2:B17)</f>
        <v>1589.2</v>
      </c>
      <c r="J17" s="27">
        <f t="shared" si="4"/>
        <v>0</v>
      </c>
      <c r="K17" s="10">
        <f>MAX($C$2:C17)</f>
        <v>18.393000000000001</v>
      </c>
      <c r="L17" s="11">
        <f t="shared" si="1"/>
        <v>-1.9627032023052281E-2</v>
      </c>
    </row>
    <row r="18" spans="1:12" x14ac:dyDescent="0.35">
      <c r="A18" s="5" t="s">
        <v>45</v>
      </c>
      <c r="B18" s="22">
        <v>1582.4</v>
      </c>
      <c r="C18" s="10">
        <v>17.712</v>
      </c>
      <c r="D18" s="23">
        <f t="shared" si="5"/>
        <v>-4.2788824565818994E-3</v>
      </c>
      <c r="E18" s="11">
        <f t="shared" si="2"/>
        <v>-1.7746228926353167E-2</v>
      </c>
      <c r="F18" s="24">
        <f>(B18-$B$2)/$B$2</f>
        <v>3.553432366991701E-2</v>
      </c>
      <c r="G18" s="11">
        <f t="shared" si="3"/>
        <v>-1.850825667738001E-2</v>
      </c>
      <c r="H18" s="25">
        <f t="shared" si="0"/>
        <v>89.340560072267394</v>
      </c>
      <c r="I18" s="26">
        <f>MAX($B$2:B18)</f>
        <v>1589.2</v>
      </c>
      <c r="J18" s="27">
        <f t="shared" si="4"/>
        <v>-4.2788824565818994E-3</v>
      </c>
      <c r="K18" s="10">
        <f>MAX($C$2:C18)</f>
        <v>18.393000000000001</v>
      </c>
      <c r="L18" s="11">
        <f t="shared" si="1"/>
        <v>-3.7024955145979498E-2</v>
      </c>
    </row>
    <row r="19" spans="1:12" x14ac:dyDescent="0.35">
      <c r="A19" s="5" t="s">
        <v>47</v>
      </c>
      <c r="B19" s="22">
        <v>1555.5</v>
      </c>
      <c r="C19" s="10">
        <v>17.600000000000001</v>
      </c>
      <c r="D19" s="23">
        <f t="shared" si="5"/>
        <v>-1.6999494438827156E-2</v>
      </c>
      <c r="E19" s="11">
        <f t="shared" si="2"/>
        <v>-6.3233965672989121E-3</v>
      </c>
      <c r="F19" s="24">
        <f>(B19-$B$2)/$B$2</f>
        <v>1.793076369347562E-2</v>
      </c>
      <c r="G19" s="11">
        <f t="shared" si="3"/>
        <v>-2.4714618197938489E-2</v>
      </c>
      <c r="H19" s="25">
        <f t="shared" si="0"/>
        <v>88.380681818181813</v>
      </c>
      <c r="I19" s="26">
        <f>MAX($B$2:B19)</f>
        <v>1589.2</v>
      </c>
      <c r="J19" s="27">
        <f t="shared" si="4"/>
        <v>-2.1205638056883996E-2</v>
      </c>
      <c r="K19" s="10">
        <f>MAX($C$2:C19)</f>
        <v>18.393000000000001</v>
      </c>
      <c r="L19" s="11">
        <f t="shared" si="1"/>
        <v>-4.3114228239003925E-2</v>
      </c>
    </row>
    <row r="20" spans="1:12" x14ac:dyDescent="0.35">
      <c r="A20" s="5" t="s">
        <v>49</v>
      </c>
      <c r="B20" s="22">
        <v>1562.8</v>
      </c>
      <c r="C20" s="10">
        <v>17.643000000000001</v>
      </c>
      <c r="D20" s="23">
        <f t="shared" si="5"/>
        <v>4.6930247508839311E-3</v>
      </c>
      <c r="E20" s="11">
        <f t="shared" si="2"/>
        <v>2.4431818181817758E-3</v>
      </c>
      <c r="F20" s="24">
        <f>(B20-$B$2)/$B$2</f>
        <v>2.2707937962175281E-2</v>
      </c>
      <c r="G20" s="11">
        <f t="shared" si="3"/>
        <v>-2.233181868558122E-2</v>
      </c>
      <c r="H20" s="25">
        <f t="shared" si="0"/>
        <v>88.579039845831204</v>
      </c>
      <c r="I20" s="26">
        <f>MAX($B$2:B20)</f>
        <v>1589.2</v>
      </c>
      <c r="J20" s="27">
        <f t="shared" si="4"/>
        <v>-1.6612131890259306E-2</v>
      </c>
      <c r="K20" s="10">
        <f>MAX($C$2:C20)</f>
        <v>18.393000000000001</v>
      </c>
      <c r="L20" s="11">
        <f t="shared" si="1"/>
        <v>-4.0776382319360628E-2</v>
      </c>
    </row>
    <row r="21" spans="1:12" x14ac:dyDescent="0.35">
      <c r="A21" s="5" t="s">
        <v>51</v>
      </c>
      <c r="B21" s="22">
        <v>1570</v>
      </c>
      <c r="C21" s="10">
        <v>17.856999999999999</v>
      </c>
      <c r="D21" s="23">
        <f t="shared" si="5"/>
        <v>4.6071154338367323E-3</v>
      </c>
      <c r="E21" s="11">
        <f t="shared" si="2"/>
        <v>1.2129456441648168E-2</v>
      </c>
      <c r="F21" s="24">
        <f>(B21-$B$2)/$B$2</f>
        <v>2.7419671487468159E-2</v>
      </c>
      <c r="G21" s="11">
        <f t="shared" si="3"/>
        <v>-1.0473235065942594E-2</v>
      </c>
      <c r="H21" s="25">
        <f t="shared" si="0"/>
        <v>87.920703365626935</v>
      </c>
      <c r="I21" s="26">
        <f>MAX($B$2:B21)</f>
        <v>1589.2</v>
      </c>
      <c r="J21" s="27">
        <f t="shared" si="4"/>
        <v>-1.2081550465643119E-2</v>
      </c>
      <c r="K21" s="10">
        <f>MAX($C$2:C21)</f>
        <v>18.393000000000001</v>
      </c>
      <c r="L21" s="11">
        <f t="shared" si="1"/>
        <v>-2.9141521230903134E-2</v>
      </c>
    </row>
    <row r="22" spans="1:12" x14ac:dyDescent="0.35">
      <c r="A22" s="5" t="s">
        <v>55</v>
      </c>
      <c r="B22" s="22">
        <v>1579.5</v>
      </c>
      <c r="C22" s="10">
        <v>17.826000000000001</v>
      </c>
      <c r="D22" s="23">
        <f t="shared" si="5"/>
        <v>6.0509554140127392E-3</v>
      </c>
      <c r="E22" s="11">
        <f t="shared" si="2"/>
        <v>-1.7360138881110381E-3</v>
      </c>
      <c r="F22" s="24">
        <f>(B22-$B$2)/$B$2</f>
        <v>3.3636542111118446E-2</v>
      </c>
      <c r="G22" s="11">
        <f t="shared" si="3"/>
        <v>-1.2191067272525705E-2</v>
      </c>
      <c r="H22" s="25">
        <f t="shared" si="0"/>
        <v>88.60652978795018</v>
      </c>
      <c r="I22" s="26">
        <f>MAX($B$2:B22)</f>
        <v>1589.2</v>
      </c>
      <c r="J22" s="27">
        <f t="shared" si="4"/>
        <v>-6.1036999748301313E-3</v>
      </c>
      <c r="K22" s="10">
        <f>MAX($C$2:C22)</f>
        <v>18.393000000000001</v>
      </c>
      <c r="L22" s="11">
        <f t="shared" si="1"/>
        <v>-3.082694503343664E-2</v>
      </c>
    </row>
    <row r="23" spans="1:12" x14ac:dyDescent="0.35">
      <c r="A23" s="5" t="s">
        <v>57</v>
      </c>
      <c r="B23" s="22">
        <v>1570.1</v>
      </c>
      <c r="C23" s="10">
        <v>17.638000000000002</v>
      </c>
      <c r="D23" s="23">
        <f t="shared" si="5"/>
        <v>-5.9512503956948978E-3</v>
      </c>
      <c r="E23" s="11">
        <f t="shared" si="2"/>
        <v>-1.0546392909233638E-2</v>
      </c>
      <c r="F23" s="24">
        <f>(B23-$B$2)/$B$2</f>
        <v>2.7485112230874943E-2</v>
      </c>
      <c r="G23" s="11">
        <f t="shared" si="3"/>
        <v>-2.2608888396320387E-2</v>
      </c>
      <c r="H23" s="25">
        <f t="shared" si="0"/>
        <v>89.018029255017566</v>
      </c>
      <c r="I23" s="26">
        <f>MAX($B$2:B23)</f>
        <v>1589.2</v>
      </c>
      <c r="J23" s="27">
        <f t="shared" si="4"/>
        <v>-1.2018625723634619E-2</v>
      </c>
      <c r="K23" s="10">
        <f>MAX($C$2:C23)</f>
        <v>18.393000000000001</v>
      </c>
      <c r="L23" s="11">
        <f t="shared" si="1"/>
        <v>-4.1048224868156305E-2</v>
      </c>
    </row>
    <row r="24" spans="1:12" x14ac:dyDescent="0.35">
      <c r="A24" s="5" t="s">
        <v>59</v>
      </c>
      <c r="B24" s="22">
        <v>1571.6</v>
      </c>
      <c r="C24" s="10">
        <v>17.536999999999999</v>
      </c>
      <c r="D24" s="23">
        <f t="shared" si="5"/>
        <v>9.5535316221896703E-4</v>
      </c>
      <c r="E24" s="11">
        <f t="shared" si="2"/>
        <v>-5.7262728200477737E-3</v>
      </c>
      <c r="F24" s="24">
        <f>(B24-$B$2)/$B$2</f>
        <v>2.8466723381977622E-2</v>
      </c>
      <c r="G24" s="11">
        <f t="shared" si="3"/>
        <v>-2.8205696553252817E-2</v>
      </c>
      <c r="H24" s="25">
        <f t="shared" si="0"/>
        <v>89.616239949820383</v>
      </c>
      <c r="I24" s="26">
        <f>MAX($B$2:B24)</f>
        <v>1589.2</v>
      </c>
      <c r="J24" s="27">
        <f t="shared" si="4"/>
        <v>-1.1074754593506252E-2</v>
      </c>
      <c r="K24" s="10">
        <f>MAX($C$2:C24)</f>
        <v>18.393000000000001</v>
      </c>
      <c r="L24" s="11">
        <f t="shared" si="1"/>
        <v>-4.6539444353830346E-2</v>
      </c>
    </row>
    <row r="25" spans="1:12" x14ac:dyDescent="0.35">
      <c r="A25" s="5" t="s">
        <v>61</v>
      </c>
      <c r="B25" s="22">
        <v>1578.8</v>
      </c>
      <c r="C25" s="10">
        <v>17.66</v>
      </c>
      <c r="D25" s="23">
        <f t="shared" si="5"/>
        <v>4.5813184016289428E-3</v>
      </c>
      <c r="E25" s="11">
        <f t="shared" si="2"/>
        <v>7.013742373268011E-3</v>
      </c>
      <c r="F25" s="24">
        <f>(B25-$B$2)/$B$2</f>
        <v>3.3178456907270497E-2</v>
      </c>
      <c r="G25" s="11">
        <f t="shared" si="3"/>
        <v>-2.1389781669067895E-2</v>
      </c>
      <c r="H25" s="25">
        <f t="shared" si="0"/>
        <v>89.399773499433749</v>
      </c>
      <c r="I25" s="26">
        <f>MAX($B$2:B25)</f>
        <v>1589.2</v>
      </c>
      <c r="J25" s="27">
        <f t="shared" si="4"/>
        <v>-6.5441731688900646E-3</v>
      </c>
      <c r="K25" s="10">
        <f>MAX($C$2:C25)</f>
        <v>18.393000000000001</v>
      </c>
      <c r="L25" s="11">
        <f t="shared" si="1"/>
        <v>-3.9852117653455144E-2</v>
      </c>
    </row>
    <row r="26" spans="1:12" x14ac:dyDescent="0.35">
      <c r="A26" s="5" t="s">
        <v>67</v>
      </c>
      <c r="B26" s="22">
        <v>1603.6</v>
      </c>
      <c r="C26" s="10">
        <v>18.192</v>
      </c>
      <c r="D26" s="23">
        <f t="shared" si="5"/>
        <v>1.5708132759057483E-2</v>
      </c>
      <c r="E26" s="11">
        <f t="shared" si="2"/>
        <v>3.0124575311438279E-2</v>
      </c>
      <c r="F26" s="24">
        <f>(B26-$B$2)/$B$2</f>
        <v>4.9407761272168053E-2</v>
      </c>
      <c r="G26" s="11">
        <f t="shared" si="3"/>
        <v>8.0904355535853269E-3</v>
      </c>
      <c r="H26" s="25">
        <f t="shared" si="0"/>
        <v>88.148636763412483</v>
      </c>
      <c r="I26" s="26">
        <f>MAX($B$2:B26)</f>
        <v>1603.6</v>
      </c>
      <c r="J26" s="27">
        <f t="shared" si="4"/>
        <v>0</v>
      </c>
      <c r="K26" s="10">
        <f>MAX($C$2:C26)</f>
        <v>18.393000000000001</v>
      </c>
      <c r="L26" s="11">
        <f t="shared" si="1"/>
        <v>-1.0928070461588675E-2</v>
      </c>
    </row>
    <row r="27" spans="1:12" x14ac:dyDescent="0.35">
      <c r="A27" s="5" t="s">
        <v>68</v>
      </c>
      <c r="B27" s="22">
        <v>1611.8</v>
      </c>
      <c r="C27" s="10">
        <v>18.359000000000002</v>
      </c>
      <c r="D27" s="23">
        <f t="shared" si="5"/>
        <v>5.1134946370666292E-3</v>
      </c>
      <c r="E27" s="11">
        <f t="shared" si="2"/>
        <v>9.1798592788039576E-3</v>
      </c>
      <c r="F27" s="24">
        <f>(B27-$B$2)/$B$2</f>
        <v>5.4773902231529385E-2</v>
      </c>
      <c r="G27" s="11">
        <f t="shared" si="3"/>
        <v>1.7344563892275431E-2</v>
      </c>
      <c r="H27" s="25">
        <f t="shared" si="0"/>
        <v>87.793452802440214</v>
      </c>
      <c r="I27" s="26">
        <f>MAX($B$2:B27)</f>
        <v>1611.8</v>
      </c>
      <c r="J27" s="27">
        <f t="shared" si="4"/>
        <v>0</v>
      </c>
      <c r="K27" s="10">
        <f>MAX($C$2:C27)</f>
        <v>18.393000000000001</v>
      </c>
      <c r="L27" s="11">
        <f t="shared" si="1"/>
        <v>-1.8485293318109563E-3</v>
      </c>
    </row>
    <row r="28" spans="1:12" x14ac:dyDescent="0.35">
      <c r="A28" s="5" t="s">
        <v>70</v>
      </c>
      <c r="B28" s="22">
        <v>1620.5</v>
      </c>
      <c r="C28" s="10">
        <v>18.367000000000001</v>
      </c>
      <c r="D28" s="23">
        <f t="shared" si="5"/>
        <v>5.3976920213426264E-3</v>
      </c>
      <c r="E28" s="11">
        <f t="shared" si="2"/>
        <v>4.3575358134969867E-4</v>
      </c>
      <c r="F28" s="24">
        <f>(B28-$B$2)/$B$2</f>
        <v>6.0467246907924939E-2</v>
      </c>
      <c r="G28" s="11">
        <f t="shared" si="3"/>
        <v>1.7787875429458137E-2</v>
      </c>
      <c r="H28" s="25">
        <f t="shared" si="0"/>
        <v>88.228888767898951</v>
      </c>
      <c r="I28" s="26">
        <f>MAX($B$2:B28)</f>
        <v>1620.5</v>
      </c>
      <c r="J28" s="27">
        <f t="shared" si="4"/>
        <v>0</v>
      </c>
      <c r="K28" s="10">
        <f>MAX($C$2:C28)</f>
        <v>18.393000000000001</v>
      </c>
      <c r="L28" s="11">
        <f t="shared" si="1"/>
        <v>-1.4135812537378243E-3</v>
      </c>
    </row>
    <row r="29" spans="1:12" x14ac:dyDescent="0.35">
      <c r="A29" s="5" t="s">
        <v>74</v>
      </c>
      <c r="B29" s="22">
        <v>1676.6</v>
      </c>
      <c r="C29" s="10">
        <v>18.922999999999998</v>
      </c>
      <c r="D29" s="23">
        <f t="shared" si="5"/>
        <v>3.4618944770132616E-2</v>
      </c>
      <c r="E29" s="11">
        <f t="shared" si="2"/>
        <v>3.0271682909565927E-2</v>
      </c>
      <c r="F29" s="24">
        <f>(B29-$B$2)/$B$2</f>
        <v>9.7179503959164984E-2</v>
      </c>
      <c r="G29" s="11">
        <f t="shared" si="3"/>
        <v>4.8598027263659478E-2</v>
      </c>
      <c r="H29" s="25">
        <f t="shared" si="0"/>
        <v>88.601173175500719</v>
      </c>
      <c r="I29" s="26">
        <f>MAX($B$2:B29)</f>
        <v>1676.6</v>
      </c>
      <c r="J29" s="27">
        <f t="shared" si="4"/>
        <v>0</v>
      </c>
      <c r="K29" s="10">
        <f>MAX($C$2:C29)</f>
        <v>18.922999999999998</v>
      </c>
      <c r="L29" s="11">
        <f t="shared" si="1"/>
        <v>0</v>
      </c>
    </row>
    <row r="30" spans="1:12" x14ac:dyDescent="0.35">
      <c r="A30" s="5" t="s">
        <v>76</v>
      </c>
      <c r="B30" s="22">
        <v>1650</v>
      </c>
      <c r="C30" s="10">
        <v>18.228999999999999</v>
      </c>
      <c r="D30" s="23">
        <f t="shared" si="5"/>
        <v>-1.5865441965883281E-2</v>
      </c>
      <c r="E30" s="11">
        <f t="shared" si="2"/>
        <v>-3.66749458331131E-2</v>
      </c>
      <c r="F30" s="24">
        <f>(B30-$B$2)/$B$2</f>
        <v>7.977226621294424E-2</v>
      </c>
      <c r="G30" s="11">
        <f t="shared" si="3"/>
        <v>1.0140751413055515E-2</v>
      </c>
      <c r="H30" s="25">
        <f t="shared" si="0"/>
        <v>90.51511328103571</v>
      </c>
      <c r="I30" s="26">
        <f>MAX($B$2:B30)</f>
        <v>1676.6</v>
      </c>
      <c r="J30" s="27">
        <f t="shared" si="4"/>
        <v>-1.5865441965883281E-2</v>
      </c>
      <c r="K30" s="10">
        <f>MAX($C$2:C30)</f>
        <v>18.922999999999998</v>
      </c>
      <c r="L30" s="11">
        <f t="shared" si="1"/>
        <v>-3.66749458331131E-2</v>
      </c>
    </row>
    <row r="31" spans="1:12" x14ac:dyDescent="0.35">
      <c r="A31" s="5" t="s">
        <v>78</v>
      </c>
      <c r="B31" s="22">
        <v>1643.1</v>
      </c>
      <c r="C31" s="10">
        <v>17.873999999999999</v>
      </c>
      <c r="D31" s="23">
        <f t="shared" si="5"/>
        <v>-4.181818181818237E-3</v>
      </c>
      <c r="E31" s="11">
        <f t="shared" si="2"/>
        <v>-1.9474463766525889E-2</v>
      </c>
      <c r="F31" s="24">
        <f>(B31-$B$2)/$B$2</f>
        <v>7.5256854917871874E-2</v>
      </c>
      <c r="G31" s="11">
        <f t="shared" si="3"/>
        <v>-9.5311980494292691E-3</v>
      </c>
      <c r="H31" s="25">
        <f t="shared" si="0"/>
        <v>91.926821080899629</v>
      </c>
      <c r="I31" s="26">
        <f>MAX($B$2:B31)</f>
        <v>1676.6</v>
      </c>
      <c r="J31" s="27">
        <f t="shared" si="4"/>
        <v>-1.9980913754026008E-2</v>
      </c>
      <c r="K31" s="10">
        <f>MAX($C$2:C31)</f>
        <v>18.922999999999998</v>
      </c>
      <c r="L31" s="11">
        <f t="shared" si="1"/>
        <v>-5.5435184695872726E-2</v>
      </c>
    </row>
    <row r="32" spans="1:12" x14ac:dyDescent="0.35">
      <c r="A32" s="5" t="s">
        <v>80</v>
      </c>
      <c r="B32" s="22">
        <v>1642.5</v>
      </c>
      <c r="C32" s="10">
        <v>17.734999999999999</v>
      </c>
      <c r="D32" s="23">
        <f t="shared" si="5"/>
        <v>-3.6516341062619993E-4</v>
      </c>
      <c r="E32" s="11">
        <f t="shared" si="2"/>
        <v>-7.776658834060611E-3</v>
      </c>
      <c r="F32" s="24">
        <f>(B32-$B$2)/$B$2</f>
        <v>7.4864210457430858E-2</v>
      </c>
      <c r="G32" s="11">
        <f t="shared" si="3"/>
        <v>-1.7233736007979606E-2</v>
      </c>
      <c r="H32" s="25">
        <f t="shared" si="0"/>
        <v>92.613476177051027</v>
      </c>
      <c r="I32" s="26">
        <f>MAX($B$2:B32)</f>
        <v>1676.6</v>
      </c>
      <c r="J32" s="27">
        <f t="shared" si="4"/>
        <v>-2.0338780866038356E-2</v>
      </c>
      <c r="K32" s="10">
        <f>MAX($C$2:C32)</f>
        <v>18.922999999999998</v>
      </c>
      <c r="L32" s="11">
        <f t="shared" si="1"/>
        <v>-6.27807430111504E-2</v>
      </c>
    </row>
    <row r="33" spans="1:12" x14ac:dyDescent="0.35">
      <c r="A33" s="5" t="s">
        <v>84</v>
      </c>
      <c r="B33" s="22">
        <v>1594.8</v>
      </c>
      <c r="C33" s="10">
        <v>16.739000000000001</v>
      </c>
      <c r="D33" s="23">
        <f t="shared" si="5"/>
        <v>-2.9041095890410987E-2</v>
      </c>
      <c r="E33" s="11">
        <f t="shared" si="2"/>
        <v>-5.616013532562722E-2</v>
      </c>
      <c r="F33" s="24">
        <f>(B33-$B$2)/$B$2</f>
        <v>4.3648975852365712E-2</v>
      </c>
      <c r="G33" s="11">
        <f t="shared" si="3"/>
        <v>-7.2426022387232558E-2</v>
      </c>
      <c r="H33" s="25">
        <f t="shared" si="0"/>
        <v>95.27450863253479</v>
      </c>
      <c r="I33" s="26">
        <f>MAX($B$2:B33)</f>
        <v>1676.6</v>
      </c>
      <c r="J33" s="27">
        <f t="shared" si="4"/>
        <v>-4.8789216271024671E-2</v>
      </c>
      <c r="K33" s="10">
        <f>MAX($C$2:C33)</f>
        <v>18.922999999999998</v>
      </c>
      <c r="L33" s="11">
        <f t="shared" si="1"/>
        <v>-0.11541510331342798</v>
      </c>
    </row>
    <row r="34" spans="1:12" x14ac:dyDescent="0.35">
      <c r="A34" s="5" t="s">
        <v>86</v>
      </c>
      <c r="B34" s="22">
        <v>1644.4</v>
      </c>
      <c r="C34" s="10">
        <v>17.187999999999999</v>
      </c>
      <c r="D34" s="23">
        <f t="shared" si="5"/>
        <v>3.1101078505141797E-2</v>
      </c>
      <c r="E34" s="11">
        <f t="shared" si="2"/>
        <v>2.6823585638329532E-2</v>
      </c>
      <c r="F34" s="24">
        <f>(B34-$B$2)/$B$2</f>
        <v>7.6107584582160978E-2</v>
      </c>
      <c r="G34" s="11">
        <f t="shared" si="3"/>
        <v>-4.7545162362850522E-2</v>
      </c>
      <c r="H34" s="25">
        <f t="shared" si="0"/>
        <v>95.671398650221093</v>
      </c>
      <c r="I34" s="26">
        <f>MAX($B$2:B34)</f>
        <v>1676.6</v>
      </c>
      <c r="J34" s="27">
        <f t="shared" si="4"/>
        <v>-1.9205535011332351E-2</v>
      </c>
      <c r="K34" s="10">
        <f>MAX($C$2:C34)</f>
        <v>18.922999999999998</v>
      </c>
      <c r="L34" s="11">
        <f t="shared" si="1"/>
        <v>-9.1687364582782829E-2</v>
      </c>
    </row>
    <row r="35" spans="1:12" x14ac:dyDescent="0.35">
      <c r="A35" s="5" t="s">
        <v>88</v>
      </c>
      <c r="B35" s="22">
        <v>1643</v>
      </c>
      <c r="C35" s="10">
        <v>17.245999999999999</v>
      </c>
      <c r="D35" s="23">
        <f t="shared" si="5"/>
        <v>-8.513743614692842E-4</v>
      </c>
      <c r="E35" s="11">
        <f t="shared" si="2"/>
        <v>3.374447288806134E-3</v>
      </c>
      <c r="F35" s="24">
        <f>(B35-$B$2)/$B$2</f>
        <v>7.5191414174465079E-2</v>
      </c>
      <c r="G35" s="11">
        <f t="shared" si="3"/>
        <v>-4.4331153718275562E-2</v>
      </c>
      <c r="H35" s="25">
        <f t="shared" si="0"/>
        <v>95.268468050562461</v>
      </c>
      <c r="I35" s="26">
        <f>MAX($B$2:B35)</f>
        <v>1676.6</v>
      </c>
      <c r="J35" s="27">
        <f t="shared" si="4"/>
        <v>-2.0040558272694686E-2</v>
      </c>
      <c r="K35" s="10">
        <f>MAX($C$2:C35)</f>
        <v>18.922999999999998</v>
      </c>
      <c r="L35" s="11">
        <f t="shared" si="1"/>
        <v>-8.8622311472810855E-2</v>
      </c>
    </row>
    <row r="36" spans="1:12" x14ac:dyDescent="0.35">
      <c r="A36" s="5" t="s">
        <v>90</v>
      </c>
      <c r="B36" s="22">
        <v>1668</v>
      </c>
      <c r="C36" s="10">
        <v>17.393000000000001</v>
      </c>
      <c r="D36" s="23">
        <f t="shared" si="5"/>
        <v>1.5216068167985392E-2</v>
      </c>
      <c r="E36" s="11">
        <f t="shared" si="2"/>
        <v>8.5237156442074698E-3</v>
      </c>
      <c r="F36" s="24">
        <f>(B36-$B$2)/$B$2</f>
        <v>9.1551600026176364E-2</v>
      </c>
      <c r="G36" s="11">
        <f t="shared" si="3"/>
        <v>-3.6185304222542319E-2</v>
      </c>
      <c r="H36" s="25">
        <f t="shared" si="0"/>
        <v>95.900649686655541</v>
      </c>
      <c r="I36" s="26">
        <f>MAX($B$2:B36)</f>
        <v>1676.6</v>
      </c>
      <c r="J36" s="27">
        <f t="shared" si="4"/>
        <v>-5.1294286055110997E-3</v>
      </c>
      <c r="K36" s="10">
        <f>MAX($C$2:C36)</f>
        <v>18.922999999999998</v>
      </c>
      <c r="L36" s="11">
        <f t="shared" si="1"/>
        <v>-8.0853987211330011E-2</v>
      </c>
    </row>
    <row r="37" spans="1:12" x14ac:dyDescent="0.35">
      <c r="A37" s="5" t="s">
        <v>94</v>
      </c>
      <c r="B37" s="22">
        <v>1675.7</v>
      </c>
      <c r="C37" s="10">
        <v>17.053999999999998</v>
      </c>
      <c r="D37" s="23">
        <f t="shared" si="5"/>
        <v>4.6163069544364783E-3</v>
      </c>
      <c r="E37" s="11">
        <f t="shared" si="2"/>
        <v>-1.9490599666532639E-2</v>
      </c>
      <c r="F37" s="24">
        <f>(B37-$B$2)/$B$2</f>
        <v>9.659053726850346E-2</v>
      </c>
      <c r="G37" s="11">
        <f t="shared" si="3"/>
        <v>-5.4970630610661694E-2</v>
      </c>
      <c r="H37" s="25">
        <f t="shared" si="0"/>
        <v>98.258473085493151</v>
      </c>
      <c r="I37" s="26">
        <f>MAX($B$2:B37)</f>
        <v>1676.6</v>
      </c>
      <c r="J37" s="27">
        <f t="shared" si="4"/>
        <v>-5.3680066801852779E-4</v>
      </c>
      <c r="K37" s="10">
        <f>MAX($C$2:C37)</f>
        <v>18.922999999999998</v>
      </c>
      <c r="L37" s="11">
        <f t="shared" si="1"/>
        <v>-9.8768694181683658E-2</v>
      </c>
    </row>
    <row r="38" spans="1:12" x14ac:dyDescent="0.35">
      <c r="A38" s="5" t="s">
        <v>96</v>
      </c>
      <c r="B38" s="22">
        <v>1660.3</v>
      </c>
      <c r="C38" s="10">
        <v>16.954999999999998</v>
      </c>
      <c r="D38" s="23">
        <f t="shared" si="5"/>
        <v>-9.1901891746733241E-3</v>
      </c>
      <c r="E38" s="11">
        <f t="shared" si="2"/>
        <v>-5.8050897150228806E-3</v>
      </c>
      <c r="F38" s="24">
        <f>(B38-$B$2)/$B$2</f>
        <v>8.6512662783849253E-2</v>
      </c>
      <c r="G38" s="11">
        <f t="shared" si="3"/>
        <v>-6.0456610883298297E-2</v>
      </c>
      <c r="H38" s="25">
        <f t="shared" si="0"/>
        <v>97.923916248894145</v>
      </c>
      <c r="I38" s="26">
        <f>MAX($B$2:B38)</f>
        <v>1676.6</v>
      </c>
      <c r="J38" s="27">
        <f t="shared" si="4"/>
        <v>-9.7220565430036713E-3</v>
      </c>
      <c r="K38" s="10">
        <f>MAX($C$2:C38)</f>
        <v>18.922999999999998</v>
      </c>
      <c r="L38" s="11">
        <f t="shared" si="1"/>
        <v>-0.1040004227659462</v>
      </c>
    </row>
    <row r="39" spans="1:12" x14ac:dyDescent="0.35">
      <c r="A39" s="5" t="s">
        <v>98</v>
      </c>
      <c r="B39" s="22">
        <v>1642.3</v>
      </c>
      <c r="C39" s="10">
        <v>16.776</v>
      </c>
      <c r="D39" s="23">
        <f t="shared" si="5"/>
        <v>-1.0841414202252606E-2</v>
      </c>
      <c r="E39" s="11">
        <f t="shared" si="2"/>
        <v>-1.0557357711589414E-2</v>
      </c>
      <c r="F39" s="24">
        <f>(B39-$B$2)/$B$2</f>
        <v>7.4733328970617144E-2</v>
      </c>
      <c r="G39" s="11">
        <f t="shared" si="3"/>
        <v>-7.0375706527762358E-2</v>
      </c>
      <c r="H39" s="25">
        <f t="shared" si="0"/>
        <v>97.895803528850735</v>
      </c>
      <c r="I39" s="26">
        <f>MAX($B$2:B39)</f>
        <v>1676.6</v>
      </c>
      <c r="J39" s="27">
        <f t="shared" si="4"/>
        <v>-2.0458069903375852E-2</v>
      </c>
      <c r="K39" s="10">
        <f>MAX($C$2:C39)</f>
        <v>18.922999999999998</v>
      </c>
      <c r="L39" s="11">
        <f t="shared" si="1"/>
        <v>-0.11345981081223901</v>
      </c>
    </row>
    <row r="40" spans="1:12" x14ac:dyDescent="0.35">
      <c r="A40" s="5" t="s">
        <v>100</v>
      </c>
      <c r="B40" s="22">
        <v>1590.3</v>
      </c>
      <c r="C40" s="10">
        <v>16.004999999999999</v>
      </c>
      <c r="D40" s="23">
        <f t="shared" si="5"/>
        <v>-3.1662911770078551E-2</v>
      </c>
      <c r="E40" s="11">
        <f t="shared" si="2"/>
        <v>-4.5958512160228948E-2</v>
      </c>
      <c r="F40" s="24">
        <f>(B40-$B$2)/$B$2</f>
        <v>4.0704142399057688E-2</v>
      </c>
      <c r="G40" s="11">
        <f t="shared" si="3"/>
        <v>-0.11309985592375044</v>
      </c>
      <c r="H40" s="25">
        <f t="shared" si="0"/>
        <v>99.3626991565136</v>
      </c>
      <c r="I40" s="26">
        <f>MAX($B$2:B40)</f>
        <v>1676.6</v>
      </c>
      <c r="J40" s="27">
        <f t="shared" si="4"/>
        <v>-5.1473219611117713E-2</v>
      </c>
      <c r="K40" s="10">
        <f>MAX($C$2:C40)</f>
        <v>18.922999999999998</v>
      </c>
      <c r="L40" s="11">
        <f t="shared" si="1"/>
        <v>-0.15420387887755638</v>
      </c>
    </row>
    <row r="41" spans="1:12" x14ac:dyDescent="0.35">
      <c r="A41" s="5" t="s">
        <v>104</v>
      </c>
      <c r="B41" s="22">
        <v>1486.5</v>
      </c>
      <c r="C41" s="10">
        <v>12.816000000000001</v>
      </c>
      <c r="D41" s="23">
        <f t="shared" si="5"/>
        <v>-6.5270703640822464E-2</v>
      </c>
      <c r="E41" s="11">
        <f t="shared" si="2"/>
        <v>-0.1992502343017806</v>
      </c>
      <c r="F41" s="24">
        <f>(B41-$B$2)/$B$2</f>
        <v>-2.7223349257247505E-2</v>
      </c>
      <c r="G41" s="11">
        <f t="shared" si="3"/>
        <v>-0.28981491743322613</v>
      </c>
      <c r="H41" s="25">
        <f t="shared" si="0"/>
        <v>115.98782771535579</v>
      </c>
      <c r="I41" s="26">
        <f>MAX($B$2:B41)</f>
        <v>1676.6</v>
      </c>
      <c r="J41" s="27">
        <f t="shared" si="4"/>
        <v>-0.11338422998926394</v>
      </c>
      <c r="K41" s="10">
        <f>MAX($C$2:C41)</f>
        <v>18.922999999999998</v>
      </c>
      <c r="L41" s="11">
        <f t="shared" si="1"/>
        <v>-0.3227289541827405</v>
      </c>
    </row>
    <row r="42" spans="1:12" x14ac:dyDescent="0.35">
      <c r="A42" s="5" t="s">
        <v>106</v>
      </c>
      <c r="B42" s="22">
        <v>1525.8</v>
      </c>
      <c r="C42" s="10">
        <v>12.494999999999999</v>
      </c>
      <c r="D42" s="23">
        <f t="shared" si="5"/>
        <v>2.6437941473259303E-2</v>
      </c>
      <c r="E42" s="11">
        <f t="shared" si="2"/>
        <v>-2.5046816479400866E-2</v>
      </c>
      <c r="F42" s="24">
        <f>(B42-$B$2)/$B$2</f>
        <v>-1.5051370983574076E-3</v>
      </c>
      <c r="G42" s="11">
        <f t="shared" si="3"/>
        <v>-0.30760279286268427</v>
      </c>
      <c r="H42" s="25">
        <f t="shared" si="0"/>
        <v>122.11284513805522</v>
      </c>
      <c r="I42" s="26">
        <f>MAX($B$2:B42)</f>
        <v>1676.6</v>
      </c>
      <c r="J42" s="27">
        <f t="shared" si="4"/>
        <v>-8.9943934152451374E-2</v>
      </c>
      <c r="K42" s="10">
        <f>MAX($C$2:C42)</f>
        <v>18.922999999999998</v>
      </c>
      <c r="L42" s="11">
        <f t="shared" si="1"/>
        <v>-0.33969243777413727</v>
      </c>
    </row>
    <row r="43" spans="1:12" x14ac:dyDescent="0.35">
      <c r="A43" s="5" t="s">
        <v>108</v>
      </c>
      <c r="B43" s="22">
        <v>1477.9</v>
      </c>
      <c r="C43" s="10">
        <v>11.772</v>
      </c>
      <c r="D43" s="23">
        <f t="shared" si="5"/>
        <v>-3.1393367413815612E-2</v>
      </c>
      <c r="E43" s="11">
        <f t="shared" si="2"/>
        <v>-5.7863145258103162E-2</v>
      </c>
      <c r="F43" s="24">
        <f>(B43-$B$2)/$B$2</f>
        <v>-3.2851253190236122E-2</v>
      </c>
      <c r="G43" s="11">
        <f t="shared" si="3"/>
        <v>-0.3476670730355757</v>
      </c>
      <c r="H43" s="25">
        <f t="shared" si="0"/>
        <v>125.54366292898403</v>
      </c>
      <c r="I43" s="26">
        <f>MAX($B$2:B43)</f>
        <v>1676.6</v>
      </c>
      <c r="J43" s="27">
        <f t="shared" si="4"/>
        <v>-0.11851365859477504</v>
      </c>
      <c r="K43" s="10">
        <f>MAX($C$2:C43)</f>
        <v>18.922999999999998</v>
      </c>
      <c r="L43" s="11">
        <f t="shared" si="1"/>
        <v>-0.37789991016223634</v>
      </c>
    </row>
    <row r="44" spans="1:12" x14ac:dyDescent="0.35">
      <c r="A44" s="5" t="s">
        <v>110</v>
      </c>
      <c r="B44" s="22">
        <v>1479.3</v>
      </c>
      <c r="C44" s="10">
        <v>12.134</v>
      </c>
      <c r="D44" s="23">
        <f t="shared" si="5"/>
        <v>9.4729007375320628E-4</v>
      </c>
      <c r="E44" s="11">
        <f t="shared" si="2"/>
        <v>3.0750934420659199E-2</v>
      </c>
      <c r="F44" s="24">
        <f>(B44-$B$2)/$B$2</f>
        <v>-3.1935082782540383E-2</v>
      </c>
      <c r="G44" s="11">
        <f t="shared" si="3"/>
        <v>-0.32760722597805603</v>
      </c>
      <c r="H44" s="25">
        <f t="shared" si="0"/>
        <v>121.91363111916927</v>
      </c>
      <c r="I44" s="26">
        <f>MAX($B$2:B44)</f>
        <v>1676.6</v>
      </c>
      <c r="J44" s="27">
        <f t="shared" si="4"/>
        <v>-0.11767863533341284</v>
      </c>
      <c r="K44" s="10">
        <f>MAX($C$2:C44)</f>
        <v>18.922999999999998</v>
      </c>
      <c r="L44" s="11">
        <f t="shared" si="1"/>
        <v>-0.35876975109654907</v>
      </c>
    </row>
    <row r="45" spans="1:12" x14ac:dyDescent="0.35">
      <c r="A45" s="5" t="s">
        <v>114</v>
      </c>
      <c r="B45" s="22">
        <v>1567.6</v>
      </c>
      <c r="C45" s="10">
        <v>13.260999999999999</v>
      </c>
      <c r="D45" s="23">
        <f t="shared" si="5"/>
        <v>5.9690394105320052E-2</v>
      </c>
      <c r="E45" s="11">
        <f t="shared" si="2"/>
        <v>9.2879512114718871E-2</v>
      </c>
      <c r="F45" s="24">
        <f>(B45-$B$2)/$B$2</f>
        <v>2.5849093645703817E-2</v>
      </c>
      <c r="G45" s="11">
        <f t="shared" si="3"/>
        <v>-0.26515571317743547</v>
      </c>
      <c r="H45" s="25">
        <f t="shared" si="0"/>
        <v>118.21129628233165</v>
      </c>
      <c r="I45" s="26">
        <f>MAX($B$2:B45)</f>
        <v>1676.6</v>
      </c>
      <c r="J45" s="27">
        <f t="shared" si="4"/>
        <v>-6.5012525348920436E-2</v>
      </c>
      <c r="K45" s="10">
        <f>MAX($C$2:C45)</f>
        <v>18.922999999999998</v>
      </c>
      <c r="L45" s="11">
        <f t="shared" si="1"/>
        <v>-0.29921259842519682</v>
      </c>
    </row>
    <row r="46" spans="1:12" x14ac:dyDescent="0.35">
      <c r="A46" s="5" t="s">
        <v>116</v>
      </c>
      <c r="B46" s="22">
        <v>1660.8</v>
      </c>
      <c r="C46" s="10">
        <v>14.257</v>
      </c>
      <c r="D46" s="23">
        <f t="shared" si="5"/>
        <v>5.9453942332227644E-2</v>
      </c>
      <c r="E46" s="11">
        <f t="shared" si="2"/>
        <v>7.5107457959429941E-2</v>
      </c>
      <c r="F46" s="24">
        <f>(B46-$B$2)/$B$2</f>
        <v>8.6839866500883489E-2</v>
      </c>
      <c r="G46" s="11">
        <f t="shared" si="3"/>
        <v>-0.20996342679818242</v>
      </c>
      <c r="H46" s="25">
        <f t="shared" si="0"/>
        <v>116.49014519183559</v>
      </c>
      <c r="I46" s="26">
        <f>MAX($B$2:B46)</f>
        <v>1676.6</v>
      </c>
      <c r="J46" s="27">
        <f t="shared" si="4"/>
        <v>-9.4238339496599995E-3</v>
      </c>
      <c r="K46" s="10">
        <f>MAX($C$2:C46)</f>
        <v>18.922999999999998</v>
      </c>
      <c r="L46" s="11">
        <f t="shared" si="1"/>
        <v>-0.24657823812291915</v>
      </c>
    </row>
    <row r="47" spans="1:12" x14ac:dyDescent="0.35">
      <c r="A47" s="5" t="s">
        <v>118</v>
      </c>
      <c r="B47" s="22">
        <v>1633.4</v>
      </c>
      <c r="C47" s="10">
        <v>14.872999999999999</v>
      </c>
      <c r="D47" s="23">
        <f t="shared" si="5"/>
        <v>-1.6498073217726315E-2</v>
      </c>
      <c r="E47" s="11">
        <f t="shared" si="2"/>
        <v>4.3206845759977533E-2</v>
      </c>
      <c r="F47" s="24">
        <f>(B47-$B$2)/$B$2</f>
        <v>6.8909102807408015E-2</v>
      </c>
      <c r="G47" s="11">
        <f t="shared" si="3"/>
        <v>-0.17582843843511028</v>
      </c>
      <c r="H47" s="25">
        <f t="shared" si="0"/>
        <v>109.82316950178176</v>
      </c>
      <c r="I47" s="26">
        <f>MAX($B$2:B47)</f>
        <v>1676.6</v>
      </c>
      <c r="J47" s="27">
        <f t="shared" si="4"/>
        <v>-2.5766432064893128E-2</v>
      </c>
      <c r="K47" s="10">
        <f>MAX($C$2:C47)</f>
        <v>18.922999999999998</v>
      </c>
      <c r="L47" s="11">
        <f t="shared" si="1"/>
        <v>-0.21402526026528559</v>
      </c>
    </row>
    <row r="48" spans="1:12" x14ac:dyDescent="0.35">
      <c r="A48" s="5" t="s">
        <v>120</v>
      </c>
      <c r="B48" s="22">
        <v>1651.2</v>
      </c>
      <c r="C48" s="10">
        <v>14.676</v>
      </c>
      <c r="D48" s="23">
        <f t="shared" si="5"/>
        <v>1.0897514387167842E-2</v>
      </c>
      <c r="E48" s="11">
        <f t="shared" si="2"/>
        <v>-1.3245478383648167E-2</v>
      </c>
      <c r="F48" s="24">
        <f>(B48-$B$2)/$B$2</f>
        <v>8.0557555133826411E-2</v>
      </c>
      <c r="G48" s="11">
        <f t="shared" si="3"/>
        <v>-0.18674498503823558</v>
      </c>
      <c r="H48" s="25">
        <f t="shared" si="0"/>
        <v>112.5102207686018</v>
      </c>
      <c r="I48" s="26">
        <f>MAX($B$2:B48)</f>
        <v>1676.6</v>
      </c>
      <c r="J48" s="27">
        <f t="shared" si="4"/>
        <v>-1.5149707741858443E-2</v>
      </c>
      <c r="K48" s="10">
        <f>MAX($C$2:C48)</f>
        <v>18.922999999999998</v>
      </c>
      <c r="L48" s="11">
        <f t="shared" si="1"/>
        <v>-0.22443587169053525</v>
      </c>
    </row>
    <row r="49" spans="1:12" x14ac:dyDescent="0.35">
      <c r="A49" s="5" t="s">
        <v>124</v>
      </c>
      <c r="B49" s="22">
        <v>1643.2</v>
      </c>
      <c r="C49" s="10">
        <v>14.156000000000001</v>
      </c>
      <c r="D49" s="23">
        <f t="shared" si="5"/>
        <v>-4.8449612403100775E-3</v>
      </c>
      <c r="E49" s="11">
        <f t="shared" si="2"/>
        <v>-3.5431997819569336E-2</v>
      </c>
      <c r="F49" s="24">
        <f>(B49-$B$2)/$B$2</f>
        <v>7.5322295661278807E-2</v>
      </c>
      <c r="G49" s="11">
        <f t="shared" si="3"/>
        <v>-0.21556023495511464</v>
      </c>
      <c r="H49" s="25">
        <f t="shared" si="0"/>
        <v>116.07798813224075</v>
      </c>
      <c r="I49" s="26">
        <f>MAX($B$2:B49)</f>
        <v>1676.6</v>
      </c>
      <c r="J49" s="27">
        <f t="shared" si="4"/>
        <v>-1.992126923535719E-2</v>
      </c>
      <c r="K49" s="10">
        <f>MAX($C$2:C49)</f>
        <v>18.922999999999998</v>
      </c>
      <c r="L49" s="11">
        <f t="shared" si="1"/>
        <v>-0.25191565819373241</v>
      </c>
    </row>
    <row r="50" spans="1:12" x14ac:dyDescent="0.35">
      <c r="A50" s="5" t="s">
        <v>126</v>
      </c>
      <c r="B50" s="22">
        <v>1596.6</v>
      </c>
      <c r="C50" s="10">
        <v>14.18</v>
      </c>
      <c r="D50" s="23">
        <f t="shared" si="5"/>
        <v>-2.8359298928919266E-2</v>
      </c>
      <c r="E50" s="11">
        <f t="shared" si="2"/>
        <v>1.6953941791465904E-3</v>
      </c>
      <c r="F50" s="24">
        <f>(B50-$B$2)/$B$2</f>
        <v>4.48269092336889E-2</v>
      </c>
      <c r="G50" s="11">
        <f t="shared" si="3"/>
        <v>-0.21423030034356644</v>
      </c>
      <c r="H50" s="25">
        <f t="shared" si="0"/>
        <v>112.59520451339915</v>
      </c>
      <c r="I50" s="26">
        <f>MAX($B$2:B50)</f>
        <v>1676.6</v>
      </c>
      <c r="J50" s="27">
        <f t="shared" si="4"/>
        <v>-4.771561493498748E-2</v>
      </c>
      <c r="K50" s="10">
        <f>MAX($C$2:C50)</f>
        <v>18.922999999999998</v>
      </c>
      <c r="L50" s="11">
        <f t="shared" si="1"/>
        <v>-0.25064736035512336</v>
      </c>
    </row>
    <row r="51" spans="1:12" x14ac:dyDescent="0.35">
      <c r="A51" s="5" t="s">
        <v>128</v>
      </c>
      <c r="B51" s="22">
        <v>1591.4</v>
      </c>
      <c r="C51" s="10">
        <v>14.007999999999999</v>
      </c>
      <c r="D51" s="23">
        <f t="shared" si="5"/>
        <v>-3.256920957033583E-3</v>
      </c>
      <c r="E51" s="11">
        <f t="shared" si="2"/>
        <v>-1.212976022567E-2</v>
      </c>
      <c r="F51" s="24">
        <f>(B51-$B$2)/$B$2</f>
        <v>4.1423990576533072E-2</v>
      </c>
      <c r="G51" s="11">
        <f t="shared" si="3"/>
        <v>-0.22376149839299569</v>
      </c>
      <c r="H51" s="25">
        <f t="shared" si="0"/>
        <v>113.60651056539122</v>
      </c>
      <c r="I51" s="26">
        <f>MAX($B$2:B51)</f>
        <v>1676.6</v>
      </c>
      <c r="J51" s="27">
        <f t="shared" si="4"/>
        <v>-5.0817129905761552E-2</v>
      </c>
      <c r="K51" s="10">
        <f>MAX($C$2:C51)</f>
        <v>18.922999999999998</v>
      </c>
      <c r="L51" s="11">
        <f t="shared" si="1"/>
        <v>-0.25973682819848859</v>
      </c>
    </row>
    <row r="52" spans="1:12" x14ac:dyDescent="0.35">
      <c r="A52" s="5" t="s">
        <v>130</v>
      </c>
      <c r="B52" s="22">
        <v>1637.7</v>
      </c>
      <c r="C52" s="10">
        <v>14.678000000000001</v>
      </c>
      <c r="D52" s="23">
        <f t="shared" si="5"/>
        <v>2.9093879602865372E-2</v>
      </c>
      <c r="E52" s="11">
        <f t="shared" si="2"/>
        <v>4.7829811536265116E-2</v>
      </c>
      <c r="F52" s="24">
        <f>(B52-$B$2)/$B$2</f>
        <v>7.1723054773902326E-2</v>
      </c>
      <c r="G52" s="11">
        <f t="shared" si="3"/>
        <v>-0.18663415715393986</v>
      </c>
      <c r="H52" s="25">
        <f t="shared" si="0"/>
        <v>111.57514647772176</v>
      </c>
      <c r="I52" s="26">
        <f>MAX($B$2:B52)</f>
        <v>1676.6</v>
      </c>
      <c r="J52" s="27">
        <f t="shared" si="4"/>
        <v>-2.3201717762137579E-2</v>
      </c>
      <c r="K52" s="10">
        <f>MAX($C$2:C52)</f>
        <v>18.922999999999998</v>
      </c>
      <c r="L52" s="11">
        <f t="shared" si="1"/>
        <v>-0.22433018020398446</v>
      </c>
    </row>
    <row r="53" spans="1:12" x14ac:dyDescent="0.35">
      <c r="A53" s="5" t="s">
        <v>134</v>
      </c>
      <c r="B53" s="22">
        <v>1693.9</v>
      </c>
      <c r="C53" s="10">
        <v>15.193</v>
      </c>
      <c r="D53" s="23">
        <f t="shared" si="5"/>
        <v>3.4316419368626762E-2</v>
      </c>
      <c r="E53" s="11">
        <f t="shared" si="2"/>
        <v>3.5086524049597952E-2</v>
      </c>
      <c r="F53" s="24">
        <f>(B53-$B$2)/$B$2</f>
        <v>0.10850075256854931</v>
      </c>
      <c r="G53" s="11">
        <f t="shared" si="3"/>
        <v>-0.15809597694780006</v>
      </c>
      <c r="H53" s="25">
        <f t="shared" si="0"/>
        <v>111.49213453564143</v>
      </c>
      <c r="I53" s="26">
        <f>MAX($B$2:B53)</f>
        <v>1693.9</v>
      </c>
      <c r="J53" s="27">
        <f t="shared" si="4"/>
        <v>0</v>
      </c>
      <c r="K53" s="10">
        <f>MAX($C$2:C53)</f>
        <v>18.922999999999998</v>
      </c>
      <c r="L53" s="11">
        <f t="shared" si="1"/>
        <v>-0.19711462241716424</v>
      </c>
    </row>
    <row r="54" spans="1:12" x14ac:dyDescent="0.35">
      <c r="A54" s="5" t="s">
        <v>136</v>
      </c>
      <c r="B54" s="22">
        <v>1683.7</v>
      </c>
      <c r="C54" s="10">
        <v>15.504</v>
      </c>
      <c r="D54" s="23">
        <f t="shared" si="5"/>
        <v>-6.0216069425586194E-3</v>
      </c>
      <c r="E54" s="11">
        <f t="shared" si="2"/>
        <v>2.0469953267952343E-2</v>
      </c>
      <c r="F54" s="24">
        <f>(B54-$B$2)/$B$2</f>
        <v>0.10182579674105108</v>
      </c>
      <c r="G54" s="11">
        <f t="shared" si="3"/>
        <v>-0.14086224093982044</v>
      </c>
      <c r="H54" s="25">
        <f t="shared" si="0"/>
        <v>108.59778121775027</v>
      </c>
      <c r="I54" s="26">
        <f>MAX($B$2:B54)</f>
        <v>1693.9</v>
      </c>
      <c r="J54" s="27">
        <f t="shared" si="4"/>
        <v>-6.0216069425586194E-3</v>
      </c>
      <c r="K54" s="10">
        <f>MAX($C$2:C54)</f>
        <v>18.922999999999998</v>
      </c>
      <c r="L54" s="11">
        <f t="shared" si="1"/>
        <v>-0.18067959625852131</v>
      </c>
    </row>
    <row r="55" spans="1:12" x14ac:dyDescent="0.35">
      <c r="A55" s="5" t="s">
        <v>138</v>
      </c>
      <c r="B55" s="22">
        <v>1684.3</v>
      </c>
      <c r="C55" s="10">
        <v>15.228999999999999</v>
      </c>
      <c r="D55" s="23">
        <f t="shared" si="5"/>
        <v>3.563580210250692E-4</v>
      </c>
      <c r="E55" s="11">
        <f t="shared" si="2"/>
        <v>-1.7737358101135213E-2</v>
      </c>
      <c r="F55" s="24">
        <f>(B55-$B$2)/$B$2</f>
        <v>0.10221844120149208</v>
      </c>
      <c r="G55" s="11">
        <f t="shared" si="3"/>
        <v>-0.15610107503047768</v>
      </c>
      <c r="H55" s="25">
        <f t="shared" si="0"/>
        <v>110.59820080110316</v>
      </c>
      <c r="I55" s="26">
        <f>MAX($B$2:B55)</f>
        <v>1693.9</v>
      </c>
      <c r="J55" s="27">
        <f t="shared" si="4"/>
        <v>-5.6673947694669911E-3</v>
      </c>
      <c r="K55" s="10">
        <f>MAX($C$2:C55)</f>
        <v>18.922999999999998</v>
      </c>
      <c r="L55" s="11">
        <f t="shared" si="1"/>
        <v>-0.19521217565925061</v>
      </c>
    </row>
    <row r="56" spans="1:12" x14ac:dyDescent="0.35">
      <c r="A56" s="5" t="s">
        <v>142</v>
      </c>
      <c r="B56" s="22">
        <v>1761.4</v>
      </c>
      <c r="C56" s="10">
        <v>15.561</v>
      </c>
      <c r="D56" s="23">
        <f t="shared" si="5"/>
        <v>4.5775693166300625E-2</v>
      </c>
      <c r="E56" s="11">
        <f t="shared" si="2"/>
        <v>2.1800512180707908E-2</v>
      </c>
      <c r="F56" s="24">
        <f>(B56-$B$2)/$B$2</f>
        <v>0.15267325436816975</v>
      </c>
      <c r="G56" s="11">
        <f t="shared" si="3"/>
        <v>-0.13770364623739331</v>
      </c>
      <c r="H56" s="25">
        <f t="shared" si="0"/>
        <v>113.19323950902898</v>
      </c>
      <c r="I56" s="26">
        <f>MAX($B$2:B56)</f>
        <v>1761.4</v>
      </c>
      <c r="J56" s="27">
        <f t="shared" si="4"/>
        <v>0</v>
      </c>
      <c r="K56" s="10">
        <f>MAX($C$2:C56)</f>
        <v>18.922999999999998</v>
      </c>
      <c r="L56" s="11">
        <f t="shared" si="1"/>
        <v>-0.17766738889182468</v>
      </c>
    </row>
    <row r="57" spans="1:12" x14ac:dyDescent="0.35">
      <c r="A57" s="5" t="s">
        <v>144</v>
      </c>
      <c r="B57" s="22">
        <v>1768.9</v>
      </c>
      <c r="C57" s="10">
        <v>16.154</v>
      </c>
      <c r="D57" s="23">
        <f t="shared" si="5"/>
        <v>4.2579766095151581E-3</v>
      </c>
      <c r="E57" s="11">
        <f t="shared" si="2"/>
        <v>3.8108090739669684E-2</v>
      </c>
      <c r="F57" s="24">
        <f>(B57-$B$2)/$B$2</f>
        <v>0.15758131012368312</v>
      </c>
      <c r="G57" s="11">
        <f t="shared" si="3"/>
        <v>-0.10484317854372158</v>
      </c>
      <c r="H57" s="25">
        <f t="shared" si="0"/>
        <v>109.50229045437663</v>
      </c>
      <c r="I57" s="26">
        <f>MAX($B$2:B57)</f>
        <v>1768.9</v>
      </c>
      <c r="J57" s="27">
        <f t="shared" si="4"/>
        <v>0</v>
      </c>
      <c r="K57" s="10">
        <f>MAX($C$2:C57)</f>
        <v>18.922999999999998</v>
      </c>
      <c r="L57" s="11">
        <f t="shared" si="1"/>
        <v>-0.14632986312952484</v>
      </c>
    </row>
    <row r="58" spans="1:12" x14ac:dyDescent="0.35">
      <c r="A58" s="5" t="s">
        <v>146</v>
      </c>
      <c r="B58" s="22">
        <v>1740.2</v>
      </c>
      <c r="C58" s="10">
        <v>15.529</v>
      </c>
      <c r="D58" s="23">
        <f t="shared" si="5"/>
        <v>-1.6224772457459465E-2</v>
      </c>
      <c r="E58" s="11">
        <f t="shared" si="2"/>
        <v>-3.8690107713259876E-2</v>
      </c>
      <c r="F58" s="24">
        <f>(B58-$B$2)/$B$2</f>
        <v>0.13879981676591857</v>
      </c>
      <c r="G58" s="11">
        <f t="shared" si="3"/>
        <v>-0.13947689238612432</v>
      </c>
      <c r="H58" s="25">
        <f t="shared" si="0"/>
        <v>112.06130465580527</v>
      </c>
      <c r="I58" s="26">
        <f>MAX($B$2:B58)</f>
        <v>1768.9</v>
      </c>
      <c r="J58" s="27">
        <f t="shared" si="4"/>
        <v>-1.6224772457459465E-2</v>
      </c>
      <c r="K58" s="10">
        <f>MAX($C$2:C58)</f>
        <v>18.922999999999998</v>
      </c>
      <c r="L58" s="11">
        <f t="shared" si="1"/>
        <v>-0.17935845267663683</v>
      </c>
    </row>
    <row r="59" spans="1:12" x14ac:dyDescent="0.35">
      <c r="A59" s="5" t="s">
        <v>148</v>
      </c>
      <c r="B59" s="22">
        <v>1731.7</v>
      </c>
      <c r="C59" s="10">
        <v>15.646000000000001</v>
      </c>
      <c r="D59" s="23">
        <f t="shared" si="5"/>
        <v>-4.8844960349385125E-3</v>
      </c>
      <c r="E59" s="11">
        <f t="shared" si="2"/>
        <v>7.5342906819499574E-3</v>
      </c>
      <c r="F59" s="24">
        <f>(B59-$B$2)/$B$2</f>
        <v>0.13323735357633673</v>
      </c>
      <c r="G59" s="11">
        <f t="shared" si="3"/>
        <v>-0.13299346115482649</v>
      </c>
      <c r="H59" s="25">
        <f t="shared" si="0"/>
        <v>110.6800460181516</v>
      </c>
      <c r="I59" s="26">
        <f>MAX($B$2:B59)</f>
        <v>1768.9</v>
      </c>
      <c r="J59" s="27">
        <f t="shared" si="4"/>
        <v>-2.1030018655661734E-2</v>
      </c>
      <c r="K59" s="10">
        <f>MAX($C$2:C59)</f>
        <v>18.922999999999998</v>
      </c>
      <c r="L59" s="11">
        <f t="shared" si="1"/>
        <v>-0.17317550071341742</v>
      </c>
    </row>
    <row r="60" spans="1:12" x14ac:dyDescent="0.35">
      <c r="A60" s="5" t="s">
        <v>152</v>
      </c>
      <c r="B60" s="22">
        <v>1711.2</v>
      </c>
      <c r="C60" s="10">
        <v>15.638</v>
      </c>
      <c r="D60" s="23">
        <f t="shared" si="5"/>
        <v>-1.1838078189062771E-2</v>
      </c>
      <c r="E60" s="11">
        <f t="shared" si="2"/>
        <v>-5.1131279560276714E-4</v>
      </c>
      <c r="F60" s="24">
        <f>(B60-$B$2)/$B$2</f>
        <v>0.11982200117793347</v>
      </c>
      <c r="G60" s="11">
        <f t="shared" si="3"/>
        <v>-0.13343677269200929</v>
      </c>
      <c r="H60" s="25">
        <f t="shared" si="0"/>
        <v>109.42575776953575</v>
      </c>
      <c r="I60" s="26">
        <f>MAX($B$2:B60)</f>
        <v>1768.9</v>
      </c>
      <c r="J60" s="27">
        <f t="shared" si="4"/>
        <v>-3.2619141839561334E-2</v>
      </c>
      <c r="K60" s="10">
        <f>MAX($C$2:C60)</f>
        <v>18.922999999999998</v>
      </c>
      <c r="L60" s="11">
        <f t="shared" si="1"/>
        <v>-0.1735982666596205</v>
      </c>
    </row>
    <row r="61" spans="1:12" x14ac:dyDescent="0.35">
      <c r="A61" s="5" t="s">
        <v>154</v>
      </c>
      <c r="B61" s="22">
        <v>1687.8</v>
      </c>
      <c r="C61" s="10">
        <v>14.9</v>
      </c>
      <c r="D61" s="23">
        <f t="shared" si="5"/>
        <v>-1.3674614305750404E-2</v>
      </c>
      <c r="E61" s="11">
        <f t="shared" si="2"/>
        <v>-4.719273564394421E-2</v>
      </c>
      <c r="F61" s="24">
        <f>(B61-$B$2)/$B$2</f>
        <v>0.10450886722073166</v>
      </c>
      <c r="G61" s="11">
        <f t="shared" si="3"/>
        <v>-0.17433226199711843</v>
      </c>
      <c r="H61" s="25">
        <f t="shared" si="0"/>
        <v>113.2751677852349</v>
      </c>
      <c r="I61" s="26">
        <f>MAX($B$2:B61)</f>
        <v>1768.9</v>
      </c>
      <c r="J61" s="27">
        <f t="shared" si="4"/>
        <v>-4.5847701961671171E-2</v>
      </c>
      <c r="K61" s="10">
        <f>MAX($C$2:C61)</f>
        <v>18.922999999999998</v>
      </c>
      <c r="L61" s="11">
        <f t="shared" si="1"/>
        <v>-0.21259842519685029</v>
      </c>
    </row>
    <row r="62" spans="1:12" x14ac:dyDescent="0.35">
      <c r="A62" s="5" t="s">
        <v>156</v>
      </c>
      <c r="B62" s="22">
        <v>1738.3</v>
      </c>
      <c r="C62" s="10">
        <v>15.359</v>
      </c>
      <c r="D62" s="23">
        <f t="shared" si="5"/>
        <v>2.9920606706955802E-2</v>
      </c>
      <c r="E62" s="11">
        <f t="shared" si="2"/>
        <v>3.0805369127516753E-2</v>
      </c>
      <c r="F62" s="24">
        <f>(B62-$B$2)/$B$2</f>
        <v>0.13755644264118844</v>
      </c>
      <c r="G62" s="11">
        <f t="shared" si="3"/>
        <v>-0.14889726255125788</v>
      </c>
      <c r="H62" s="25">
        <f t="shared" si="0"/>
        <v>113.17794127221823</v>
      </c>
      <c r="I62" s="26">
        <f>MAX($B$2:B62)</f>
        <v>1768.9</v>
      </c>
      <c r="J62" s="27">
        <f t="shared" si="4"/>
        <v>-1.7298886313528258E-2</v>
      </c>
      <c r="K62" s="10">
        <f>MAX($C$2:C62)</f>
        <v>18.922999999999998</v>
      </c>
      <c r="L62" s="11">
        <f t="shared" si="1"/>
        <v>-0.18834222903345127</v>
      </c>
    </row>
    <row r="63" spans="1:12" x14ac:dyDescent="0.35">
      <c r="A63" s="5" t="s">
        <v>158</v>
      </c>
      <c r="B63" s="22">
        <v>1745.4</v>
      </c>
      <c r="C63" s="10">
        <v>15.381</v>
      </c>
      <c r="D63" s="23">
        <f t="shared" si="5"/>
        <v>4.0844503250302804E-3</v>
      </c>
      <c r="E63" s="11">
        <f t="shared" si="2"/>
        <v>1.4323849208933031E-3</v>
      </c>
      <c r="F63" s="24">
        <f>(B63-$B$2)/$B$2</f>
        <v>0.14220273542307454</v>
      </c>
      <c r="G63" s="11">
        <f t="shared" si="3"/>
        <v>-0.14767815582400529</v>
      </c>
      <c r="H63" s="25">
        <f t="shared" si="0"/>
        <v>113.47766725180418</v>
      </c>
      <c r="I63" s="26">
        <f>MAX($B$2:B63)</f>
        <v>1768.9</v>
      </c>
      <c r="J63" s="27">
        <f t="shared" si="4"/>
        <v>-1.3285092430323929E-2</v>
      </c>
      <c r="K63" s="10">
        <f>MAX($C$2:C63)</f>
        <v>18.922999999999998</v>
      </c>
      <c r="L63" s="11">
        <f t="shared" si="1"/>
        <v>-0.18717962268139293</v>
      </c>
    </row>
    <row r="64" spans="1:12" x14ac:dyDescent="0.35">
      <c r="A64" s="5" t="s">
        <v>162</v>
      </c>
      <c r="B64" s="22">
        <v>1723.8</v>
      </c>
      <c r="C64" s="10">
        <v>15.298999999999999</v>
      </c>
      <c r="D64" s="23">
        <f t="shared" si="5"/>
        <v>-1.2375386730835417E-2</v>
      </c>
      <c r="E64" s="11">
        <f t="shared" si="2"/>
        <v>-5.3312528444184864E-3</v>
      </c>
      <c r="F64" s="24">
        <f>(B64-$B$2)/$B$2</f>
        <v>0.12806753484719591</v>
      </c>
      <c r="G64" s="11">
        <f t="shared" si="3"/>
        <v>-0.15222209908012857</v>
      </c>
      <c r="H64" s="25">
        <f t="shared" si="0"/>
        <v>112.67403098241715</v>
      </c>
      <c r="I64" s="26">
        <f>MAX($B$2:B64)</f>
        <v>1768.9</v>
      </c>
      <c r="J64" s="27">
        <f t="shared" si="4"/>
        <v>-2.5496071004579193E-2</v>
      </c>
      <c r="K64" s="10">
        <f>MAX($C$2:C64)</f>
        <v>18.922999999999998</v>
      </c>
      <c r="L64" s="11">
        <f t="shared" si="1"/>
        <v>-0.19151297362997405</v>
      </c>
    </row>
    <row r="65" spans="1:12" x14ac:dyDescent="0.35">
      <c r="A65" s="5" t="s">
        <v>164</v>
      </c>
      <c r="B65" s="22">
        <v>1722.2</v>
      </c>
      <c r="C65" s="10">
        <v>15.26</v>
      </c>
      <c r="D65" s="23">
        <f t="shared" si="5"/>
        <v>-9.2818192365698405E-4</v>
      </c>
      <c r="E65" s="11">
        <f t="shared" si="2"/>
        <v>-2.5491862213216357E-3</v>
      </c>
      <c r="F65" s="24">
        <f>(B65-$B$2)/$B$2</f>
        <v>0.12702048295268645</v>
      </c>
      <c r="G65" s="11">
        <f t="shared" si="3"/>
        <v>-0.15438324282389448</v>
      </c>
      <c r="H65" s="25">
        <f t="shared" si="0"/>
        <v>112.85714285714286</v>
      </c>
      <c r="I65" s="26">
        <f>MAX($B$2:B65)</f>
        <v>1768.9</v>
      </c>
      <c r="J65" s="27">
        <f t="shared" si="4"/>
        <v>-2.640058793600545E-2</v>
      </c>
      <c r="K65" s="10">
        <f>MAX($C$2:C65)</f>
        <v>18.922999999999998</v>
      </c>
      <c r="L65" s="11">
        <f t="shared" si="1"/>
        <v>-0.19357395761771384</v>
      </c>
    </row>
    <row r="66" spans="1:12" x14ac:dyDescent="0.35">
      <c r="A66" s="5" t="s">
        <v>166</v>
      </c>
      <c r="B66" s="22">
        <v>1713.4</v>
      </c>
      <c r="C66" s="10">
        <v>15.315</v>
      </c>
      <c r="D66" s="23">
        <f t="shared" si="5"/>
        <v>-5.1097433515270903E-3</v>
      </c>
      <c r="E66" s="11">
        <f t="shared" si="2"/>
        <v>3.6041939711664297E-3</v>
      </c>
      <c r="F66" s="24">
        <f>(B66-$B$2)/$B$2</f>
        <v>0.1212616975328841</v>
      </c>
      <c r="G66" s="11">
        <f t="shared" si="3"/>
        <v>-0.15133547600576305</v>
      </c>
      <c r="H66" s="25">
        <f t="shared" si="0"/>
        <v>111.87724453150507</v>
      </c>
      <c r="I66" s="26">
        <f>MAX($B$2:B66)</f>
        <v>1768.9</v>
      </c>
      <c r="J66" s="27">
        <f t="shared" si="4"/>
        <v>-3.1375431058850128E-2</v>
      </c>
      <c r="K66" s="10">
        <f>MAX($C$2:C66)</f>
        <v>18.922999999999998</v>
      </c>
      <c r="L66" s="11">
        <f t="shared" si="1"/>
        <v>-0.190667441737568</v>
      </c>
    </row>
    <row r="67" spans="1:12" x14ac:dyDescent="0.35">
      <c r="A67" s="5" t="s">
        <v>168</v>
      </c>
      <c r="B67" s="22">
        <v>1694.2</v>
      </c>
      <c r="C67" s="10">
        <v>14.973000000000001</v>
      </c>
      <c r="D67" s="23">
        <f t="shared" si="5"/>
        <v>-1.1205789657989988E-2</v>
      </c>
      <c r="E67" s="11">
        <f t="shared" si="2"/>
        <v>-2.2331047992164465E-2</v>
      </c>
      <c r="F67" s="24">
        <f>(B67-$B$2)/$B$2</f>
        <v>0.1086970747987698</v>
      </c>
      <c r="G67" s="11">
        <f t="shared" si="3"/>
        <v>-0.17028704422032576</v>
      </c>
      <c r="H67" s="25">
        <f t="shared" ref="H67:H130" si="6">B67/C67</f>
        <v>113.15033727375943</v>
      </c>
      <c r="I67" s="26">
        <f>MAX($B$2:B67)</f>
        <v>1768.9</v>
      </c>
      <c r="J67" s="27">
        <f t="shared" ref="J67:J130" si="7">(B67-I67)/I67</f>
        <v>-4.2229634235965881E-2</v>
      </c>
      <c r="K67" s="10">
        <f>MAX($C$2:C67)</f>
        <v>18.922999999999998</v>
      </c>
      <c r="L67" s="11">
        <f t="shared" ref="L67:L130" si="8">(C67-K67)/K67</f>
        <v>-0.20874068593774761</v>
      </c>
    </row>
    <row r="68" spans="1:12" x14ac:dyDescent="0.35">
      <c r="A68" s="5" t="s">
        <v>172</v>
      </c>
      <c r="B68" s="22">
        <v>1713.3</v>
      </c>
      <c r="C68" s="10">
        <v>14.795999999999999</v>
      </c>
      <c r="D68" s="23">
        <f t="shared" ref="D68:D131" si="9">(B68-B67)/B67</f>
        <v>1.1273757525675781E-2</v>
      </c>
      <c r="E68" s="11">
        <f t="shared" ref="E68:E131" si="10">(C68-C67)/C67</f>
        <v>-1.1821278300941786E-2</v>
      </c>
      <c r="F68" s="24">
        <f>(B68-$B$2)/$B$2</f>
        <v>0.12119625678947717</v>
      </c>
      <c r="G68" s="11">
        <f t="shared" ref="G68:G131" si="11">(C68-$C$2)/$C$2</f>
        <v>-0.1800953119804943</v>
      </c>
      <c r="H68" s="25">
        <f t="shared" si="6"/>
        <v>115.79480940794809</v>
      </c>
      <c r="I68" s="26">
        <f>MAX($B$2:B68)</f>
        <v>1768.9</v>
      </c>
      <c r="J68" s="27">
        <f t="shared" si="7"/>
        <v>-3.1431963367064351E-2</v>
      </c>
      <c r="K68" s="10">
        <f>MAX($C$2:C68)</f>
        <v>18.922999999999998</v>
      </c>
      <c r="L68" s="11">
        <f t="shared" si="8"/>
        <v>-0.21809438249748977</v>
      </c>
    </row>
    <row r="69" spans="1:12" x14ac:dyDescent="0.35">
      <c r="A69" s="5" t="s">
        <v>174</v>
      </c>
      <c r="B69" s="22">
        <v>1710.6</v>
      </c>
      <c r="C69" s="10">
        <v>15.11</v>
      </c>
      <c r="D69" s="23">
        <f t="shared" si="9"/>
        <v>-1.5759061460339961E-3</v>
      </c>
      <c r="E69" s="11">
        <f t="shared" si="10"/>
        <v>2.1221951878886189E-2</v>
      </c>
      <c r="F69" s="24">
        <f>(B69-$B$2)/$B$2</f>
        <v>0.11942935671749232</v>
      </c>
      <c r="G69" s="11">
        <f t="shared" si="11"/>
        <v>-0.16269533414607115</v>
      </c>
      <c r="H69" s="25">
        <f t="shared" si="6"/>
        <v>113.20979483785572</v>
      </c>
      <c r="I69" s="26">
        <f>MAX($B$2:B69)</f>
        <v>1768.9</v>
      </c>
      <c r="J69" s="27">
        <f t="shared" si="7"/>
        <v>-3.2958335688846277E-2</v>
      </c>
      <c r="K69" s="10">
        <f>MAX($C$2:C69)</f>
        <v>18.922999999999998</v>
      </c>
      <c r="L69" s="11">
        <f t="shared" si="8"/>
        <v>-0.20150081910902073</v>
      </c>
    </row>
    <row r="70" spans="1:12" x14ac:dyDescent="0.35">
      <c r="A70" s="5" t="s">
        <v>176</v>
      </c>
      <c r="B70" s="22">
        <v>1688.5</v>
      </c>
      <c r="C70" s="10">
        <v>15.015000000000001</v>
      </c>
      <c r="D70" s="23">
        <f t="shared" si="9"/>
        <v>-1.2919443470127388E-2</v>
      </c>
      <c r="E70" s="11">
        <f t="shared" si="10"/>
        <v>-6.2872270019853653E-3</v>
      </c>
      <c r="F70" s="24">
        <f>(B70-$B$2)/$B$2</f>
        <v>0.10496695242457961</v>
      </c>
      <c r="G70" s="11">
        <f t="shared" si="11"/>
        <v>-0.16795965865011631</v>
      </c>
      <c r="H70" s="25">
        <f t="shared" si="6"/>
        <v>112.45421245421245</v>
      </c>
      <c r="I70" s="26">
        <f>MAX($B$2:B70)</f>
        <v>1768.9</v>
      </c>
      <c r="J70" s="27">
        <f t="shared" si="7"/>
        <v>-4.545197580417213E-2</v>
      </c>
      <c r="K70" s="10">
        <f>MAX($C$2:C70)</f>
        <v>18.922999999999998</v>
      </c>
      <c r="L70" s="11">
        <f t="shared" si="8"/>
        <v>-0.2065211647201817</v>
      </c>
    </row>
    <row r="71" spans="1:12" x14ac:dyDescent="0.35">
      <c r="A71" s="5" t="s">
        <v>178</v>
      </c>
      <c r="B71" s="22">
        <v>1725.8</v>
      </c>
      <c r="C71" s="10">
        <v>15.59</v>
      </c>
      <c r="D71" s="23">
        <f t="shared" si="9"/>
        <v>2.209061297009177E-2</v>
      </c>
      <c r="E71" s="11">
        <f t="shared" si="10"/>
        <v>3.8295038295038247E-2</v>
      </c>
      <c r="F71" s="24">
        <f>(B71-$B$2)/$B$2</f>
        <v>0.12937634971533279</v>
      </c>
      <c r="G71" s="11">
        <f t="shared" si="11"/>
        <v>-0.13609664191510581</v>
      </c>
      <c r="H71" s="25">
        <f t="shared" si="6"/>
        <v>110.69916613213599</v>
      </c>
      <c r="I71" s="26">
        <f>MAX($B$2:B71)</f>
        <v>1768.9</v>
      </c>
      <c r="J71" s="27">
        <f t="shared" si="7"/>
        <v>-2.4365424840296305E-2</v>
      </c>
      <c r="K71" s="10">
        <f>MAX($C$2:C71)</f>
        <v>18.922999999999998</v>
      </c>
      <c r="L71" s="11">
        <f t="shared" si="8"/>
        <v>-0.1761348623368387</v>
      </c>
    </row>
    <row r="72" spans="1:12" x14ac:dyDescent="0.35">
      <c r="A72" s="5" t="s">
        <v>182</v>
      </c>
      <c r="B72" s="22">
        <v>1698</v>
      </c>
      <c r="C72" s="10">
        <v>15.68</v>
      </c>
      <c r="D72" s="23">
        <f t="shared" si="9"/>
        <v>-1.6108471433538045E-2</v>
      </c>
      <c r="E72" s="11">
        <f t="shared" si="10"/>
        <v>5.7729313662604146E-3</v>
      </c>
      <c r="F72" s="24">
        <f>(B72-$B$2)/$B$2</f>
        <v>0.11118382304822989</v>
      </c>
      <c r="G72" s="11">
        <f t="shared" si="11"/>
        <v>-0.13110938712179984</v>
      </c>
      <c r="H72" s="25">
        <f t="shared" si="6"/>
        <v>108.29081632653062</v>
      </c>
      <c r="I72" s="26">
        <f>MAX($B$2:B72)</f>
        <v>1768.9</v>
      </c>
      <c r="J72" s="27">
        <f t="shared" si="7"/>
        <v>-4.0081406523828418E-2</v>
      </c>
      <c r="K72" s="10">
        <f>MAX($C$2:C72)</f>
        <v>18.922999999999998</v>
      </c>
      <c r="L72" s="11">
        <f t="shared" si="8"/>
        <v>-0.17137874544205459</v>
      </c>
    </row>
    <row r="73" spans="1:12" x14ac:dyDescent="0.35">
      <c r="A73" s="5" t="s">
        <v>184</v>
      </c>
      <c r="B73" s="22">
        <v>1706.8</v>
      </c>
      <c r="C73" s="10">
        <v>15.709</v>
      </c>
      <c r="D73" s="23">
        <f t="shared" si="9"/>
        <v>5.1825677267373109E-3</v>
      </c>
      <c r="E73" s="11">
        <f t="shared" si="10"/>
        <v>1.849489795918362E-3</v>
      </c>
      <c r="F73" s="24">
        <f>(B73-$B$2)/$B$2</f>
        <v>0.11694260846803223</v>
      </c>
      <c r="G73" s="11">
        <f t="shared" si="11"/>
        <v>-0.12950238279951234</v>
      </c>
      <c r="H73" s="25">
        <f t="shared" si="6"/>
        <v>108.65109173085493</v>
      </c>
      <c r="I73" s="26">
        <f>MAX($B$2:B73)</f>
        <v>1768.9</v>
      </c>
      <c r="J73" s="27">
        <f t="shared" si="7"/>
        <v>-3.510656340098374E-2</v>
      </c>
      <c r="K73" s="10">
        <f>MAX($C$2:C73)</f>
        <v>18.922999999999998</v>
      </c>
      <c r="L73" s="11">
        <f t="shared" si="8"/>
        <v>-0.16984621888706858</v>
      </c>
    </row>
    <row r="74" spans="1:12" x14ac:dyDescent="0.35">
      <c r="A74" s="5" t="s">
        <v>186</v>
      </c>
      <c r="B74" s="22">
        <v>1716.4</v>
      </c>
      <c r="C74" s="10">
        <v>15.670999999999999</v>
      </c>
      <c r="D74" s="23">
        <f t="shared" si="9"/>
        <v>5.6245605812046736E-3</v>
      </c>
      <c r="E74" s="11">
        <f t="shared" si="10"/>
        <v>-2.4189954802979348E-3</v>
      </c>
      <c r="F74" s="24">
        <f>(B74-$B$2)/$B$2</f>
        <v>0.12322491983508946</v>
      </c>
      <c r="G74" s="11">
        <f t="shared" si="11"/>
        <v>-0.13160811260113045</v>
      </c>
      <c r="H74" s="25">
        <f t="shared" si="6"/>
        <v>109.52715206432265</v>
      </c>
      <c r="I74" s="26">
        <f>MAX($B$2:B74)</f>
        <v>1768.9</v>
      </c>
      <c r="J74" s="27">
        <f t="shared" si="7"/>
        <v>-2.9679461812425801E-2</v>
      </c>
      <c r="K74" s="10">
        <f>MAX($C$2:C74)</f>
        <v>18.922999999999998</v>
      </c>
      <c r="L74" s="11">
        <f t="shared" si="8"/>
        <v>-0.17185435713153302</v>
      </c>
    </row>
    <row r="75" spans="1:12" x14ac:dyDescent="0.35">
      <c r="A75" s="5" t="s">
        <v>188</v>
      </c>
      <c r="B75" s="22">
        <v>1740.9</v>
      </c>
      <c r="C75" s="10">
        <v>16.155999999999999</v>
      </c>
      <c r="D75" s="23">
        <f t="shared" si="9"/>
        <v>1.4274061990212071E-2</v>
      </c>
      <c r="E75" s="11">
        <f t="shared" si="10"/>
        <v>3.0948886478208121E-2</v>
      </c>
      <c r="F75" s="24">
        <f>(B75-$B$2)/$B$2</f>
        <v>0.13925790196976651</v>
      </c>
      <c r="G75" s="11">
        <f t="shared" si="11"/>
        <v>-0.10473235065942595</v>
      </c>
      <c r="H75" s="25">
        <f t="shared" si="6"/>
        <v>107.75563258232238</v>
      </c>
      <c r="I75" s="26">
        <f>MAX($B$2:B75)</f>
        <v>1768.9</v>
      </c>
      <c r="J75" s="27">
        <f t="shared" si="7"/>
        <v>-1.5829046299960427E-2</v>
      </c>
      <c r="K75" s="10">
        <f>MAX($C$2:C75)</f>
        <v>18.922999999999998</v>
      </c>
      <c r="L75" s="11">
        <f t="shared" si="8"/>
        <v>-0.14622417164297413</v>
      </c>
    </row>
    <row r="76" spans="1:12" x14ac:dyDescent="0.35">
      <c r="A76" s="5" t="s">
        <v>192</v>
      </c>
      <c r="B76" s="22">
        <v>1734.4</v>
      </c>
      <c r="C76" s="10">
        <v>17.468</v>
      </c>
      <c r="D76" s="23">
        <f t="shared" si="9"/>
        <v>-3.7337009592739384E-3</v>
      </c>
      <c r="E76" s="11">
        <f t="shared" si="10"/>
        <v>8.1208219856400171E-2</v>
      </c>
      <c r="F76" s="24">
        <f>(B76-$B$2)/$B$2</f>
        <v>0.13500425364832158</v>
      </c>
      <c r="G76" s="11">
        <f t="shared" si="11"/>
        <v>-3.2029258561454027E-2</v>
      </c>
      <c r="H76" s="25">
        <f t="shared" si="6"/>
        <v>99.29013052438745</v>
      </c>
      <c r="I76" s="26">
        <f>MAX($B$2:B76)</f>
        <v>1768.9</v>
      </c>
      <c r="J76" s="27">
        <f t="shared" si="7"/>
        <v>-1.9503646333879812E-2</v>
      </c>
      <c r="K76" s="10">
        <f>MAX($C$2:C76)</f>
        <v>18.922999999999998</v>
      </c>
      <c r="L76" s="11">
        <f t="shared" si="8"/>
        <v>-7.6890556465676607E-2</v>
      </c>
    </row>
    <row r="77" spans="1:12" x14ac:dyDescent="0.35">
      <c r="A77" s="5" t="s">
        <v>194</v>
      </c>
      <c r="B77" s="22">
        <v>1745.6</v>
      </c>
      <c r="C77" s="10">
        <v>17.901</v>
      </c>
      <c r="D77" s="23">
        <f t="shared" si="9"/>
        <v>6.4575645756456516E-3</v>
      </c>
      <c r="E77" s="11">
        <f t="shared" si="10"/>
        <v>2.4788184108083342E-2</v>
      </c>
      <c r="F77" s="24">
        <f>(B77-$B$2)/$B$2</f>
        <v>0.14233361690988811</v>
      </c>
      <c r="G77" s="11">
        <f t="shared" si="11"/>
        <v>-8.0350216114374144E-3</v>
      </c>
      <c r="H77" s="25">
        <f t="shared" si="6"/>
        <v>97.514105357242613</v>
      </c>
      <c r="I77" s="26">
        <f>MAX($B$2:B77)</f>
        <v>1768.9</v>
      </c>
      <c r="J77" s="27">
        <f t="shared" si="7"/>
        <v>-1.3172027813895744E-2</v>
      </c>
      <c r="K77" s="10">
        <f>MAX($C$2:C77)</f>
        <v>18.922999999999998</v>
      </c>
      <c r="L77" s="11">
        <f t="shared" si="8"/>
        <v>-5.4008349627437433E-2</v>
      </c>
    </row>
    <row r="78" spans="1:12" x14ac:dyDescent="0.35">
      <c r="A78" s="5" t="s">
        <v>196</v>
      </c>
      <c r="B78" s="22">
        <v>1752.1</v>
      </c>
      <c r="C78" s="10">
        <v>18.030999999999999</v>
      </c>
      <c r="D78" s="23">
        <f t="shared" si="9"/>
        <v>3.7236480293308893E-3</v>
      </c>
      <c r="E78" s="11">
        <f t="shared" si="10"/>
        <v>7.2621641249091679E-3</v>
      </c>
      <c r="F78" s="24">
        <f>(B78-$B$2)/$B$2</f>
        <v>0.14658726523133303</v>
      </c>
      <c r="G78" s="11">
        <f t="shared" si="11"/>
        <v>-8.3120913221769747E-4</v>
      </c>
      <c r="H78" s="25">
        <f t="shared" si="6"/>
        <v>97.171537906938056</v>
      </c>
      <c r="I78" s="26">
        <f>MAX($B$2:B78)</f>
        <v>1768.9</v>
      </c>
      <c r="J78" s="27">
        <f t="shared" si="7"/>
        <v>-9.4974277799763588E-3</v>
      </c>
      <c r="K78" s="10">
        <f>MAX($C$2:C78)</f>
        <v>18.922999999999998</v>
      </c>
      <c r="L78" s="11">
        <f t="shared" si="8"/>
        <v>-4.7138403001638192E-2</v>
      </c>
    </row>
    <row r="79" spans="1:12" x14ac:dyDescent="0.35">
      <c r="A79" s="5" t="s">
        <v>198</v>
      </c>
      <c r="B79" s="22">
        <v>1721.9</v>
      </c>
      <c r="C79" s="10">
        <v>17.364000000000001</v>
      </c>
      <c r="D79" s="23">
        <f t="shared" si="9"/>
        <v>-1.7236459106215296E-2</v>
      </c>
      <c r="E79" s="11">
        <f t="shared" si="10"/>
        <v>-3.6991847373966949E-2</v>
      </c>
      <c r="F79" s="24">
        <f>(B79-$B$2)/$B$2</f>
        <v>0.12682416072246594</v>
      </c>
      <c r="G79" s="11">
        <f t="shared" si="11"/>
        <v>-3.7792308544829803E-2</v>
      </c>
      <c r="H79" s="25">
        <f t="shared" si="6"/>
        <v>99.164938954158032</v>
      </c>
      <c r="I79" s="26">
        <f>MAX($B$2:B79)</f>
        <v>1768.9</v>
      </c>
      <c r="J79" s="27">
        <f t="shared" si="7"/>
        <v>-2.6570184860647859E-2</v>
      </c>
      <c r="K79" s="10">
        <f>MAX($C$2:C79)</f>
        <v>18.922999999999998</v>
      </c>
      <c r="L79" s="11">
        <f t="shared" si="8"/>
        <v>-8.2386513766316005E-2</v>
      </c>
    </row>
    <row r="80" spans="1:12" x14ac:dyDescent="0.35">
      <c r="A80" s="5" t="s">
        <v>204</v>
      </c>
      <c r="B80" s="22">
        <v>1705.6</v>
      </c>
      <c r="C80" s="10">
        <v>17.594999999999999</v>
      </c>
      <c r="D80" s="23">
        <f t="shared" si="9"/>
        <v>-9.4662872408387139E-3</v>
      </c>
      <c r="E80" s="11">
        <f t="shared" si="10"/>
        <v>1.3303386316516822E-2</v>
      </c>
      <c r="F80" s="24">
        <f>(B80-$B$2)/$B$2</f>
        <v>0.11615731954715006</v>
      </c>
      <c r="G80" s="11">
        <f t="shared" si="11"/>
        <v>-2.4991687908677854E-2</v>
      </c>
      <c r="H80" s="25">
        <f t="shared" si="6"/>
        <v>96.936629724353509</v>
      </c>
      <c r="I80" s="26">
        <f>MAX($B$2:B80)</f>
        <v>1768.9</v>
      </c>
      <c r="J80" s="27">
        <f t="shared" si="7"/>
        <v>-3.5784951099553493E-2</v>
      </c>
      <c r="K80" s="10">
        <f>MAX($C$2:C80)</f>
        <v>18.922999999999998</v>
      </c>
      <c r="L80" s="11">
        <f t="shared" si="8"/>
        <v>-7.0179147069703504E-2</v>
      </c>
    </row>
    <row r="81" spans="1:12" x14ac:dyDescent="0.35">
      <c r="A81" s="5" t="s">
        <v>205</v>
      </c>
      <c r="B81" s="22">
        <v>1726.8</v>
      </c>
      <c r="C81" s="10">
        <v>17.757000000000001</v>
      </c>
      <c r="D81" s="23">
        <f t="shared" si="9"/>
        <v>1.2429643527204531E-2</v>
      </c>
      <c r="E81" s="11">
        <f t="shared" si="10"/>
        <v>9.2071611253198415E-3</v>
      </c>
      <c r="F81" s="24">
        <f>(B81-$B$2)/$B$2</f>
        <v>0.13003075714940127</v>
      </c>
      <c r="G81" s="11">
        <f t="shared" si="11"/>
        <v>-1.6014629280726916E-2</v>
      </c>
      <c r="H81" s="25">
        <f t="shared" si="6"/>
        <v>97.246156445345491</v>
      </c>
      <c r="I81" s="26">
        <f>MAX($B$2:B81)</f>
        <v>1768.9</v>
      </c>
      <c r="J81" s="27">
        <f t="shared" si="7"/>
        <v>-2.3800101758154862E-2</v>
      </c>
      <c r="K81" s="10">
        <f>MAX($C$2:C81)</f>
        <v>18.922999999999998</v>
      </c>
      <c r="L81" s="11">
        <f t="shared" si="8"/>
        <v>-6.1618136659091945E-2</v>
      </c>
    </row>
    <row r="82" spans="1:12" x14ac:dyDescent="0.35">
      <c r="A82" s="5" t="s">
        <v>207</v>
      </c>
      <c r="B82" s="22">
        <v>1728.3</v>
      </c>
      <c r="C82" s="10">
        <v>18.009</v>
      </c>
      <c r="D82" s="23">
        <f t="shared" si="9"/>
        <v>8.6865879082696318E-4</v>
      </c>
      <c r="E82" s="11">
        <f t="shared" si="10"/>
        <v>1.4191586416624366E-2</v>
      </c>
      <c r="F82" s="24">
        <f>(B82-$B$2)/$B$2</f>
        <v>0.13101236830050392</v>
      </c>
      <c r="G82" s="11">
        <f t="shared" si="11"/>
        <v>-2.0503158594701891E-3</v>
      </c>
      <c r="H82" s="25">
        <f t="shared" si="6"/>
        <v>95.968682325503906</v>
      </c>
      <c r="I82" s="26">
        <f>MAX($B$2:B82)</f>
        <v>1768.9</v>
      </c>
      <c r="J82" s="27">
        <f t="shared" si="7"/>
        <v>-2.2952117134942697E-2</v>
      </c>
      <c r="K82" s="10">
        <f>MAX($C$2:C82)</f>
        <v>18.922999999999998</v>
      </c>
      <c r="L82" s="11">
        <f t="shared" si="8"/>
        <v>-4.8301009353696453E-2</v>
      </c>
    </row>
    <row r="83" spans="1:12" x14ac:dyDescent="0.35">
      <c r="A83" s="5" t="s">
        <v>211</v>
      </c>
      <c r="B83" s="22">
        <v>1750.3</v>
      </c>
      <c r="C83" s="10">
        <v>18.869</v>
      </c>
      <c r="D83" s="23">
        <f t="shared" si="9"/>
        <v>1.2729271538506047E-2</v>
      </c>
      <c r="E83" s="11">
        <f t="shared" si="10"/>
        <v>4.7753900827364061E-2</v>
      </c>
      <c r="F83" s="24">
        <f>(B83-$B$2)/$B$2</f>
        <v>0.14540933185000984</v>
      </c>
      <c r="G83" s="11">
        <f t="shared" si="11"/>
        <v>4.560567438767596E-2</v>
      </c>
      <c r="H83" s="25">
        <f t="shared" si="6"/>
        <v>92.760612645079235</v>
      </c>
      <c r="I83" s="26">
        <f>MAX($B$2:B83)</f>
        <v>1768.9</v>
      </c>
      <c r="J83" s="27">
        <f t="shared" si="7"/>
        <v>-1.0515009327830931E-2</v>
      </c>
      <c r="K83" s="10">
        <f>MAX($C$2:C83)</f>
        <v>18.922999999999998</v>
      </c>
      <c r="L83" s="11">
        <f t="shared" si="8"/>
        <v>-2.8536701368703957E-3</v>
      </c>
    </row>
    <row r="84" spans="1:12" x14ac:dyDescent="0.35">
      <c r="A84" s="5" t="s">
        <v>213</v>
      </c>
      <c r="B84" s="22">
        <v>1734</v>
      </c>
      <c r="C84" s="10">
        <v>18.315000000000001</v>
      </c>
      <c r="D84" s="23">
        <f t="shared" si="9"/>
        <v>-9.3126892532708425E-3</v>
      </c>
      <c r="E84" s="11">
        <f t="shared" si="10"/>
        <v>-2.9360326461391622E-2</v>
      </c>
      <c r="F84" s="24">
        <f>(B84-$B$2)/$B$2</f>
        <v>0.13474249067469413</v>
      </c>
      <c r="G84" s="11">
        <f t="shared" si="11"/>
        <v>1.4906350437770249E-2</v>
      </c>
      <c r="H84" s="25">
        <f t="shared" si="6"/>
        <v>94.67649467649467</v>
      </c>
      <c r="I84" s="26">
        <f>MAX($B$2:B84)</f>
        <v>1768.9</v>
      </c>
      <c r="J84" s="27">
        <f t="shared" si="7"/>
        <v>-1.9729775566736441E-2</v>
      </c>
      <c r="K84" s="10">
        <f>MAX($C$2:C84)</f>
        <v>18.922999999999998</v>
      </c>
      <c r="L84" s="11">
        <f t="shared" si="8"/>
        <v>-3.2130211911430381E-2</v>
      </c>
    </row>
    <row r="85" spans="1:12" x14ac:dyDescent="0.35">
      <c r="A85" s="5" t="s">
        <v>215</v>
      </c>
      <c r="B85" s="22">
        <v>1704.8</v>
      </c>
      <c r="C85" s="10">
        <v>18.013000000000002</v>
      </c>
      <c r="D85" s="23">
        <f t="shared" si="9"/>
        <v>-1.6839677047289531E-2</v>
      </c>
      <c r="E85" s="11">
        <f t="shared" si="10"/>
        <v>-1.6489216489216467E-2</v>
      </c>
      <c r="F85" s="24">
        <f>(B85-$B$2)/$B$2</f>
        <v>0.11563379359989533</v>
      </c>
      <c r="G85" s="11">
        <f t="shared" si="11"/>
        <v>-1.8286600908787377E-3</v>
      </c>
      <c r="H85" s="25">
        <f t="shared" si="6"/>
        <v>94.642758008105247</v>
      </c>
      <c r="I85" s="26">
        <f>MAX($B$2:B85)</f>
        <v>1768.9</v>
      </c>
      <c r="J85" s="27">
        <f t="shared" si="7"/>
        <v>-3.6237209565266625E-2</v>
      </c>
      <c r="K85" s="10">
        <f>MAX($C$2:C85)</f>
        <v>18.922999999999998</v>
      </c>
      <c r="L85" s="11">
        <f t="shared" si="8"/>
        <v>-4.8089626380594865E-2</v>
      </c>
    </row>
    <row r="86" spans="1:12" x14ac:dyDescent="0.35">
      <c r="A86" s="5" t="s">
        <v>217</v>
      </c>
      <c r="B86" s="22">
        <v>1727.4</v>
      </c>
      <c r="C86" s="10">
        <v>18.116</v>
      </c>
      <c r="D86" s="23">
        <f t="shared" si="9"/>
        <v>1.325668700140787E-2</v>
      </c>
      <c r="E86" s="11">
        <f t="shared" si="10"/>
        <v>5.7180924887580064E-3</v>
      </c>
      <c r="F86" s="24">
        <f>(B86-$B$2)/$B$2</f>
        <v>0.13042340160984242</v>
      </c>
      <c r="G86" s="11">
        <f t="shared" si="11"/>
        <v>3.8789759503491238E-3</v>
      </c>
      <c r="H86" s="25">
        <f t="shared" si="6"/>
        <v>95.352174873040411</v>
      </c>
      <c r="I86" s="26">
        <f>MAX($B$2:B86)</f>
        <v>1768.9</v>
      </c>
      <c r="J86" s="27">
        <f t="shared" si="7"/>
        <v>-2.3460907908869916E-2</v>
      </c>
      <c r="K86" s="10">
        <f>MAX($C$2:C86)</f>
        <v>18.922999999999998</v>
      </c>
      <c r="L86" s="11">
        <f t="shared" si="8"/>
        <v>-4.2646514823230917E-2</v>
      </c>
    </row>
    <row r="87" spans="1:12" x14ac:dyDescent="0.35">
      <c r="A87" s="5" t="s">
        <v>221</v>
      </c>
      <c r="B87" s="22">
        <v>1705.1</v>
      </c>
      <c r="C87" s="10">
        <v>17.995000000000001</v>
      </c>
      <c r="D87" s="23">
        <f t="shared" si="9"/>
        <v>-1.2909575083941287E-2</v>
      </c>
      <c r="E87" s="11">
        <f t="shared" si="10"/>
        <v>-6.6791786266283213E-3</v>
      </c>
      <c r="F87" s="24">
        <f>(B87-$B$2)/$B$2</f>
        <v>0.11583011583011583</v>
      </c>
      <c r="G87" s="11">
        <f t="shared" si="11"/>
        <v>-2.8261110495399746E-3</v>
      </c>
      <c r="H87" s="25">
        <f t="shared" si="6"/>
        <v>94.754098360655732</v>
      </c>
      <c r="I87" s="26">
        <f>MAX($B$2:B87)</f>
        <v>1768.9</v>
      </c>
      <c r="J87" s="27">
        <f t="shared" si="7"/>
        <v>-3.6067612640624219E-2</v>
      </c>
      <c r="K87" s="10">
        <f>MAX($C$2:C87)</f>
        <v>18.922999999999998</v>
      </c>
      <c r="L87" s="11">
        <f t="shared" si="8"/>
        <v>-4.9040849759551731E-2</v>
      </c>
    </row>
    <row r="88" spans="1:12" x14ac:dyDescent="0.35">
      <c r="A88" s="5" t="s">
        <v>223</v>
      </c>
      <c r="B88" s="22">
        <v>1721.9</v>
      </c>
      <c r="C88" s="10">
        <v>17.896000000000001</v>
      </c>
      <c r="D88" s="23">
        <f t="shared" si="9"/>
        <v>9.8527945575040653E-3</v>
      </c>
      <c r="E88" s="11">
        <f t="shared" si="10"/>
        <v>-5.5015282022784218E-3</v>
      </c>
      <c r="F88" s="24">
        <f>(B88-$B$2)/$B$2</f>
        <v>0.12682416072246594</v>
      </c>
      <c r="G88" s="11">
        <f t="shared" si="11"/>
        <v>-8.3120913221765812E-3</v>
      </c>
      <c r="H88" s="25">
        <f t="shared" si="6"/>
        <v>96.217031738936072</v>
      </c>
      <c r="I88" s="26">
        <f>MAX($B$2:B88)</f>
        <v>1768.9</v>
      </c>
      <c r="J88" s="27">
        <f t="shared" si="7"/>
        <v>-2.6570184860647859E-2</v>
      </c>
      <c r="K88" s="10">
        <f>MAX($C$2:C88)</f>
        <v>18.922999999999998</v>
      </c>
      <c r="L88" s="11">
        <f t="shared" si="8"/>
        <v>-5.4272578343814278E-2</v>
      </c>
    </row>
    <row r="89" spans="1:12" x14ac:dyDescent="0.35">
      <c r="A89" s="5" t="s">
        <v>225</v>
      </c>
      <c r="B89" s="22">
        <v>1720.7</v>
      </c>
      <c r="C89" s="10">
        <v>17.884</v>
      </c>
      <c r="D89" s="23">
        <f t="shared" si="9"/>
        <v>-6.9690458214765401E-4</v>
      </c>
      <c r="E89" s="11">
        <f t="shared" si="10"/>
        <v>-6.7054090299510812E-4</v>
      </c>
      <c r="F89" s="24">
        <f>(B89-$B$2)/$B$2</f>
        <v>0.12603887180158377</v>
      </c>
      <c r="G89" s="11">
        <f t="shared" si="11"/>
        <v>-8.9770586279507396E-3</v>
      </c>
      <c r="H89" s="25">
        <f t="shared" si="6"/>
        <v>96.214493401923505</v>
      </c>
      <c r="I89" s="26">
        <f>MAX($B$2:B89)</f>
        <v>1768.9</v>
      </c>
      <c r="J89" s="27">
        <f t="shared" si="7"/>
        <v>-2.7248572559217619E-2</v>
      </c>
      <c r="K89" s="10">
        <f>MAX($C$2:C89)</f>
        <v>18.922999999999998</v>
      </c>
      <c r="L89" s="11">
        <f t="shared" si="8"/>
        <v>-5.4906727263118849E-2</v>
      </c>
    </row>
    <row r="90" spans="1:12" x14ac:dyDescent="0.35">
      <c r="A90" s="5" t="s">
        <v>227</v>
      </c>
      <c r="B90" s="22">
        <v>1739.8</v>
      </c>
      <c r="C90" s="10">
        <v>17.97</v>
      </c>
      <c r="D90" s="23">
        <f t="shared" si="9"/>
        <v>1.1100133666531009E-2</v>
      </c>
      <c r="E90" s="11">
        <f t="shared" si="10"/>
        <v>4.8087676135091994E-3</v>
      </c>
      <c r="F90" s="24">
        <f>(B90-$B$2)/$B$2</f>
        <v>0.13853805379229112</v>
      </c>
      <c r="G90" s="11">
        <f t="shared" si="11"/>
        <v>-4.211459603236203E-3</v>
      </c>
      <c r="H90" s="25">
        <f t="shared" si="6"/>
        <v>96.816917084028944</v>
      </c>
      <c r="I90" s="26">
        <f>MAX($B$2:B90)</f>
        <v>1768.9</v>
      </c>
      <c r="J90" s="27">
        <f t="shared" si="7"/>
        <v>-1.6450901690316093E-2</v>
      </c>
      <c r="K90" s="10">
        <f>MAX($C$2:C90)</f>
        <v>18.922999999999998</v>
      </c>
      <c r="L90" s="11">
        <f t="shared" si="8"/>
        <v>-5.0361993341436317E-2</v>
      </c>
    </row>
    <row r="91" spans="1:12" x14ac:dyDescent="0.35">
      <c r="A91" s="5" t="s">
        <v>231</v>
      </c>
      <c r="B91" s="22">
        <v>1727.2</v>
      </c>
      <c r="C91" s="10">
        <v>17.484000000000002</v>
      </c>
      <c r="D91" s="23">
        <f t="shared" si="9"/>
        <v>-7.2422117484767842E-3</v>
      </c>
      <c r="E91" s="11">
        <f t="shared" si="10"/>
        <v>-2.7045075125208522E-2</v>
      </c>
      <c r="F91" s="24">
        <f>(B91-$B$2)/$B$2</f>
        <v>0.13029252012302869</v>
      </c>
      <c r="G91" s="11">
        <f t="shared" si="11"/>
        <v>-3.114263548708842E-2</v>
      </c>
      <c r="H91" s="25">
        <f t="shared" si="6"/>
        <v>98.787462823152595</v>
      </c>
      <c r="I91" s="26">
        <f>MAX($B$2:B91)</f>
        <v>1768.9</v>
      </c>
      <c r="J91" s="27">
        <f t="shared" si="7"/>
        <v>-2.3573972525298234E-2</v>
      </c>
      <c r="K91" s="10">
        <f>MAX($C$2:C91)</f>
        <v>18.922999999999998</v>
      </c>
      <c r="L91" s="11">
        <f t="shared" si="8"/>
        <v>-7.6045024573270448E-2</v>
      </c>
    </row>
    <row r="92" spans="1:12" x14ac:dyDescent="0.35">
      <c r="A92" s="5" t="s">
        <v>233</v>
      </c>
      <c r="B92" s="22">
        <v>1736.5</v>
      </c>
      <c r="C92" s="10">
        <v>17.734999999999999</v>
      </c>
      <c r="D92" s="23">
        <f t="shared" si="9"/>
        <v>5.3844372394626881E-3</v>
      </c>
      <c r="E92" s="11">
        <f t="shared" si="10"/>
        <v>1.435598261267431E-2</v>
      </c>
      <c r="F92" s="24">
        <f>(B92-$B$2)/$B$2</f>
        <v>0.13637850925986525</v>
      </c>
      <c r="G92" s="11">
        <f t="shared" si="11"/>
        <v>-1.7233736007979606E-2</v>
      </c>
      <c r="H92" s="25">
        <f t="shared" si="6"/>
        <v>97.913729912602207</v>
      </c>
      <c r="I92" s="26">
        <f>MAX($B$2:B92)</f>
        <v>1768.9</v>
      </c>
      <c r="J92" s="27">
        <f t="shared" si="7"/>
        <v>-1.8316467861382829E-2</v>
      </c>
      <c r="K92" s="10">
        <f>MAX($C$2:C92)</f>
        <v>18.922999999999998</v>
      </c>
      <c r="L92" s="11">
        <f t="shared" si="8"/>
        <v>-6.27807430111504E-2</v>
      </c>
    </row>
    <row r="93" spans="1:12" x14ac:dyDescent="0.35">
      <c r="A93" s="5" t="s">
        <v>235</v>
      </c>
      <c r="B93" s="22">
        <v>1735.6</v>
      </c>
      <c r="C93" s="10">
        <v>17.86</v>
      </c>
      <c r="D93" s="23">
        <f t="shared" si="9"/>
        <v>-5.1828390440546558E-4</v>
      </c>
      <c r="E93" s="11">
        <f t="shared" si="10"/>
        <v>7.0482097547223009E-3</v>
      </c>
      <c r="F93" s="24">
        <f>(B93-$B$2)/$B$2</f>
        <v>0.13578954256920359</v>
      </c>
      <c r="G93" s="11">
        <f t="shared" si="11"/>
        <v>-1.0306993239499055E-2</v>
      </c>
      <c r="H93" s="25">
        <f t="shared" si="6"/>
        <v>97.178051511758113</v>
      </c>
      <c r="I93" s="26">
        <f>MAX($B$2:B93)</f>
        <v>1768.9</v>
      </c>
      <c r="J93" s="27">
        <f t="shared" si="7"/>
        <v>-1.882525863531018E-2</v>
      </c>
      <c r="K93" s="10">
        <f>MAX($C$2:C93)</f>
        <v>18.922999999999998</v>
      </c>
      <c r="L93" s="11">
        <f t="shared" si="8"/>
        <v>-5.6175025101727998E-2</v>
      </c>
    </row>
    <row r="94" spans="1:12" x14ac:dyDescent="0.35">
      <c r="A94" s="5" t="s">
        <v>237</v>
      </c>
      <c r="B94" s="22">
        <v>1731.1</v>
      </c>
      <c r="C94" s="10">
        <v>17.600999999999999</v>
      </c>
      <c r="D94" s="23">
        <f t="shared" si="9"/>
        <v>-2.5927633095183225E-3</v>
      </c>
      <c r="E94" s="11">
        <f t="shared" si="10"/>
        <v>-1.4501679731243021E-2</v>
      </c>
      <c r="F94" s="24">
        <f>(B94-$B$2)/$B$2</f>
        <v>0.13284470911589558</v>
      </c>
      <c r="G94" s="11">
        <f t="shared" si="11"/>
        <v>-2.4659204255790775E-2</v>
      </c>
      <c r="H94" s="25">
        <f t="shared" si="6"/>
        <v>98.352366342821426</v>
      </c>
      <c r="I94" s="26">
        <f>MAX($B$2:B94)</f>
        <v>1768.9</v>
      </c>
      <c r="J94" s="27">
        <f t="shared" si="7"/>
        <v>-2.136921250494668E-2</v>
      </c>
      <c r="K94" s="10">
        <f>MAX($C$2:C94)</f>
        <v>18.922999999999998</v>
      </c>
      <c r="L94" s="11">
        <f t="shared" si="8"/>
        <v>-6.9862072610051229E-2</v>
      </c>
    </row>
    <row r="95" spans="1:12" x14ac:dyDescent="0.35">
      <c r="A95" s="5" t="s">
        <v>241</v>
      </c>
      <c r="B95" s="22">
        <v>1766.4</v>
      </c>
      <c r="C95" s="10">
        <v>17.992000000000001</v>
      </c>
      <c r="D95" s="23">
        <f t="shared" si="9"/>
        <v>2.0391658483045569E-2</v>
      </c>
      <c r="E95" s="11">
        <f t="shared" si="10"/>
        <v>2.2214646895062883E-2</v>
      </c>
      <c r="F95" s="24">
        <f>(B95-$B$2)/$B$2</f>
        <v>0.155945291538512</v>
      </c>
      <c r="G95" s="11">
        <f t="shared" si="11"/>
        <v>-2.9923528759835142E-3</v>
      </c>
      <c r="H95" s="25">
        <f t="shared" si="6"/>
        <v>98.176967541129386</v>
      </c>
      <c r="I95" s="26">
        <f>MAX($B$2:B95)</f>
        <v>1768.9</v>
      </c>
      <c r="J95" s="27">
        <f t="shared" si="7"/>
        <v>-1.4133077053536094E-3</v>
      </c>
      <c r="K95" s="10">
        <f>MAX($C$2:C95)</f>
        <v>18.922999999999998</v>
      </c>
      <c r="L95" s="11">
        <f t="shared" si="8"/>
        <v>-4.9199386989377869E-2</v>
      </c>
    </row>
    <row r="96" spans="1:12" x14ac:dyDescent="0.35">
      <c r="A96" s="5" t="s">
        <v>243</v>
      </c>
      <c r="B96" s="22">
        <v>1782</v>
      </c>
      <c r="C96" s="10">
        <v>18.155000000000001</v>
      </c>
      <c r="D96" s="23">
        <f t="shared" si="9"/>
        <v>8.8315217391303821E-3</v>
      </c>
      <c r="E96" s="11">
        <f t="shared" si="10"/>
        <v>9.0595820364606627E-3</v>
      </c>
      <c r="F96" s="24">
        <f>(B96-$B$2)/$B$2</f>
        <v>0.16615404750997978</v>
      </c>
      <c r="G96" s="11">
        <f t="shared" si="11"/>
        <v>6.0401196941151369E-3</v>
      </c>
      <c r="H96" s="25">
        <f t="shared" si="6"/>
        <v>98.154778297989523</v>
      </c>
      <c r="I96" s="26">
        <f>MAX($B$2:B96)</f>
        <v>1782</v>
      </c>
      <c r="J96" s="27">
        <f t="shared" si="7"/>
        <v>0</v>
      </c>
      <c r="K96" s="10">
        <f>MAX($C$2:C96)</f>
        <v>18.922999999999998</v>
      </c>
      <c r="L96" s="11">
        <f t="shared" si="8"/>
        <v>-4.0585530835491053E-2</v>
      </c>
    </row>
    <row r="97" spans="1:12" x14ac:dyDescent="0.35">
      <c r="A97" s="5" t="s">
        <v>245</v>
      </c>
      <c r="B97" s="22">
        <v>1775.1</v>
      </c>
      <c r="C97" s="10">
        <v>17.734000000000002</v>
      </c>
      <c r="D97" s="23">
        <f t="shared" si="9"/>
        <v>-3.8720538720539233E-3</v>
      </c>
      <c r="E97" s="11">
        <f t="shared" si="10"/>
        <v>-2.3189204076012083E-2</v>
      </c>
      <c r="F97" s="24">
        <f>(B97-$B$2)/$B$2</f>
        <v>0.1616386362149074</v>
      </c>
      <c r="G97" s="11">
        <f t="shared" si="11"/>
        <v>-1.7289149950127321E-2</v>
      </c>
      <c r="H97" s="25">
        <f t="shared" si="6"/>
        <v>100.09586105785495</v>
      </c>
      <c r="I97" s="26">
        <f>MAX($B$2:B97)</f>
        <v>1782</v>
      </c>
      <c r="J97" s="27">
        <f t="shared" si="7"/>
        <v>-3.8720538720539233E-3</v>
      </c>
      <c r="K97" s="10">
        <f>MAX($C$2:C97)</f>
        <v>18.922999999999998</v>
      </c>
      <c r="L97" s="11">
        <f t="shared" si="8"/>
        <v>-6.2833588754425657E-2</v>
      </c>
    </row>
    <row r="98" spans="1:12" x14ac:dyDescent="0.35">
      <c r="A98" s="5" t="s">
        <v>247</v>
      </c>
      <c r="B98" s="22">
        <v>1770.6</v>
      </c>
      <c r="C98" s="10">
        <v>17.968</v>
      </c>
      <c r="D98" s="23">
        <f t="shared" si="9"/>
        <v>-2.5350684468480652E-3</v>
      </c>
      <c r="E98" s="11">
        <f t="shared" si="10"/>
        <v>1.3194992669448414E-2</v>
      </c>
      <c r="F98" s="24">
        <f>(B98-$B$2)/$B$2</f>
        <v>0.15869380276159939</v>
      </c>
      <c r="G98" s="11">
        <f t="shared" si="11"/>
        <v>-4.3222874875318302E-3</v>
      </c>
      <c r="H98" s="25">
        <f t="shared" si="6"/>
        <v>98.541852181656267</v>
      </c>
      <c r="I98" s="26">
        <f>MAX($B$2:B98)</f>
        <v>1782</v>
      </c>
      <c r="J98" s="27">
        <f t="shared" si="7"/>
        <v>-6.3973063973064483E-3</v>
      </c>
      <c r="K98" s="10">
        <f>MAX($C$2:C98)</f>
        <v>18.922999999999998</v>
      </c>
      <c r="L98" s="11">
        <f t="shared" si="8"/>
        <v>-5.0467684827987018E-2</v>
      </c>
    </row>
    <row r="99" spans="1:12" x14ac:dyDescent="0.35">
      <c r="A99" s="5" t="s">
        <v>251</v>
      </c>
      <c r="B99" s="22">
        <v>1781.2</v>
      </c>
      <c r="C99" s="10">
        <v>18.064</v>
      </c>
      <c r="D99" s="23">
        <f t="shared" si="9"/>
        <v>5.9866711849091477E-3</v>
      </c>
      <c r="E99" s="11">
        <f t="shared" si="10"/>
        <v>5.3428317008014292E-3</v>
      </c>
      <c r="F99" s="24">
        <f>(B99-$B$2)/$B$2</f>
        <v>0.16563052156272506</v>
      </c>
      <c r="G99" s="11">
        <f t="shared" si="11"/>
        <v>9.9745095866123697E-4</v>
      </c>
      <c r="H99" s="25">
        <f t="shared" si="6"/>
        <v>98.604960141718337</v>
      </c>
      <c r="I99" s="26">
        <f>MAX($B$2:B99)</f>
        <v>1782</v>
      </c>
      <c r="J99" s="27">
        <f t="shared" si="7"/>
        <v>-4.4893378226709007E-4</v>
      </c>
      <c r="K99" s="10">
        <f>MAX($C$2:C99)</f>
        <v>18.922999999999998</v>
      </c>
      <c r="L99" s="11">
        <f t="shared" si="8"/>
        <v>-4.5394493473550616E-2</v>
      </c>
    </row>
    <row r="100" spans="1:12" x14ac:dyDescent="0.35">
      <c r="A100" s="5" t="s">
        <v>253</v>
      </c>
      <c r="B100" s="22">
        <v>1800.5</v>
      </c>
      <c r="C100" s="10">
        <v>18.637</v>
      </c>
      <c r="D100" s="23">
        <f t="shared" si="9"/>
        <v>1.0835391870648975E-2</v>
      </c>
      <c r="E100" s="11">
        <f t="shared" si="10"/>
        <v>3.1720549158547412E-2</v>
      </c>
      <c r="F100" s="24">
        <f>(B100-$B$2)/$B$2</f>
        <v>0.17826058504024614</v>
      </c>
      <c r="G100" s="11">
        <f t="shared" si="11"/>
        <v>3.2749639809376098E-2</v>
      </c>
      <c r="H100" s="25">
        <f t="shared" si="6"/>
        <v>96.608896281590376</v>
      </c>
      <c r="I100" s="26">
        <f>MAX($B$2:B100)</f>
        <v>1800.5</v>
      </c>
      <c r="J100" s="27">
        <f t="shared" si="7"/>
        <v>0</v>
      </c>
      <c r="K100" s="10">
        <f>MAX($C$2:C100)</f>
        <v>18.922999999999998</v>
      </c>
      <c r="L100" s="11">
        <f t="shared" si="8"/>
        <v>-1.5113882576758327E-2</v>
      </c>
    </row>
    <row r="101" spans="1:12" x14ac:dyDescent="0.35">
      <c r="A101" s="5" t="s">
        <v>255</v>
      </c>
      <c r="B101" s="22">
        <v>1779.9</v>
      </c>
      <c r="C101" s="10">
        <v>18.218</v>
      </c>
      <c r="D101" s="23">
        <f t="shared" si="9"/>
        <v>-1.1441266314912473E-2</v>
      </c>
      <c r="E101" s="11">
        <f t="shared" si="10"/>
        <v>-2.2482159145785292E-2</v>
      </c>
      <c r="F101" s="24">
        <f>(B101-$B$2)/$B$2</f>
        <v>0.16477979189843608</v>
      </c>
      <c r="G101" s="11">
        <f t="shared" si="11"/>
        <v>9.5311980494292691E-3</v>
      </c>
      <c r="H101" s="25">
        <f t="shared" si="6"/>
        <v>97.700076847074328</v>
      </c>
      <c r="I101" s="26">
        <f>MAX($B$2:B101)</f>
        <v>1800.5</v>
      </c>
      <c r="J101" s="27">
        <f t="shared" si="7"/>
        <v>-1.1441266314912473E-2</v>
      </c>
      <c r="K101" s="10">
        <f>MAX($C$2:C101)</f>
        <v>18.922999999999998</v>
      </c>
      <c r="L101" s="11">
        <f t="shared" si="8"/>
        <v>-3.7256249009142227E-2</v>
      </c>
    </row>
    <row r="102" spans="1:12" x14ac:dyDescent="0.35">
      <c r="A102" s="5" t="s">
        <v>257</v>
      </c>
      <c r="B102" s="22">
        <v>1790</v>
      </c>
      <c r="C102" s="10">
        <v>18.321999999999999</v>
      </c>
      <c r="D102" s="23">
        <f t="shared" si="9"/>
        <v>5.6744760941625418E-3</v>
      </c>
      <c r="E102" s="11">
        <f t="shared" si="10"/>
        <v>5.7086398067844549E-3</v>
      </c>
      <c r="F102" s="24">
        <f>(B102-$B$2)/$B$2</f>
        <v>0.17138930698252738</v>
      </c>
      <c r="G102" s="11">
        <f t="shared" si="11"/>
        <v>1.5294248032805043E-2</v>
      </c>
      <c r="H102" s="25">
        <f t="shared" si="6"/>
        <v>97.696757995851982</v>
      </c>
      <c r="I102" s="26">
        <f>MAX($B$2:B102)</f>
        <v>1800.5</v>
      </c>
      <c r="J102" s="27">
        <f t="shared" si="7"/>
        <v>-5.8317134129408496E-3</v>
      </c>
      <c r="K102" s="10">
        <f>MAX($C$2:C102)</f>
        <v>18.922999999999998</v>
      </c>
      <c r="L102" s="11">
        <f t="shared" si="8"/>
        <v>-3.1760291708502836E-2</v>
      </c>
    </row>
    <row r="103" spans="1:12" x14ac:dyDescent="0.35">
      <c r="A103" s="5" t="s">
        <v>261</v>
      </c>
      <c r="B103" s="22">
        <v>1793.5</v>
      </c>
      <c r="C103" s="10">
        <v>18.582000000000001</v>
      </c>
      <c r="D103" s="23">
        <f t="shared" si="9"/>
        <v>1.9553072625698325E-3</v>
      </c>
      <c r="E103" s="11">
        <f t="shared" si="10"/>
        <v>1.4190590546883614E-2</v>
      </c>
      <c r="F103" s="24">
        <f>(B103-$B$2)/$B$2</f>
        <v>0.17367973300176698</v>
      </c>
      <c r="G103" s="11">
        <f t="shared" si="11"/>
        <v>2.9701872991244674E-2</v>
      </c>
      <c r="H103" s="25">
        <f t="shared" si="6"/>
        <v>96.518135830373481</v>
      </c>
      <c r="I103" s="26">
        <f>MAX($B$2:B103)</f>
        <v>1800.5</v>
      </c>
      <c r="J103" s="27">
        <f t="shared" si="7"/>
        <v>-3.8878089419605664E-3</v>
      </c>
      <c r="K103" s="10">
        <f>MAX($C$2:C103)</f>
        <v>18.922999999999998</v>
      </c>
      <c r="L103" s="11">
        <f t="shared" si="8"/>
        <v>-1.8020398456904167E-2</v>
      </c>
    </row>
    <row r="104" spans="1:12" x14ac:dyDescent="0.35">
      <c r="A104" s="5" t="s">
        <v>262</v>
      </c>
      <c r="B104" s="22">
        <v>1809.9</v>
      </c>
      <c r="C104" s="10">
        <v>18.699000000000002</v>
      </c>
      <c r="D104" s="23">
        <f t="shared" si="9"/>
        <v>9.1441315862838528E-3</v>
      </c>
      <c r="E104" s="11">
        <f t="shared" si="10"/>
        <v>6.2964158863416681E-3</v>
      </c>
      <c r="F104" s="24">
        <f>(B104-$B$2)/$B$2</f>
        <v>0.18441201492048961</v>
      </c>
      <c r="G104" s="11">
        <f t="shared" si="11"/>
        <v>3.6185304222542521E-2</v>
      </c>
      <c r="H104" s="25">
        <f t="shared" si="6"/>
        <v>96.791272260548695</v>
      </c>
      <c r="I104" s="26">
        <f>MAX($B$2:B104)</f>
        <v>1809.9</v>
      </c>
      <c r="J104" s="27">
        <f t="shared" si="7"/>
        <v>0</v>
      </c>
      <c r="K104" s="10">
        <f>MAX($C$2:C104)</f>
        <v>18.922999999999998</v>
      </c>
      <c r="L104" s="11">
        <f t="shared" si="8"/>
        <v>-1.1837446493684758E-2</v>
      </c>
    </row>
    <row r="105" spans="1:12" x14ac:dyDescent="0.35">
      <c r="A105" s="5" t="s">
        <v>264</v>
      </c>
      <c r="B105" s="22">
        <v>1820.6</v>
      </c>
      <c r="C105" s="10">
        <v>19.161000000000001</v>
      </c>
      <c r="D105" s="23">
        <f t="shared" si="9"/>
        <v>5.9119288358471835E-3</v>
      </c>
      <c r="E105" s="11">
        <f t="shared" si="10"/>
        <v>2.4707203593775054E-2</v>
      </c>
      <c r="F105" s="24">
        <f>(B105-$B$2)/$B$2</f>
        <v>0.19141417446502193</v>
      </c>
      <c r="G105" s="11">
        <f t="shared" si="11"/>
        <v>6.1786545494846613E-2</v>
      </c>
      <c r="H105" s="25">
        <f t="shared" si="6"/>
        <v>95.015917749595516</v>
      </c>
      <c r="I105" s="26">
        <f>MAX($B$2:B105)</f>
        <v>1820.6</v>
      </c>
      <c r="J105" s="27">
        <f t="shared" si="7"/>
        <v>0</v>
      </c>
      <c r="K105" s="10">
        <f>MAX($C$2:C105)</f>
        <v>19.161000000000001</v>
      </c>
      <c r="L105" s="11">
        <f t="shared" si="8"/>
        <v>0</v>
      </c>
    </row>
    <row r="106" spans="1:12" x14ac:dyDescent="0.35">
      <c r="A106" s="5" t="s">
        <v>266</v>
      </c>
      <c r="B106" s="22">
        <v>1803.8</v>
      </c>
      <c r="C106" s="10">
        <v>18.962</v>
      </c>
      <c r="D106" s="23">
        <f t="shared" si="9"/>
        <v>-9.227727122926483E-3</v>
      </c>
      <c r="E106" s="11">
        <f t="shared" si="10"/>
        <v>-1.0385679244298398E-2</v>
      </c>
      <c r="F106" s="24">
        <f>(B106-$B$2)/$B$2</f>
        <v>0.18042012957267198</v>
      </c>
      <c r="G106" s="11">
        <f t="shared" si="11"/>
        <v>5.075917100742549E-2</v>
      </c>
      <c r="H106" s="25">
        <f t="shared" si="6"/>
        <v>95.12709629785887</v>
      </c>
      <c r="I106" s="26">
        <f>MAX($B$2:B106)</f>
        <v>1820.6</v>
      </c>
      <c r="J106" s="27">
        <f t="shared" si="7"/>
        <v>-9.227727122926483E-3</v>
      </c>
      <c r="K106" s="10">
        <f>MAX($C$2:C106)</f>
        <v>19.161000000000001</v>
      </c>
      <c r="L106" s="11">
        <f t="shared" si="8"/>
        <v>-1.0385679244298398E-2</v>
      </c>
    </row>
    <row r="107" spans="1:12" x14ac:dyDescent="0.35">
      <c r="A107" s="5" t="s">
        <v>270</v>
      </c>
      <c r="B107" s="22">
        <v>1814.1</v>
      </c>
      <c r="C107" s="10">
        <v>19.788</v>
      </c>
      <c r="D107" s="23">
        <f t="shared" si="9"/>
        <v>5.7101674243263973E-3</v>
      </c>
      <c r="E107" s="11">
        <f t="shared" si="10"/>
        <v>4.3560805822170687E-2</v>
      </c>
      <c r="F107" s="24">
        <f>(B107-$B$2)/$B$2</f>
        <v>0.18716052614357701</v>
      </c>
      <c r="G107" s="11">
        <f t="shared" si="11"/>
        <v>9.6531087221544992E-2</v>
      </c>
      <c r="H107" s="25">
        <f t="shared" si="6"/>
        <v>91.676773802304425</v>
      </c>
      <c r="I107" s="26">
        <f>MAX($B$2:B107)</f>
        <v>1820.6</v>
      </c>
      <c r="J107" s="27">
        <f t="shared" si="7"/>
        <v>-3.5702515654179941E-3</v>
      </c>
      <c r="K107" s="10">
        <f>MAX($C$2:C107)</f>
        <v>19.788</v>
      </c>
      <c r="L107" s="11">
        <f t="shared" si="8"/>
        <v>0</v>
      </c>
    </row>
    <row r="108" spans="1:12" x14ac:dyDescent="0.35">
      <c r="A108" s="5" t="s">
        <v>272</v>
      </c>
      <c r="B108" s="22">
        <v>1813.4</v>
      </c>
      <c r="C108" s="10">
        <v>19.53</v>
      </c>
      <c r="D108" s="23">
        <f t="shared" si="9"/>
        <v>-3.8586626977554609E-4</v>
      </c>
      <c r="E108" s="11">
        <f t="shared" si="10"/>
        <v>-1.3038204972710689E-2</v>
      </c>
      <c r="F108" s="24">
        <f>(B108-$B$2)/$B$2</f>
        <v>0.18670244093972921</v>
      </c>
      <c r="G108" s="11">
        <f t="shared" si="11"/>
        <v>8.223429014740119E-2</v>
      </c>
      <c r="H108" s="25">
        <f t="shared" si="6"/>
        <v>92.852022529441882</v>
      </c>
      <c r="I108" s="26">
        <f>MAX($B$2:B108)</f>
        <v>1820.6</v>
      </c>
      <c r="J108" s="27">
        <f t="shared" si="7"/>
        <v>-3.9547401955398326E-3</v>
      </c>
      <c r="K108" s="10">
        <f>MAX($C$2:C108)</f>
        <v>19.788</v>
      </c>
      <c r="L108" s="11">
        <f t="shared" si="8"/>
        <v>-1.3038204972710689E-2</v>
      </c>
    </row>
    <row r="109" spans="1:12" x14ac:dyDescent="0.35">
      <c r="A109" s="5" t="s">
        <v>274</v>
      </c>
      <c r="B109" s="22">
        <v>1813.8</v>
      </c>
      <c r="C109" s="10">
        <v>19.760999999999999</v>
      </c>
      <c r="D109" s="23">
        <f t="shared" si="9"/>
        <v>2.2058012573059643E-4</v>
      </c>
      <c r="E109" s="11">
        <f t="shared" si="10"/>
        <v>1.1827956989247214E-2</v>
      </c>
      <c r="F109" s="24">
        <f>(B109-$B$2)/$B$2</f>
        <v>0.1869642039133565</v>
      </c>
      <c r="G109" s="11">
        <f t="shared" si="11"/>
        <v>9.5034910783553139E-2</v>
      </c>
      <c r="H109" s="25">
        <f t="shared" si="6"/>
        <v>91.786852892060125</v>
      </c>
      <c r="I109" s="26">
        <f>MAX($B$2:B109)</f>
        <v>1820.6</v>
      </c>
      <c r="J109" s="27">
        <f t="shared" si="7"/>
        <v>-3.7350324068987999E-3</v>
      </c>
      <c r="K109" s="10">
        <f>MAX($C$2:C109)</f>
        <v>19.788</v>
      </c>
      <c r="L109" s="11">
        <f t="shared" si="8"/>
        <v>-1.3644633110976867E-3</v>
      </c>
    </row>
    <row r="110" spans="1:12" x14ac:dyDescent="0.35">
      <c r="A110" s="5" t="s">
        <v>276</v>
      </c>
      <c r="B110" s="22">
        <v>1800.3</v>
      </c>
      <c r="C110" s="10">
        <v>19.573</v>
      </c>
      <c r="D110" s="23">
        <f t="shared" si="9"/>
        <v>-7.4429374793251735E-3</v>
      </c>
      <c r="E110" s="11">
        <f t="shared" si="10"/>
        <v>-9.5136885785131742E-3</v>
      </c>
      <c r="F110" s="24">
        <f>(B110-$B$2)/$B$2</f>
        <v>0.17812970355343241</v>
      </c>
      <c r="G110" s="11">
        <f t="shared" si="11"/>
        <v>8.4617089659758449E-2</v>
      </c>
      <c r="H110" s="25">
        <f t="shared" si="6"/>
        <v>91.978746232054363</v>
      </c>
      <c r="I110" s="26">
        <f>MAX($B$2:B110)</f>
        <v>1820.6</v>
      </c>
      <c r="J110" s="27">
        <f t="shared" si="7"/>
        <v>-1.1150170273536172E-2</v>
      </c>
      <c r="K110" s="10">
        <f>MAX($C$2:C110)</f>
        <v>19.788</v>
      </c>
      <c r="L110" s="11">
        <f t="shared" si="8"/>
        <v>-1.0865170810592271E-2</v>
      </c>
    </row>
    <row r="111" spans="1:12" x14ac:dyDescent="0.35">
      <c r="A111" s="5" t="s">
        <v>280</v>
      </c>
      <c r="B111" s="22">
        <v>1817.4</v>
      </c>
      <c r="C111" s="10">
        <v>20.192</v>
      </c>
      <c r="D111" s="23">
        <f t="shared" si="9"/>
        <v>9.4984169305116582E-3</v>
      </c>
      <c r="E111" s="11">
        <f t="shared" si="10"/>
        <v>3.162519797680477E-2</v>
      </c>
      <c r="F111" s="24">
        <f>(B111-$B$2)/$B$2</f>
        <v>0.18932007067600301</v>
      </c>
      <c r="G111" s="11">
        <f t="shared" si="11"/>
        <v>0.11891831984927413</v>
      </c>
      <c r="H111" s="25">
        <f t="shared" si="6"/>
        <v>90.005942947702067</v>
      </c>
      <c r="I111" s="26">
        <f>MAX($B$2:B111)</f>
        <v>1820.6</v>
      </c>
      <c r="J111" s="27">
        <f t="shared" si="7"/>
        <v>-1.7576623091287587E-3</v>
      </c>
      <c r="K111" s="10">
        <f>MAX($C$2:C111)</f>
        <v>20.192</v>
      </c>
      <c r="L111" s="11">
        <f t="shared" si="8"/>
        <v>0</v>
      </c>
    </row>
    <row r="112" spans="1:12" x14ac:dyDescent="0.35">
      <c r="A112" s="5" t="s">
        <v>282</v>
      </c>
      <c r="B112" s="22">
        <v>1843.9</v>
      </c>
      <c r="C112" s="10">
        <v>21.556999999999999</v>
      </c>
      <c r="D112" s="23">
        <f t="shared" si="9"/>
        <v>1.4581269946076812E-2</v>
      </c>
      <c r="E112" s="11">
        <f t="shared" si="10"/>
        <v>6.7601030110934948E-2</v>
      </c>
      <c r="F112" s="24">
        <f>(B112-$B$2)/$B$2</f>
        <v>0.20666186767881697</v>
      </c>
      <c r="G112" s="11">
        <f t="shared" si="11"/>
        <v>0.19455835088108164</v>
      </c>
      <c r="H112" s="25">
        <f t="shared" si="6"/>
        <v>85.536020782112544</v>
      </c>
      <c r="I112" s="26">
        <f>MAX($B$2:B112)</f>
        <v>1843.9</v>
      </c>
      <c r="J112" s="27">
        <f t="shared" si="7"/>
        <v>0</v>
      </c>
      <c r="K112" s="10">
        <f>MAX($C$2:C112)</f>
        <v>21.556999999999999</v>
      </c>
      <c r="L112" s="11">
        <f t="shared" si="8"/>
        <v>0</v>
      </c>
    </row>
    <row r="113" spans="1:12" x14ac:dyDescent="0.35">
      <c r="A113" s="5" t="s">
        <v>284</v>
      </c>
      <c r="B113" s="22">
        <v>1865.1</v>
      </c>
      <c r="C113" s="10">
        <v>23.143999999999998</v>
      </c>
      <c r="D113" s="23">
        <f t="shared" si="9"/>
        <v>1.1497369705515384E-2</v>
      </c>
      <c r="E113" s="11">
        <f t="shared" si="10"/>
        <v>7.3618778123115458E-2</v>
      </c>
      <c r="F113" s="24">
        <f>(B113-$B$2)/$B$2</f>
        <v>0.22053530528106802</v>
      </c>
      <c r="G113" s="11">
        <f t="shared" si="11"/>
        <v>0.2825002770697107</v>
      </c>
      <c r="H113" s="25">
        <f t="shared" si="6"/>
        <v>80.586761147597656</v>
      </c>
      <c r="I113" s="26">
        <f>MAX($B$2:B113)</f>
        <v>1865.1</v>
      </c>
      <c r="J113" s="27">
        <f t="shared" si="7"/>
        <v>0</v>
      </c>
      <c r="K113" s="10">
        <f>MAX($C$2:C113)</f>
        <v>23.143999999999998</v>
      </c>
      <c r="L113" s="11">
        <f t="shared" si="8"/>
        <v>0</v>
      </c>
    </row>
    <row r="114" spans="1:12" x14ac:dyDescent="0.35">
      <c r="A114" s="5" t="s">
        <v>286</v>
      </c>
      <c r="B114" s="22">
        <v>1890</v>
      </c>
      <c r="C114" s="10">
        <v>22.988</v>
      </c>
      <c r="D114" s="23">
        <f t="shared" si="9"/>
        <v>1.3350490590316922E-2</v>
      </c>
      <c r="E114" s="11">
        <f t="shared" si="10"/>
        <v>-6.7404078810922403E-3</v>
      </c>
      <c r="F114" s="24">
        <f>(B114-$B$2)/$B$2</f>
        <v>0.23683005038937249</v>
      </c>
      <c r="G114" s="11">
        <f t="shared" si="11"/>
        <v>0.27385570209464705</v>
      </c>
      <c r="H114" s="25">
        <f t="shared" si="6"/>
        <v>82.216808769792934</v>
      </c>
      <c r="I114" s="26">
        <f>MAX($B$2:B114)</f>
        <v>1890</v>
      </c>
      <c r="J114" s="27">
        <f t="shared" si="7"/>
        <v>0</v>
      </c>
      <c r="K114" s="10">
        <f>MAX($C$2:C114)</f>
        <v>23.143999999999998</v>
      </c>
      <c r="L114" s="11">
        <f t="shared" si="8"/>
        <v>-6.7404078810922403E-3</v>
      </c>
    </row>
    <row r="115" spans="1:12" x14ac:dyDescent="0.35">
      <c r="A115" s="5" t="s">
        <v>290</v>
      </c>
      <c r="B115" s="22">
        <v>1931</v>
      </c>
      <c r="C115" s="10">
        <v>24.501000000000001</v>
      </c>
      <c r="D115" s="23">
        <f t="shared" si="9"/>
        <v>2.1693121693121695E-2</v>
      </c>
      <c r="E115" s="11">
        <f t="shared" si="10"/>
        <v>6.5816947972855477E-2</v>
      </c>
      <c r="F115" s="24">
        <f>(B115-$B$2)/$B$2</f>
        <v>0.26366075518617899</v>
      </c>
      <c r="G115" s="11">
        <f t="shared" si="11"/>
        <v>0.35769699656433568</v>
      </c>
      <c r="H115" s="25">
        <f t="shared" si="6"/>
        <v>78.813109668993093</v>
      </c>
      <c r="I115" s="26">
        <f>MAX($B$2:B115)</f>
        <v>1931</v>
      </c>
      <c r="J115" s="27">
        <f t="shared" si="7"/>
        <v>0</v>
      </c>
      <c r="K115" s="10">
        <f>MAX($C$2:C115)</f>
        <v>24.501000000000001</v>
      </c>
      <c r="L115" s="11">
        <f t="shared" si="8"/>
        <v>0</v>
      </c>
    </row>
    <row r="116" spans="1:12" x14ac:dyDescent="0.35">
      <c r="A116" s="5" t="s">
        <v>292</v>
      </c>
      <c r="B116" s="22">
        <v>1944.6</v>
      </c>
      <c r="C116" s="10">
        <v>24.3</v>
      </c>
      <c r="D116" s="23">
        <f t="shared" si="9"/>
        <v>7.0429829104090673E-3</v>
      </c>
      <c r="E116" s="11">
        <f t="shared" si="10"/>
        <v>-8.2037467858454959E-3</v>
      </c>
      <c r="F116" s="24">
        <f>(B116-$B$2)/$B$2</f>
        <v>0.27256069628950985</v>
      </c>
      <c r="G116" s="11">
        <f t="shared" si="11"/>
        <v>0.34655879419261892</v>
      </c>
      <c r="H116" s="25">
        <f t="shared" si="6"/>
        <v>80.024691358024683</v>
      </c>
      <c r="I116" s="26">
        <f>MAX($B$2:B116)</f>
        <v>1944.6</v>
      </c>
      <c r="J116" s="27">
        <f t="shared" si="7"/>
        <v>0</v>
      </c>
      <c r="K116" s="10">
        <f>MAX($C$2:C116)</f>
        <v>24.501000000000001</v>
      </c>
      <c r="L116" s="11">
        <f t="shared" si="8"/>
        <v>-8.2037467858454959E-3</v>
      </c>
    </row>
    <row r="117" spans="1:12" x14ac:dyDescent="0.35">
      <c r="A117" s="5" t="s">
        <v>294</v>
      </c>
      <c r="B117" s="22">
        <v>1953.4</v>
      </c>
      <c r="C117" s="10">
        <v>24.321000000000002</v>
      </c>
      <c r="D117" s="23">
        <f t="shared" si="9"/>
        <v>4.5253522575337771E-3</v>
      </c>
      <c r="E117" s="11">
        <f t="shared" si="10"/>
        <v>8.6419753086423021E-4</v>
      </c>
      <c r="F117" s="24">
        <f>(B117-$B$2)/$B$2</f>
        <v>0.27831948170931237</v>
      </c>
      <c r="G117" s="11">
        <f t="shared" si="11"/>
        <v>0.34772248697772373</v>
      </c>
      <c r="H117" s="25">
        <f t="shared" si="6"/>
        <v>80.317421158669461</v>
      </c>
      <c r="I117" s="26">
        <f>MAX($B$2:B117)</f>
        <v>1953.4</v>
      </c>
      <c r="J117" s="27">
        <f t="shared" si="7"/>
        <v>0</v>
      </c>
      <c r="K117" s="10">
        <f>MAX($C$2:C117)</f>
        <v>24.501000000000001</v>
      </c>
      <c r="L117" s="11">
        <f t="shared" si="8"/>
        <v>-7.3466389126974289E-3</v>
      </c>
    </row>
    <row r="118" spans="1:12" x14ac:dyDescent="0.35">
      <c r="A118" s="5" t="s">
        <v>296</v>
      </c>
      <c r="B118" s="22">
        <v>1966.8</v>
      </c>
      <c r="C118" s="10">
        <v>23.45</v>
      </c>
      <c r="D118" s="23">
        <f t="shared" si="9"/>
        <v>6.8598341353536723E-3</v>
      </c>
      <c r="E118" s="11">
        <f t="shared" si="10"/>
        <v>-3.5812672176308631E-2</v>
      </c>
      <c r="F118" s="24">
        <f>(B118-$B$2)/$B$2</f>
        <v>0.2870885413258295</v>
      </c>
      <c r="G118" s="11">
        <f t="shared" si="11"/>
        <v>0.29945694336695111</v>
      </c>
      <c r="H118" s="25">
        <f t="shared" si="6"/>
        <v>83.872068230277179</v>
      </c>
      <c r="I118" s="26">
        <f>MAX($B$2:B118)</f>
        <v>1966.8</v>
      </c>
      <c r="J118" s="27">
        <f t="shared" si="7"/>
        <v>0</v>
      </c>
      <c r="K118" s="10">
        <f>MAX($C$2:C118)</f>
        <v>24.501000000000001</v>
      </c>
      <c r="L118" s="11">
        <f t="shared" si="8"/>
        <v>-4.2896208318027915E-2</v>
      </c>
    </row>
    <row r="119" spans="1:12" x14ac:dyDescent="0.35">
      <c r="A119" s="5" t="s">
        <v>300</v>
      </c>
      <c r="B119" s="22">
        <v>1986.3</v>
      </c>
      <c r="C119" s="10">
        <v>24.504999999999999</v>
      </c>
      <c r="D119" s="23">
        <f t="shared" si="9"/>
        <v>9.9145820622330693E-3</v>
      </c>
      <c r="E119" s="11">
        <f t="shared" si="10"/>
        <v>4.4989339019189757E-2</v>
      </c>
      <c r="F119" s="24">
        <f>(B119-$B$2)/$B$2</f>
        <v>0.29984948629016428</v>
      </c>
      <c r="G119" s="11">
        <f t="shared" si="11"/>
        <v>0.35791865233292697</v>
      </c>
      <c r="H119" s="25">
        <f t="shared" si="6"/>
        <v>81.05692715772291</v>
      </c>
      <c r="I119" s="26">
        <f>MAX($B$2:B119)</f>
        <v>1986.3</v>
      </c>
      <c r="J119" s="27">
        <f t="shared" si="7"/>
        <v>0</v>
      </c>
      <c r="K119" s="10">
        <f>MAX($C$2:C119)</f>
        <v>24.504999999999999</v>
      </c>
      <c r="L119" s="11">
        <f t="shared" si="8"/>
        <v>0</v>
      </c>
    </row>
    <row r="120" spans="1:12" x14ac:dyDescent="0.35">
      <c r="A120" s="5" t="s">
        <v>302</v>
      </c>
      <c r="B120" s="22">
        <v>2021</v>
      </c>
      <c r="C120" s="10">
        <v>26.091000000000001</v>
      </c>
      <c r="D120" s="23">
        <f t="shared" si="9"/>
        <v>1.7469667220460176E-2</v>
      </c>
      <c r="E120" s="11">
        <f t="shared" si="10"/>
        <v>6.4721485411140672E-2</v>
      </c>
      <c r="F120" s="24">
        <f>(B120-$B$2)/$B$2</f>
        <v>0.32255742425233958</v>
      </c>
      <c r="G120" s="11">
        <f t="shared" si="11"/>
        <v>0.44580516457940828</v>
      </c>
      <c r="H120" s="25">
        <f t="shared" si="6"/>
        <v>77.45966041930167</v>
      </c>
      <c r="I120" s="26">
        <f>MAX($B$2:B120)</f>
        <v>2021</v>
      </c>
      <c r="J120" s="27">
        <f t="shared" si="7"/>
        <v>0</v>
      </c>
      <c r="K120" s="10">
        <f>MAX($C$2:C120)</f>
        <v>26.091000000000001</v>
      </c>
      <c r="L120" s="11">
        <f t="shared" si="8"/>
        <v>0</v>
      </c>
    </row>
    <row r="121" spans="1:12" x14ac:dyDescent="0.35">
      <c r="A121" s="5" t="s">
        <v>304</v>
      </c>
      <c r="B121" s="22">
        <v>2049.3000000000002</v>
      </c>
      <c r="C121" s="10">
        <v>26.952999999999999</v>
      </c>
      <c r="D121" s="23">
        <f t="shared" si="9"/>
        <v>1.4002968827313301E-2</v>
      </c>
      <c r="E121" s="11">
        <f t="shared" si="10"/>
        <v>3.3038212410409655E-2</v>
      </c>
      <c r="F121" s="24">
        <f>(B121-$B$2)/$B$2</f>
        <v>0.34107715463647686</v>
      </c>
      <c r="G121" s="11">
        <f t="shared" si="11"/>
        <v>0.49357198271085007</v>
      </c>
      <c r="H121" s="25">
        <f t="shared" si="6"/>
        <v>76.032352613809238</v>
      </c>
      <c r="I121" s="26">
        <f>MAX($B$2:B121)</f>
        <v>2049.3000000000002</v>
      </c>
      <c r="J121" s="27">
        <f t="shared" si="7"/>
        <v>0</v>
      </c>
      <c r="K121" s="10">
        <f>MAX($C$2:C121)</f>
        <v>26.952999999999999</v>
      </c>
      <c r="L121" s="11">
        <f t="shared" si="8"/>
        <v>0</v>
      </c>
    </row>
    <row r="122" spans="1:12" x14ac:dyDescent="0.35">
      <c r="A122" s="5" t="s">
        <v>306</v>
      </c>
      <c r="B122" s="22">
        <v>2069.4</v>
      </c>
      <c r="C122" s="10">
        <v>28.47</v>
      </c>
      <c r="D122" s="23">
        <f t="shared" si="9"/>
        <v>9.8082271995315017E-3</v>
      </c>
      <c r="E122" s="11">
        <f t="shared" si="10"/>
        <v>5.6283159574073371E-2</v>
      </c>
      <c r="F122" s="24">
        <f>(B122-$B$2)/$B$2</f>
        <v>0.35423074406125266</v>
      </c>
      <c r="G122" s="11">
        <f t="shared" si="11"/>
        <v>0.57763493294913004</v>
      </c>
      <c r="H122" s="25">
        <f t="shared" si="6"/>
        <v>72.687038988408858</v>
      </c>
      <c r="I122" s="26">
        <f>MAX($B$2:B122)</f>
        <v>2069.4</v>
      </c>
      <c r="J122" s="27">
        <f t="shared" si="7"/>
        <v>0</v>
      </c>
      <c r="K122" s="10">
        <f>MAX($C$2:C122)</f>
        <v>28.47</v>
      </c>
      <c r="L122" s="11">
        <f t="shared" si="8"/>
        <v>0</v>
      </c>
    </row>
    <row r="123" spans="1:12" x14ac:dyDescent="0.35">
      <c r="A123" s="5" t="s">
        <v>310</v>
      </c>
      <c r="B123" s="22">
        <v>2039.7</v>
      </c>
      <c r="C123" s="10">
        <v>29.311</v>
      </c>
      <c r="D123" s="23">
        <f t="shared" si="9"/>
        <v>-1.4351986082922607E-2</v>
      </c>
      <c r="E123" s="11">
        <f t="shared" si="10"/>
        <v>2.9539866526167934E-2</v>
      </c>
      <c r="F123" s="24">
        <f>(B123-$B$2)/$B$2</f>
        <v>0.33479484326941966</v>
      </c>
      <c r="G123" s="11">
        <f t="shared" si="11"/>
        <v>0.62423805829546719</v>
      </c>
      <c r="H123" s="25">
        <f t="shared" si="6"/>
        <v>69.588209204735421</v>
      </c>
      <c r="I123" s="26">
        <f>MAX($B$2:B123)</f>
        <v>2069.4</v>
      </c>
      <c r="J123" s="27">
        <f t="shared" si="7"/>
        <v>-1.4351986082922607E-2</v>
      </c>
      <c r="K123" s="10">
        <f>MAX($C$2:C123)</f>
        <v>29.311</v>
      </c>
      <c r="L123" s="11">
        <f t="shared" si="8"/>
        <v>0</v>
      </c>
    </row>
    <row r="124" spans="1:12" x14ac:dyDescent="0.35">
      <c r="A124" s="5" t="s">
        <v>312</v>
      </c>
      <c r="B124" s="22">
        <v>1946.3</v>
      </c>
      <c r="C124" s="10">
        <v>26.1</v>
      </c>
      <c r="D124" s="23">
        <f t="shared" si="9"/>
        <v>-4.5791047703093633E-2</v>
      </c>
      <c r="E124" s="11">
        <f t="shared" si="10"/>
        <v>-0.1095493159564668</v>
      </c>
      <c r="F124" s="24">
        <f>(B124-$B$2)/$B$2</f>
        <v>0.27367318892742626</v>
      </c>
      <c r="G124" s="11">
        <f t="shared" si="11"/>
        <v>0.44630389005873888</v>
      </c>
      <c r="H124" s="25">
        <f t="shared" si="6"/>
        <v>74.570881226053629</v>
      </c>
      <c r="I124" s="26">
        <f>MAX($B$2:B124)</f>
        <v>2069.4</v>
      </c>
      <c r="J124" s="27">
        <f t="shared" si="7"/>
        <v>-5.9485841306659001E-2</v>
      </c>
      <c r="K124" s="10">
        <f>MAX($C$2:C124)</f>
        <v>29.311</v>
      </c>
      <c r="L124" s="11">
        <f t="shared" si="8"/>
        <v>-0.1095493159564668</v>
      </c>
    </row>
    <row r="125" spans="1:12" x14ac:dyDescent="0.35">
      <c r="A125" s="5" t="s">
        <v>314</v>
      </c>
      <c r="B125" s="22">
        <v>1949</v>
      </c>
      <c r="C125" s="10">
        <v>26.023</v>
      </c>
      <c r="D125" s="23">
        <f t="shared" si="9"/>
        <v>1.3872475980064973E-3</v>
      </c>
      <c r="E125" s="11">
        <f t="shared" si="10"/>
        <v>-2.9501915708812923E-3</v>
      </c>
      <c r="F125" s="24">
        <f>(B125-$B$2)/$B$2</f>
        <v>0.27544008899941114</v>
      </c>
      <c r="G125" s="11">
        <f t="shared" si="11"/>
        <v>0.44203701651335481</v>
      </c>
      <c r="H125" s="25">
        <f t="shared" si="6"/>
        <v>74.895284940245162</v>
      </c>
      <c r="I125" s="26">
        <f>MAX($B$2:B125)</f>
        <v>2069.4</v>
      </c>
      <c r="J125" s="27">
        <f t="shared" si="7"/>
        <v>-5.818111529912056E-2</v>
      </c>
      <c r="K125" s="10">
        <f>MAX($C$2:C125)</f>
        <v>29.311</v>
      </c>
      <c r="L125" s="11">
        <f t="shared" si="8"/>
        <v>-0.11217631605881752</v>
      </c>
    </row>
    <row r="126" spans="1:12" x14ac:dyDescent="0.35">
      <c r="A126" s="5" t="s">
        <v>316</v>
      </c>
      <c r="B126" s="22">
        <v>1970.4</v>
      </c>
      <c r="C126" s="10">
        <v>27.762</v>
      </c>
      <c r="D126" s="23">
        <f t="shared" si="9"/>
        <v>1.0979989738327395E-2</v>
      </c>
      <c r="E126" s="11">
        <f t="shared" si="10"/>
        <v>6.6825500518771883E-2</v>
      </c>
      <c r="F126" s="24">
        <f>(B126-$B$2)/$B$2</f>
        <v>0.28944440808847605</v>
      </c>
      <c r="G126" s="11">
        <f t="shared" si="11"/>
        <v>0.53840186190845629</v>
      </c>
      <c r="H126" s="25">
        <f t="shared" si="6"/>
        <v>70.974713637346014</v>
      </c>
      <c r="I126" s="26">
        <f>MAX($B$2:B126)</f>
        <v>2069.4</v>
      </c>
      <c r="J126" s="27">
        <f t="shared" si="7"/>
        <v>-4.7839953609741949E-2</v>
      </c>
      <c r="K126" s="10">
        <f>MAX($C$2:C126)</f>
        <v>29.311</v>
      </c>
      <c r="L126" s="11">
        <f t="shared" si="8"/>
        <v>-5.2847054007028063E-2</v>
      </c>
    </row>
    <row r="127" spans="1:12" x14ac:dyDescent="0.35">
      <c r="A127" s="5" t="s">
        <v>320</v>
      </c>
      <c r="B127" s="22">
        <v>1998.7</v>
      </c>
      <c r="C127" s="10">
        <v>27.716999999999999</v>
      </c>
      <c r="D127" s="23">
        <f t="shared" si="9"/>
        <v>1.4362565976451459E-2</v>
      </c>
      <c r="E127" s="11">
        <f t="shared" si="10"/>
        <v>-1.6209206829479758E-3</v>
      </c>
      <c r="F127" s="24">
        <f>(B127-$B$2)/$B$2</f>
        <v>0.30796413847261317</v>
      </c>
      <c r="G127" s="11">
        <f t="shared" si="11"/>
        <v>0.53590823451180314</v>
      </c>
      <c r="H127" s="25">
        <f t="shared" si="6"/>
        <v>72.110978821661803</v>
      </c>
      <c r="I127" s="26">
        <f>MAX($B$2:B127)</f>
        <v>2069.4</v>
      </c>
      <c r="J127" s="27">
        <f t="shared" si="7"/>
        <v>-3.4164492123320789E-2</v>
      </c>
      <c r="K127" s="10">
        <f>MAX($C$2:C127)</f>
        <v>29.311</v>
      </c>
      <c r="L127" s="11">
        <f t="shared" si="8"/>
        <v>-5.4382313807103178E-2</v>
      </c>
    </row>
    <row r="128" spans="1:12" x14ac:dyDescent="0.35">
      <c r="A128" s="5" t="s">
        <v>322</v>
      </c>
      <c r="B128" s="22">
        <v>2013.1</v>
      </c>
      <c r="C128" s="10">
        <v>28.114999999999998</v>
      </c>
      <c r="D128" s="23">
        <f t="shared" si="9"/>
        <v>7.2046830439785178E-3</v>
      </c>
      <c r="E128" s="11">
        <f t="shared" si="10"/>
        <v>1.4359418407475545E-2</v>
      </c>
      <c r="F128" s="24">
        <f>(B128-$B$2)/$B$2</f>
        <v>0.31738760552319878</v>
      </c>
      <c r="G128" s="11">
        <f t="shared" si="11"/>
        <v>0.55796298348664519</v>
      </c>
      <c r="H128" s="25">
        <f t="shared" si="6"/>
        <v>71.60234750133381</v>
      </c>
      <c r="I128" s="26">
        <f>MAX($B$2:B128)</f>
        <v>2069.4</v>
      </c>
      <c r="J128" s="27">
        <f t="shared" si="7"/>
        <v>-2.72059534164493E-2</v>
      </c>
      <c r="K128" s="10">
        <f>MAX($C$2:C128)</f>
        <v>29.311</v>
      </c>
      <c r="L128" s="11">
        <f t="shared" si="8"/>
        <v>-4.0803793797550461E-2</v>
      </c>
    </row>
    <row r="129" spans="1:12" x14ac:dyDescent="0.35">
      <c r="A129" s="5" t="s">
        <v>324</v>
      </c>
      <c r="B129" s="22">
        <v>1970.3</v>
      </c>
      <c r="C129" s="10">
        <v>27.385000000000002</v>
      </c>
      <c r="D129" s="23">
        <f t="shared" si="9"/>
        <v>-2.1260742138989597E-2</v>
      </c>
      <c r="E129" s="11">
        <f t="shared" si="10"/>
        <v>-2.5964787479992778E-2</v>
      </c>
      <c r="F129" s="24">
        <f>(B129-$B$2)/$B$2</f>
        <v>0.28937896734506907</v>
      </c>
      <c r="G129" s="11">
        <f t="shared" si="11"/>
        <v>0.51751080571871899</v>
      </c>
      <c r="H129" s="25">
        <f t="shared" si="6"/>
        <v>71.948146795691059</v>
      </c>
      <c r="I129" s="26">
        <f>MAX($B$2:B129)</f>
        <v>2069.4</v>
      </c>
      <c r="J129" s="27">
        <f t="shared" si="7"/>
        <v>-4.7888276795206401E-2</v>
      </c>
      <c r="K129" s="10">
        <f>MAX($C$2:C129)</f>
        <v>29.311</v>
      </c>
      <c r="L129" s="11">
        <f t="shared" si="8"/>
        <v>-6.5709119443212394E-2</v>
      </c>
    </row>
    <row r="130" spans="1:12" x14ac:dyDescent="0.35">
      <c r="A130" s="5" t="s">
        <v>326</v>
      </c>
      <c r="B130" s="22">
        <v>1946.5</v>
      </c>
      <c r="C130" s="10">
        <v>27.192</v>
      </c>
      <c r="D130" s="23">
        <f t="shared" si="9"/>
        <v>-1.2079378774805844E-2</v>
      </c>
      <c r="E130" s="11">
        <f t="shared" si="10"/>
        <v>-7.0476538250867768E-3</v>
      </c>
      <c r="F130" s="24">
        <f>(B130-$B$2)/$B$2</f>
        <v>0.27380407041423999</v>
      </c>
      <c r="G130" s="11">
        <f t="shared" si="11"/>
        <v>0.50681591488418487</v>
      </c>
      <c r="H130" s="25">
        <f t="shared" si="6"/>
        <v>71.583553986466612</v>
      </c>
      <c r="I130" s="26">
        <f>MAX($B$2:B130)</f>
        <v>2069.4</v>
      </c>
      <c r="J130" s="27">
        <f t="shared" si="7"/>
        <v>-5.9389194935730208E-2</v>
      </c>
      <c r="K130" s="10">
        <f>MAX($C$2:C130)</f>
        <v>29.311</v>
      </c>
      <c r="L130" s="11">
        <f t="shared" si="8"/>
        <v>-7.2293678141312129E-2</v>
      </c>
    </row>
    <row r="131" spans="1:12" x14ac:dyDescent="0.35">
      <c r="A131" s="5" t="s">
        <v>330</v>
      </c>
      <c r="B131" s="22">
        <v>1939.2</v>
      </c>
      <c r="C131" s="10">
        <v>26.661000000000001</v>
      </c>
      <c r="D131" s="23">
        <f t="shared" si="9"/>
        <v>-3.7503210891343202E-3</v>
      </c>
      <c r="E131" s="11">
        <f t="shared" si="10"/>
        <v>-1.9527802294792541E-2</v>
      </c>
      <c r="F131" s="24">
        <f>(B131-$B$2)/$B$2</f>
        <v>0.26902689614554032</v>
      </c>
      <c r="G131" s="11">
        <f t="shared" si="11"/>
        <v>0.47739111160367959</v>
      </c>
      <c r="H131" s="25">
        <f t="shared" ref="H131:H194" si="12">B131/C131</f>
        <v>72.73545628446044</v>
      </c>
      <c r="I131" s="26">
        <f>MAX($B$2:B131)</f>
        <v>2069.4</v>
      </c>
      <c r="J131" s="27">
        <f t="shared" ref="J131:J194" si="13">(B131-I131)/I131</f>
        <v>-6.2916787474630351E-2</v>
      </c>
      <c r="K131" s="10">
        <f>MAX($C$2:C131)</f>
        <v>29.311</v>
      </c>
      <c r="L131" s="11">
        <f t="shared" ref="L131:L194" si="14">(C131-K131)/K131</f>
        <v>-9.0409743782197766E-2</v>
      </c>
    </row>
    <row r="132" spans="1:12" x14ac:dyDescent="0.35">
      <c r="A132" s="5" t="s">
        <v>332</v>
      </c>
      <c r="B132" s="22">
        <v>1923.1</v>
      </c>
      <c r="C132" s="10">
        <v>26.327999999999999</v>
      </c>
      <c r="D132" s="23">
        <f t="shared" ref="D132:D195" si="15">(B132-B131)/B131</f>
        <v>-8.3023927392739984E-3</v>
      </c>
      <c r="E132" s="11">
        <f t="shared" ref="E132:E195" si="16">(C132-C131)/C131</f>
        <v>-1.2490154157758596E-2</v>
      </c>
      <c r="F132" s="24">
        <f>(B132-$B$2)/$B$2</f>
        <v>0.25849093645703819</v>
      </c>
      <c r="G132" s="11">
        <f t="shared" ref="G132:G195" si="17">(C132-$C$2)/$C$2</f>
        <v>0.4589382688684473</v>
      </c>
      <c r="H132" s="25">
        <f t="shared" si="12"/>
        <v>73.043907626861142</v>
      </c>
      <c r="I132" s="26">
        <f>MAX($B$2:B132)</f>
        <v>2069.4</v>
      </c>
      <c r="J132" s="27">
        <f t="shared" si="13"/>
        <v>-7.0696820334396532E-2</v>
      </c>
      <c r="K132" s="10">
        <f>MAX($C$2:C132)</f>
        <v>29.311</v>
      </c>
      <c r="L132" s="11">
        <f t="shared" si="14"/>
        <v>-0.10177066630275325</v>
      </c>
    </row>
    <row r="133" spans="1:12" x14ac:dyDescent="0.35">
      <c r="A133" s="5" t="s">
        <v>334</v>
      </c>
      <c r="B133" s="22">
        <v>1952.5</v>
      </c>
      <c r="C133" s="10">
        <v>27.513999999999999</v>
      </c>
      <c r="D133" s="23">
        <f t="shared" si="15"/>
        <v>1.5287816546201493E-2</v>
      </c>
      <c r="E133" s="11">
        <f t="shared" si="16"/>
        <v>4.5047098146460039E-2</v>
      </c>
      <c r="F133" s="24">
        <f>(B133-$B$2)/$B$2</f>
        <v>0.2777305150186507</v>
      </c>
      <c r="G133" s="11">
        <f t="shared" si="17"/>
        <v>0.52465920425579082</v>
      </c>
      <c r="H133" s="25">
        <f t="shared" si="12"/>
        <v>70.963872937413683</v>
      </c>
      <c r="I133" s="26">
        <f>MAX($B$2:B133)</f>
        <v>2069.4</v>
      </c>
      <c r="J133" s="27">
        <f t="shared" si="13"/>
        <v>-5.6489803807867056E-2</v>
      </c>
      <c r="K133" s="10">
        <f>MAX($C$2:C133)</f>
        <v>29.311</v>
      </c>
      <c r="L133" s="11">
        <f t="shared" si="14"/>
        <v>-6.1308041349663972E-2</v>
      </c>
    </row>
    <row r="134" spans="1:12" x14ac:dyDescent="0.35">
      <c r="A134" s="5" t="s">
        <v>336</v>
      </c>
      <c r="B134" s="22">
        <v>1932.6</v>
      </c>
      <c r="C134" s="10">
        <v>27.09</v>
      </c>
      <c r="D134" s="23">
        <f t="shared" si="15"/>
        <v>-1.019206145966714E-2</v>
      </c>
      <c r="E134" s="11">
        <f t="shared" si="16"/>
        <v>-1.5410336555935142E-2</v>
      </c>
      <c r="F134" s="24">
        <f>(B134-$B$2)/$B$2</f>
        <v>0.26470780708068847</v>
      </c>
      <c r="G134" s="11">
        <f t="shared" si="17"/>
        <v>0.50116369278510475</v>
      </c>
      <c r="H134" s="25">
        <f t="shared" si="12"/>
        <v>71.339977851605752</v>
      </c>
      <c r="I134" s="26">
        <f>MAX($B$2:B134)</f>
        <v>2069.4</v>
      </c>
      <c r="J134" s="27">
        <f t="shared" si="13"/>
        <v>-6.6106117715279883E-2</v>
      </c>
      <c r="K134" s="10">
        <f>MAX($C$2:C134)</f>
        <v>29.311</v>
      </c>
      <c r="L134" s="11">
        <f t="shared" si="14"/>
        <v>-7.5773600354815604E-2</v>
      </c>
    </row>
    <row r="135" spans="1:12" x14ac:dyDescent="0.35">
      <c r="A135" s="5" t="s">
        <v>340</v>
      </c>
      <c r="B135" s="22">
        <v>1978.6</v>
      </c>
      <c r="C135" s="10">
        <v>28.53</v>
      </c>
      <c r="D135" s="23">
        <f t="shared" si="15"/>
        <v>2.3802131843112907E-2</v>
      </c>
      <c r="E135" s="11">
        <f t="shared" si="16"/>
        <v>5.3156146179402043E-2</v>
      </c>
      <c r="F135" s="24">
        <f>(B135-$B$2)/$B$2</f>
        <v>0.29481054904783721</v>
      </c>
      <c r="G135" s="11">
        <f t="shared" si="17"/>
        <v>0.58095976947800076</v>
      </c>
      <c r="H135" s="25">
        <f t="shared" si="12"/>
        <v>69.3515597616544</v>
      </c>
      <c r="I135" s="26">
        <f>MAX($B$2:B135)</f>
        <v>2069.4</v>
      </c>
      <c r="J135" s="27">
        <f t="shared" si="13"/>
        <v>-4.3877452401662402E-2</v>
      </c>
      <c r="K135" s="10">
        <f>MAX($C$2:C135)</f>
        <v>29.311</v>
      </c>
      <c r="L135" s="11">
        <f t="shared" si="14"/>
        <v>-2.6645286752413729E-2</v>
      </c>
    </row>
    <row r="136" spans="1:12" x14ac:dyDescent="0.35">
      <c r="A136" s="5" t="s">
        <v>342</v>
      </c>
      <c r="B136" s="22">
        <v>1978.9</v>
      </c>
      <c r="C136" s="10">
        <v>28.574999999999999</v>
      </c>
      <c r="D136" s="23">
        <f t="shared" si="15"/>
        <v>1.5162235924400178E-4</v>
      </c>
      <c r="E136" s="11">
        <f t="shared" si="16"/>
        <v>1.5772870662459919E-3</v>
      </c>
      <c r="F136" s="24">
        <f>(B136-$B$2)/$B$2</f>
        <v>0.29500687127805786</v>
      </c>
      <c r="G136" s="11">
        <f t="shared" si="17"/>
        <v>0.5834533968746537</v>
      </c>
      <c r="H136" s="25">
        <f t="shared" si="12"/>
        <v>69.252843394575677</v>
      </c>
      <c r="I136" s="26">
        <f>MAX($B$2:B136)</f>
        <v>2069.4</v>
      </c>
      <c r="J136" s="27">
        <f t="shared" si="13"/>
        <v>-4.3732482845269156E-2</v>
      </c>
      <c r="K136" s="10">
        <f>MAX($C$2:C136)</f>
        <v>29.311</v>
      </c>
      <c r="L136" s="11">
        <f t="shared" si="14"/>
        <v>-2.5110026952338736E-2</v>
      </c>
    </row>
    <row r="137" spans="1:12" x14ac:dyDescent="0.35">
      <c r="A137" s="5" t="s">
        <v>344</v>
      </c>
      <c r="B137" s="22">
        <v>1944.7</v>
      </c>
      <c r="C137" s="10">
        <v>27.343</v>
      </c>
      <c r="D137" s="23">
        <f t="shared" si="15"/>
        <v>-1.728232856637528E-2</v>
      </c>
      <c r="E137" s="11">
        <f t="shared" si="16"/>
        <v>-4.3114610673665767E-2</v>
      </c>
      <c r="F137" s="24">
        <f>(B137-$B$2)/$B$2</f>
        <v>0.27262613703291683</v>
      </c>
      <c r="G137" s="11">
        <f t="shared" si="17"/>
        <v>0.51518342014850937</v>
      </c>
      <c r="H137" s="25">
        <f t="shared" si="12"/>
        <v>71.122407928903201</v>
      </c>
      <c r="I137" s="26">
        <f>MAX($B$2:B137)</f>
        <v>2069.4</v>
      </c>
      <c r="J137" s="27">
        <f t="shared" si="13"/>
        <v>-6.0259012274089127E-2</v>
      </c>
      <c r="K137" s="10">
        <f>MAX($C$2:C137)</f>
        <v>29.311</v>
      </c>
      <c r="L137" s="11">
        <f t="shared" si="14"/>
        <v>-6.7142028589949165E-2</v>
      </c>
    </row>
    <row r="138" spans="1:12" x14ac:dyDescent="0.35">
      <c r="A138" s="5" t="s">
        <v>346</v>
      </c>
      <c r="B138" s="22">
        <v>1937.8</v>
      </c>
      <c r="C138" s="10">
        <v>26.827999999999999</v>
      </c>
      <c r="D138" s="23">
        <f t="shared" si="15"/>
        <v>-3.5481051061860909E-3</v>
      </c>
      <c r="E138" s="11">
        <f t="shared" si="16"/>
        <v>-1.8834802326006678E-2</v>
      </c>
      <c r="F138" s="24">
        <f>(B138-$B$2)/$B$2</f>
        <v>0.26811072573784445</v>
      </c>
      <c r="G138" s="11">
        <f t="shared" si="17"/>
        <v>0.48664523994236952</v>
      </c>
      <c r="H138" s="25">
        <f t="shared" si="12"/>
        <v>72.23050544207544</v>
      </c>
      <c r="I138" s="26">
        <f>MAX($B$2:B138)</f>
        <v>2069.4</v>
      </c>
      <c r="J138" s="27">
        <f t="shared" si="13"/>
        <v>-6.3593312071131794E-2</v>
      </c>
      <c r="K138" s="10">
        <f>MAX($C$2:C138)</f>
        <v>29.311</v>
      </c>
      <c r="L138" s="11">
        <f t="shared" si="14"/>
        <v>-8.4712224079697057E-2</v>
      </c>
    </row>
    <row r="139" spans="1:12" x14ac:dyDescent="0.35">
      <c r="A139" s="5" t="s">
        <v>352</v>
      </c>
      <c r="B139" s="22">
        <v>1943.2</v>
      </c>
      <c r="C139" s="10">
        <v>26.946999999999999</v>
      </c>
      <c r="D139" s="23">
        <f t="shared" si="15"/>
        <v>2.786665290535706E-3</v>
      </c>
      <c r="E139" s="11">
        <f t="shared" si="16"/>
        <v>4.4356642314000213E-3</v>
      </c>
      <c r="F139" s="24">
        <f>(B139-$B$2)/$B$2</f>
        <v>0.27164452588181415</v>
      </c>
      <c r="G139" s="11">
        <f t="shared" si="17"/>
        <v>0.49323949905796299</v>
      </c>
      <c r="H139" s="25">
        <f t="shared" si="12"/>
        <v>72.111923405202816</v>
      </c>
      <c r="I139" s="26">
        <f>MAX($B$2:B139)</f>
        <v>2069.4</v>
      </c>
      <c r="J139" s="27">
        <f t="shared" si="13"/>
        <v>-6.0983860056054912E-2</v>
      </c>
      <c r="K139" s="10">
        <f>MAX($C$2:C139)</f>
        <v>29.311</v>
      </c>
      <c r="L139" s="11">
        <f t="shared" si="14"/>
        <v>-8.0652314830609695E-2</v>
      </c>
    </row>
    <row r="140" spans="1:12" x14ac:dyDescent="0.35">
      <c r="A140" s="5" t="s">
        <v>353</v>
      </c>
      <c r="B140" s="22">
        <v>1954.9</v>
      </c>
      <c r="C140" s="10">
        <v>27.041</v>
      </c>
      <c r="D140" s="23">
        <f t="shared" si="15"/>
        <v>6.0209962947715343E-3</v>
      </c>
      <c r="E140" s="11">
        <f t="shared" si="16"/>
        <v>3.4883289419972985E-3</v>
      </c>
      <c r="F140" s="24">
        <f>(B140-$B$2)/$B$2</f>
        <v>0.27930109286041505</v>
      </c>
      <c r="G140" s="11">
        <f t="shared" si="17"/>
        <v>0.49844840961986042</v>
      </c>
      <c r="H140" s="25">
        <f t="shared" si="12"/>
        <v>72.293924041270671</v>
      </c>
      <c r="I140" s="26">
        <f>MAX($B$2:B140)</f>
        <v>2069.4</v>
      </c>
      <c r="J140" s="27">
        <f t="shared" si="13"/>
        <v>-5.533004735672175E-2</v>
      </c>
      <c r="K140" s="10">
        <f>MAX($C$2:C140)</f>
        <v>29.311</v>
      </c>
      <c r="L140" s="11">
        <f t="shared" si="14"/>
        <v>-7.7445327692675092E-2</v>
      </c>
    </row>
    <row r="141" spans="1:12" x14ac:dyDescent="0.35">
      <c r="A141" s="5" t="s">
        <v>355</v>
      </c>
      <c r="B141" s="22">
        <v>1964.3</v>
      </c>
      <c r="C141" s="10">
        <v>27.248999999999999</v>
      </c>
      <c r="D141" s="23">
        <f t="shared" si="15"/>
        <v>4.8084300987262076E-3</v>
      </c>
      <c r="E141" s="11">
        <f t="shared" si="16"/>
        <v>7.6920232239931366E-3</v>
      </c>
      <c r="F141" s="24">
        <f>(B141-$B$2)/$B$2</f>
        <v>0.28545252274065835</v>
      </c>
      <c r="G141" s="11">
        <f t="shared" si="17"/>
        <v>0.50997450958661195</v>
      </c>
      <c r="H141" s="25">
        <f t="shared" si="12"/>
        <v>72.087049066020768</v>
      </c>
      <c r="I141" s="26">
        <f>MAX($B$2:B141)</f>
        <v>2069.4</v>
      </c>
      <c r="J141" s="27">
        <f t="shared" si="13"/>
        <v>-5.0787667923069553E-2</v>
      </c>
      <c r="K141" s="10">
        <f>MAX($C$2:C141)</f>
        <v>29.311</v>
      </c>
      <c r="L141" s="11">
        <f t="shared" si="14"/>
        <v>-7.0349015727883768E-2</v>
      </c>
    </row>
    <row r="142" spans="1:12" x14ac:dyDescent="0.35">
      <c r="A142" s="5" t="s">
        <v>359</v>
      </c>
      <c r="B142" s="22">
        <v>1963.7</v>
      </c>
      <c r="C142" s="10">
        <v>27.31</v>
      </c>
      <c r="D142" s="23">
        <f t="shared" si="15"/>
        <v>-3.0545232398305203E-4</v>
      </c>
      <c r="E142" s="11">
        <f t="shared" si="16"/>
        <v>2.2386142610737987E-3</v>
      </c>
      <c r="F142" s="24">
        <f>(B142-$B$2)/$B$2</f>
        <v>0.28505987828021739</v>
      </c>
      <c r="G142" s="11">
        <f t="shared" si="17"/>
        <v>0.51335476005763048</v>
      </c>
      <c r="H142" s="25">
        <f t="shared" si="12"/>
        <v>71.904064445258157</v>
      </c>
      <c r="I142" s="26">
        <f>MAX($B$2:B142)</f>
        <v>2069.4</v>
      </c>
      <c r="J142" s="27">
        <f t="shared" si="13"/>
        <v>-5.1077607035855822E-2</v>
      </c>
      <c r="K142" s="10">
        <f>MAX($C$2:C142)</f>
        <v>29.311</v>
      </c>
      <c r="L142" s="11">
        <f t="shared" si="14"/>
        <v>-6.8267885776670922E-2</v>
      </c>
    </row>
    <row r="143" spans="1:12" x14ac:dyDescent="0.35">
      <c r="A143" s="5" t="s">
        <v>361</v>
      </c>
      <c r="B143" s="22">
        <v>1966.2</v>
      </c>
      <c r="C143" s="10">
        <v>27.428999999999998</v>
      </c>
      <c r="D143" s="23">
        <f t="shared" si="15"/>
        <v>1.2731068900544889E-3</v>
      </c>
      <c r="E143" s="11">
        <f t="shared" si="16"/>
        <v>4.3573782497253674E-3</v>
      </c>
      <c r="F143" s="24">
        <f>(B143-$B$2)/$B$2</f>
        <v>0.28669589686538849</v>
      </c>
      <c r="G143" s="11">
        <f t="shared" si="17"/>
        <v>0.519949019173224</v>
      </c>
      <c r="H143" s="25">
        <f t="shared" si="12"/>
        <v>71.683254949141428</v>
      </c>
      <c r="I143" s="26">
        <f>MAX($B$2:B143)</f>
        <v>2069.4</v>
      </c>
      <c r="J143" s="27">
        <f t="shared" si="13"/>
        <v>-4.9869527399246182E-2</v>
      </c>
      <c r="K143" s="10">
        <f>MAX($C$2:C143)</f>
        <v>29.311</v>
      </c>
      <c r="L143" s="11">
        <f t="shared" si="14"/>
        <v>-6.4207976527583546E-2</v>
      </c>
    </row>
    <row r="144" spans="1:12" x14ac:dyDescent="0.35">
      <c r="A144" s="5" t="s">
        <v>363</v>
      </c>
      <c r="B144" s="22">
        <v>1970.5</v>
      </c>
      <c r="C144" s="10">
        <v>27.443000000000001</v>
      </c>
      <c r="D144" s="23">
        <f t="shared" si="15"/>
        <v>2.1869596175363415E-3</v>
      </c>
      <c r="E144" s="11">
        <f t="shared" si="16"/>
        <v>5.1040869153096721E-4</v>
      </c>
      <c r="F144" s="24">
        <f>(B144-$B$2)/$B$2</f>
        <v>0.2895098488318828</v>
      </c>
      <c r="G144" s="11">
        <f t="shared" si="17"/>
        <v>0.52072481436329399</v>
      </c>
      <c r="H144" s="25">
        <f t="shared" si="12"/>
        <v>71.803374266661805</v>
      </c>
      <c r="I144" s="26">
        <f>MAX($B$2:B144)</f>
        <v>2069.4</v>
      </c>
      <c r="J144" s="27">
        <f t="shared" si="13"/>
        <v>-4.7791630424277608E-2</v>
      </c>
      <c r="K144" s="10">
        <f>MAX($C$2:C144)</f>
        <v>29.311</v>
      </c>
      <c r="L144" s="11">
        <f t="shared" si="14"/>
        <v>-6.3730340145337877E-2</v>
      </c>
    </row>
    <row r="145" spans="1:12" x14ac:dyDescent="0.35">
      <c r="A145" s="5" t="s">
        <v>365</v>
      </c>
      <c r="B145" s="22">
        <v>1949.9</v>
      </c>
      <c r="C145" s="10">
        <v>27.065999999999999</v>
      </c>
      <c r="D145" s="23">
        <f t="shared" si="15"/>
        <v>-1.0454199441766003E-2</v>
      </c>
      <c r="E145" s="11">
        <f t="shared" si="16"/>
        <v>-1.3737565135007195E-2</v>
      </c>
      <c r="F145" s="24">
        <f>(B145-$B$2)/$B$2</f>
        <v>0.2760290556900728</v>
      </c>
      <c r="G145" s="11">
        <f t="shared" si="17"/>
        <v>0.49983375817355646</v>
      </c>
      <c r="H145" s="25">
        <f t="shared" si="12"/>
        <v>72.042414837803889</v>
      </c>
      <c r="I145" s="26">
        <f>MAX($B$2:B145)</f>
        <v>2069.4</v>
      </c>
      <c r="J145" s="27">
        <f t="shared" si="13"/>
        <v>-5.7746206629941045E-2</v>
      </c>
      <c r="K145" s="10">
        <f>MAX($C$2:C145)</f>
        <v>29.311</v>
      </c>
      <c r="L145" s="11">
        <f t="shared" si="14"/>
        <v>-7.6592405581522333E-2</v>
      </c>
    </row>
    <row r="146" spans="1:12" x14ac:dyDescent="0.35">
      <c r="A146" s="5" t="s">
        <v>369</v>
      </c>
      <c r="B146" s="22">
        <v>1910.6</v>
      </c>
      <c r="C146" s="10">
        <v>24.356000000000002</v>
      </c>
      <c r="D146" s="23">
        <f t="shared" si="15"/>
        <v>-2.0154879737422523E-2</v>
      </c>
      <c r="E146" s="11">
        <f t="shared" si="16"/>
        <v>-0.10012561885760723</v>
      </c>
      <c r="F146" s="24">
        <f>(B146-$B$2)/$B$2</f>
        <v>0.25031084353118255</v>
      </c>
      <c r="G146" s="11">
        <f t="shared" si="17"/>
        <v>0.3496619749528983</v>
      </c>
      <c r="H146" s="25">
        <f t="shared" si="12"/>
        <v>78.444736409919514</v>
      </c>
      <c r="I146" s="26">
        <f>MAX($B$2:B146)</f>
        <v>2069.4</v>
      </c>
      <c r="J146" s="27">
        <f t="shared" si="13"/>
        <v>-7.673721851744475E-2</v>
      </c>
      <c r="K146" s="10">
        <f>MAX($C$2:C146)</f>
        <v>29.311</v>
      </c>
      <c r="L146" s="11">
        <f t="shared" si="14"/>
        <v>-0.16904916243048679</v>
      </c>
    </row>
    <row r="147" spans="1:12" x14ac:dyDescent="0.35">
      <c r="A147" s="5" t="s">
        <v>371</v>
      </c>
      <c r="B147" s="22">
        <v>1907.6</v>
      </c>
      <c r="C147" s="10">
        <v>24.488</v>
      </c>
      <c r="D147" s="23">
        <f t="shared" si="15"/>
        <v>-1.5701873756934995E-3</v>
      </c>
      <c r="E147" s="11">
        <f t="shared" si="16"/>
        <v>5.4196091312201464E-3</v>
      </c>
      <c r="F147" s="24">
        <f>(B147-$B$2)/$B$2</f>
        <v>0.24834762122897719</v>
      </c>
      <c r="G147" s="11">
        <f t="shared" si="17"/>
        <v>0.35697661531641361</v>
      </c>
      <c r="H147" s="25">
        <f t="shared" si="12"/>
        <v>77.89937928781444</v>
      </c>
      <c r="I147" s="26">
        <f>MAX($B$2:B147)</f>
        <v>2069.4</v>
      </c>
      <c r="J147" s="27">
        <f t="shared" si="13"/>
        <v>-7.8186914081376332E-2</v>
      </c>
      <c r="K147" s="10">
        <f>MAX($C$2:C147)</f>
        <v>29.311</v>
      </c>
      <c r="L147" s="11">
        <f t="shared" si="14"/>
        <v>-0.16454573368360004</v>
      </c>
    </row>
    <row r="148" spans="1:12" x14ac:dyDescent="0.35">
      <c r="A148" s="5" t="s">
        <v>373</v>
      </c>
      <c r="B148" s="22">
        <v>1868.4</v>
      </c>
      <c r="C148" s="10">
        <v>23.068999999999999</v>
      </c>
      <c r="D148" s="23">
        <f t="shared" si="15"/>
        <v>-2.0549381421681601E-2</v>
      </c>
      <c r="E148" s="11">
        <f t="shared" si="16"/>
        <v>-5.7946749428291429E-2</v>
      </c>
      <c r="F148" s="24">
        <f>(B148-$B$2)/$B$2</f>
        <v>0.22269484981349402</v>
      </c>
      <c r="G148" s="11">
        <f t="shared" si="17"/>
        <v>0.27834423140862241</v>
      </c>
      <c r="H148" s="25">
        <f t="shared" si="12"/>
        <v>80.991807187134256</v>
      </c>
      <c r="I148" s="26">
        <f>MAX($B$2:B148)</f>
        <v>2069.4</v>
      </c>
      <c r="J148" s="27">
        <f t="shared" si="13"/>
        <v>-9.7129602783415481E-2</v>
      </c>
      <c r="K148" s="10">
        <f>MAX($C$2:C148)</f>
        <v>29.311</v>
      </c>
      <c r="L148" s="11">
        <f t="shared" si="14"/>
        <v>-0.21295759271263351</v>
      </c>
    </row>
    <row r="149" spans="1:12" x14ac:dyDescent="0.35">
      <c r="A149" s="5" t="s">
        <v>375</v>
      </c>
      <c r="B149" s="22">
        <v>1876.9</v>
      </c>
      <c r="C149" s="10">
        <v>23.161999999999999</v>
      </c>
      <c r="D149" s="23">
        <f t="shared" si="15"/>
        <v>4.549347034896168E-3</v>
      </c>
      <c r="E149" s="11">
        <f t="shared" si="16"/>
        <v>4.0313841085439324E-3</v>
      </c>
      <c r="F149" s="24">
        <f>(B149-$B$2)/$B$2</f>
        <v>0.22825731300307583</v>
      </c>
      <c r="G149" s="11">
        <f t="shared" si="17"/>
        <v>0.28349772802837192</v>
      </c>
      <c r="H149" s="25">
        <f t="shared" si="12"/>
        <v>81.033589500043178</v>
      </c>
      <c r="I149" s="26">
        <f>MAX($B$2:B149)</f>
        <v>2069.4</v>
      </c>
      <c r="J149" s="27">
        <f t="shared" si="13"/>
        <v>-9.3022132018942688E-2</v>
      </c>
      <c r="K149" s="10">
        <f>MAX($C$2:C149)</f>
        <v>29.311</v>
      </c>
      <c r="L149" s="11">
        <f t="shared" si="14"/>
        <v>-0.20978472245914506</v>
      </c>
    </row>
    <row r="150" spans="1:12" x14ac:dyDescent="0.35">
      <c r="A150" s="5" t="s">
        <v>379</v>
      </c>
      <c r="B150" s="22">
        <v>1882.3</v>
      </c>
      <c r="C150" s="10">
        <v>23.571999999999999</v>
      </c>
      <c r="D150" s="23">
        <f t="shared" si="15"/>
        <v>2.8770845543182179E-3</v>
      </c>
      <c r="E150" s="11">
        <f t="shared" si="16"/>
        <v>1.7701407477765312E-2</v>
      </c>
      <c r="F150" s="24">
        <f>(B150-$B$2)/$B$2</f>
        <v>0.2317911131470454</v>
      </c>
      <c r="G150" s="11">
        <f t="shared" si="17"/>
        <v>0.30621744430898812</v>
      </c>
      <c r="H150" s="25">
        <f t="shared" si="12"/>
        <v>79.853215679619893</v>
      </c>
      <c r="I150" s="26">
        <f>MAX($B$2:B150)</f>
        <v>2069.4</v>
      </c>
      <c r="J150" s="27">
        <f t="shared" si="13"/>
        <v>-9.0412680003865917E-2</v>
      </c>
      <c r="K150" s="10">
        <f>MAX($C$2:C150)</f>
        <v>29.311</v>
      </c>
      <c r="L150" s="11">
        <f t="shared" si="14"/>
        <v>-0.19579679983623899</v>
      </c>
    </row>
    <row r="151" spans="1:12" x14ac:dyDescent="0.35">
      <c r="A151" s="5" t="s">
        <v>381</v>
      </c>
      <c r="B151" s="22">
        <v>1903.2</v>
      </c>
      <c r="C151" s="10">
        <v>24.445</v>
      </c>
      <c r="D151" s="23">
        <f t="shared" si="15"/>
        <v>1.1103437284173666E-2</v>
      </c>
      <c r="E151" s="11">
        <f t="shared" si="16"/>
        <v>3.703546580688958E-2</v>
      </c>
      <c r="F151" s="24">
        <f>(B151-$B$2)/$B$2</f>
        <v>0.24546822851907607</v>
      </c>
      <c r="G151" s="11">
        <f t="shared" si="17"/>
        <v>0.35459381580405636</v>
      </c>
      <c r="H151" s="25">
        <f t="shared" si="12"/>
        <v>77.856412354264677</v>
      </c>
      <c r="I151" s="26">
        <f>MAX($B$2:B151)</f>
        <v>2069.4</v>
      </c>
      <c r="J151" s="27">
        <f t="shared" si="13"/>
        <v>-8.0313134241809234E-2</v>
      </c>
      <c r="K151" s="10">
        <f>MAX($C$2:C151)</f>
        <v>29.311</v>
      </c>
      <c r="L151" s="11">
        <f t="shared" si="14"/>
        <v>-0.16601275971478283</v>
      </c>
    </row>
    <row r="152" spans="1:12" x14ac:dyDescent="0.35">
      <c r="A152" s="5" t="s">
        <v>383</v>
      </c>
      <c r="B152" s="22">
        <v>1895.5</v>
      </c>
      <c r="C152" s="10">
        <v>23.494</v>
      </c>
      <c r="D152" s="23">
        <f t="shared" si="15"/>
        <v>-4.0458175704077585E-3</v>
      </c>
      <c r="E152" s="11">
        <f t="shared" si="16"/>
        <v>-3.8903661280425467E-2</v>
      </c>
      <c r="F152" s="24">
        <f>(B152-$B$2)/$B$2</f>
        <v>0.24042929127674897</v>
      </c>
      <c r="G152" s="11">
        <f t="shared" si="17"/>
        <v>0.30189515682145629</v>
      </c>
      <c r="H152" s="25">
        <f t="shared" si="12"/>
        <v>80.680173661360342</v>
      </c>
      <c r="I152" s="26">
        <f>MAX($B$2:B152)</f>
        <v>2069.4</v>
      </c>
      <c r="J152" s="27">
        <f t="shared" si="13"/>
        <v>-8.4034019522566963E-2</v>
      </c>
      <c r="K152" s="10">
        <f>MAX($C$2:C152)</f>
        <v>29.311</v>
      </c>
      <c r="L152" s="11">
        <f t="shared" si="14"/>
        <v>-0.19845791682303573</v>
      </c>
    </row>
    <row r="153" spans="1:12" x14ac:dyDescent="0.35">
      <c r="A153" s="5" t="s">
        <v>385</v>
      </c>
      <c r="B153" s="22">
        <v>1916.3</v>
      </c>
      <c r="C153" s="10">
        <v>24.254000000000001</v>
      </c>
      <c r="D153" s="23">
        <f t="shared" si="15"/>
        <v>1.0973357953046665E-2</v>
      </c>
      <c r="E153" s="11">
        <f t="shared" si="16"/>
        <v>3.234868477057979E-2</v>
      </c>
      <c r="F153" s="24">
        <f>(B153-$B$2)/$B$2</f>
        <v>0.25404096590537273</v>
      </c>
      <c r="G153" s="11">
        <f t="shared" si="17"/>
        <v>0.34400975285381813</v>
      </c>
      <c r="H153" s="25">
        <f t="shared" si="12"/>
        <v>79.009647893131017</v>
      </c>
      <c r="I153" s="26">
        <f>MAX($B$2:B153)</f>
        <v>2069.4</v>
      </c>
      <c r="J153" s="27">
        <f t="shared" si="13"/>
        <v>-7.3982796945974746E-2</v>
      </c>
      <c r="K153" s="10">
        <f>MAX($C$2:C153)</f>
        <v>29.311</v>
      </c>
      <c r="L153" s="11">
        <f t="shared" si="14"/>
        <v>-0.17252908464399028</v>
      </c>
    </row>
    <row r="154" spans="1:12" x14ac:dyDescent="0.35">
      <c r="A154" s="5" t="s">
        <v>389</v>
      </c>
      <c r="B154" s="22">
        <v>1920.1</v>
      </c>
      <c r="C154" s="10">
        <v>24.56</v>
      </c>
      <c r="D154" s="23">
        <f t="shared" si="15"/>
        <v>1.9829880498877807E-3</v>
      </c>
      <c r="E154" s="11">
        <f t="shared" si="16"/>
        <v>1.2616475632885189E-2</v>
      </c>
      <c r="F154" s="24">
        <f>(B154-$B$2)/$B$2</f>
        <v>0.25652771415483283</v>
      </c>
      <c r="G154" s="11">
        <f t="shared" si="17"/>
        <v>0.36096641915105837</v>
      </c>
      <c r="H154" s="25">
        <f t="shared" si="12"/>
        <v>78.179967426710093</v>
      </c>
      <c r="I154" s="26">
        <f>MAX($B$2:B154)</f>
        <v>2069.4</v>
      </c>
      <c r="J154" s="27">
        <f t="shared" si="13"/>
        <v>-7.2146515898328101E-2</v>
      </c>
      <c r="K154" s="10">
        <f>MAX($C$2:C154)</f>
        <v>29.311</v>
      </c>
      <c r="L154" s="11">
        <f t="shared" si="14"/>
        <v>-0.16208931800347998</v>
      </c>
    </row>
    <row r="155" spans="1:12" x14ac:dyDescent="0.35">
      <c r="A155" s="5" t="s">
        <v>391</v>
      </c>
      <c r="B155" s="22">
        <v>1908.8</v>
      </c>
      <c r="C155" s="10">
        <v>23.920999999999999</v>
      </c>
      <c r="D155" s="23">
        <f t="shared" si="15"/>
        <v>-5.8851101505129708E-3</v>
      </c>
      <c r="E155" s="11">
        <f t="shared" si="16"/>
        <v>-2.6017915309446228E-2</v>
      </c>
      <c r="F155" s="24">
        <f>(B155-$B$2)/$B$2</f>
        <v>0.24913291014985936</v>
      </c>
      <c r="G155" s="11">
        <f t="shared" si="17"/>
        <v>0.32555691011858584</v>
      </c>
      <c r="H155" s="25">
        <f t="shared" si="12"/>
        <v>79.7959951507044</v>
      </c>
      <c r="I155" s="26">
        <f>MAX($B$2:B155)</f>
        <v>2069.4</v>
      </c>
      <c r="J155" s="27">
        <f t="shared" si="13"/>
        <v>-7.7607035855803683E-2</v>
      </c>
      <c r="K155" s="10">
        <f>MAX($C$2:C155)</f>
        <v>29.311</v>
      </c>
      <c r="L155" s="11">
        <f t="shared" si="14"/>
        <v>-0.18389000716454576</v>
      </c>
    </row>
    <row r="156" spans="1:12" x14ac:dyDescent="0.35">
      <c r="A156" s="5" t="s">
        <v>393</v>
      </c>
      <c r="B156" s="22">
        <v>1890.8</v>
      </c>
      <c r="C156" s="10">
        <v>23.896000000000001</v>
      </c>
      <c r="D156" s="23">
        <f t="shared" si="15"/>
        <v>-9.4300083822296734E-3</v>
      </c>
      <c r="E156" s="11">
        <f t="shared" si="16"/>
        <v>-1.0451068099159141E-3</v>
      </c>
      <c r="F156" s="24">
        <f>(B156-$B$2)/$B$2</f>
        <v>0.23735357633662724</v>
      </c>
      <c r="G156" s="11">
        <f t="shared" si="17"/>
        <v>0.3241715615648898</v>
      </c>
      <c r="H156" s="25">
        <f t="shared" si="12"/>
        <v>79.126213592233</v>
      </c>
      <c r="I156" s="26">
        <f>MAX($B$2:B156)</f>
        <v>2069.4</v>
      </c>
      <c r="J156" s="27">
        <f t="shared" si="13"/>
        <v>-8.6305209239393124E-2</v>
      </c>
      <c r="K156" s="10">
        <f>MAX($C$2:C156)</f>
        <v>29.311</v>
      </c>
      <c r="L156" s="11">
        <f t="shared" si="14"/>
        <v>-0.18474292927569852</v>
      </c>
    </row>
    <row r="157" spans="1:12" x14ac:dyDescent="0.35">
      <c r="A157" s="5" t="s">
        <v>395</v>
      </c>
      <c r="B157" s="22">
        <v>1895.1</v>
      </c>
      <c r="C157" s="10">
        <v>23.876000000000001</v>
      </c>
      <c r="D157" s="23">
        <f t="shared" si="15"/>
        <v>2.2741696636344164E-3</v>
      </c>
      <c r="E157" s="11">
        <f t="shared" si="16"/>
        <v>-8.3696016069633296E-4</v>
      </c>
      <c r="F157" s="24">
        <f>(B157-$B$2)/$B$2</f>
        <v>0.24016752830312155</v>
      </c>
      <c r="G157" s="11">
        <f t="shared" si="17"/>
        <v>0.32306328272193297</v>
      </c>
      <c r="H157" s="25">
        <f t="shared" si="12"/>
        <v>79.372591723906851</v>
      </c>
      <c r="I157" s="26">
        <f>MAX($B$2:B157)</f>
        <v>2069.4</v>
      </c>
      <c r="J157" s="27">
        <f t="shared" si="13"/>
        <v>-8.422731226442455E-2</v>
      </c>
      <c r="K157" s="10">
        <f>MAX($C$2:C157)</f>
        <v>29.311</v>
      </c>
      <c r="L157" s="11">
        <f t="shared" si="14"/>
        <v>-0.18542526696462075</v>
      </c>
    </row>
    <row r="158" spans="1:12" x14ac:dyDescent="0.35">
      <c r="A158" s="5" t="s">
        <v>399</v>
      </c>
      <c r="B158" s="22">
        <v>1928.9</v>
      </c>
      <c r="C158" s="10">
        <v>25.271000000000001</v>
      </c>
      <c r="D158" s="23">
        <f t="shared" si="15"/>
        <v>1.783547042372444E-2</v>
      </c>
      <c r="E158" s="11">
        <f t="shared" si="16"/>
        <v>5.842687217289326E-2</v>
      </c>
      <c r="F158" s="24">
        <f>(B158-$B$2)/$B$2</f>
        <v>0.26228649957463529</v>
      </c>
      <c r="G158" s="11">
        <f t="shared" si="17"/>
        <v>0.40036573201817588</v>
      </c>
      <c r="H158" s="25">
        <f t="shared" si="12"/>
        <v>76.328597997704875</v>
      </c>
      <c r="I158" s="26">
        <f>MAX($B$2:B158)</f>
        <v>2069.4</v>
      </c>
      <c r="J158" s="27">
        <f t="shared" si="13"/>
        <v>-6.7894075577462062E-2</v>
      </c>
      <c r="K158" s="10">
        <f>MAX($C$2:C158)</f>
        <v>29.311</v>
      </c>
      <c r="L158" s="11">
        <f t="shared" si="14"/>
        <v>-0.13783221316229399</v>
      </c>
    </row>
    <row r="159" spans="1:12" x14ac:dyDescent="0.35">
      <c r="A159" s="5" t="s">
        <v>401</v>
      </c>
      <c r="B159" s="22">
        <v>1894.6</v>
      </c>
      <c r="C159" s="10">
        <v>24.129000000000001</v>
      </c>
      <c r="D159" s="23">
        <f t="shared" si="15"/>
        <v>-1.7782155632744146E-2</v>
      </c>
      <c r="E159" s="11">
        <f t="shared" si="16"/>
        <v>-4.5190138894384849E-2</v>
      </c>
      <c r="F159" s="24">
        <f>(B159-$B$2)/$B$2</f>
        <v>0.23984032458608731</v>
      </c>
      <c r="G159" s="11">
        <f t="shared" si="17"/>
        <v>0.33708301008533759</v>
      </c>
      <c r="H159" s="25">
        <f t="shared" si="12"/>
        <v>78.51962368933647</v>
      </c>
      <c r="I159" s="26">
        <f>MAX($B$2:B159)</f>
        <v>2069.4</v>
      </c>
      <c r="J159" s="27">
        <f t="shared" si="13"/>
        <v>-8.4468928191746478E-2</v>
      </c>
      <c r="K159" s="10">
        <f>MAX($C$2:C159)</f>
        <v>29.311</v>
      </c>
      <c r="L159" s="11">
        <f t="shared" si="14"/>
        <v>-0.17679369519975432</v>
      </c>
    </row>
    <row r="160" spans="1:12" x14ac:dyDescent="0.35">
      <c r="A160" s="5" t="s">
        <v>403</v>
      </c>
      <c r="B160" s="22">
        <v>1907.3</v>
      </c>
      <c r="C160" s="10">
        <v>24.395</v>
      </c>
      <c r="D160" s="23">
        <f t="shared" si="15"/>
        <v>6.7032619022485201E-3</v>
      </c>
      <c r="E160" s="11">
        <f t="shared" si="16"/>
        <v>1.1024078909196329E-2</v>
      </c>
      <c r="F160" s="24">
        <f>(B160-$B$2)/$B$2</f>
        <v>0.24815129899875668</v>
      </c>
      <c r="G160" s="11">
        <f t="shared" si="17"/>
        <v>0.35182311869666411</v>
      </c>
      <c r="H160" s="25">
        <f t="shared" si="12"/>
        <v>78.184054109448653</v>
      </c>
      <c r="I160" s="26">
        <f>MAX($B$2:B160)</f>
        <v>2069.4</v>
      </c>
      <c r="J160" s="27">
        <f t="shared" si="13"/>
        <v>-7.8331883637769467E-2</v>
      </c>
      <c r="K160" s="10">
        <f>MAX($C$2:C160)</f>
        <v>29.311</v>
      </c>
      <c r="L160" s="11">
        <f t="shared" si="14"/>
        <v>-0.16771860393708848</v>
      </c>
    </row>
    <row r="161" spans="1:12" x14ac:dyDescent="0.35">
      <c r="A161" s="5" t="s">
        <v>405</v>
      </c>
      <c r="B161" s="22">
        <v>1908.9</v>
      </c>
      <c r="C161" s="10">
        <v>24.224</v>
      </c>
      <c r="D161" s="23">
        <f t="shared" si="15"/>
        <v>8.3888218948258608E-4</v>
      </c>
      <c r="E161" s="11">
        <f t="shared" si="16"/>
        <v>-7.0096331215412739E-3</v>
      </c>
      <c r="F161" s="24">
        <f>(B161-$B$2)/$B$2</f>
        <v>0.24919835089326628</v>
      </c>
      <c r="G161" s="11">
        <f t="shared" si="17"/>
        <v>0.34234733458938277</v>
      </c>
      <c r="H161" s="25">
        <f t="shared" si="12"/>
        <v>78.802014531043596</v>
      </c>
      <c r="I161" s="26">
        <f>MAX($B$2:B161)</f>
        <v>2069.4</v>
      </c>
      <c r="J161" s="27">
        <f t="shared" si="13"/>
        <v>-7.755871267033923E-2</v>
      </c>
      <c r="K161" s="10">
        <f>MAX($C$2:C161)</f>
        <v>29.311</v>
      </c>
      <c r="L161" s="11">
        <f t="shared" si="14"/>
        <v>-0.17355259117737368</v>
      </c>
    </row>
    <row r="162" spans="1:12" x14ac:dyDescent="0.35">
      <c r="A162" s="5" t="s">
        <v>409</v>
      </c>
      <c r="B162" s="22">
        <v>1911.7</v>
      </c>
      <c r="C162" s="10">
        <v>24.698</v>
      </c>
      <c r="D162" s="23">
        <f t="shared" si="15"/>
        <v>1.466813348001443E-3</v>
      </c>
      <c r="E162" s="11">
        <f t="shared" si="16"/>
        <v>1.9567371202113614E-2</v>
      </c>
      <c r="F162" s="24">
        <f>(B162-$B$2)/$B$2</f>
        <v>0.25103069170865794</v>
      </c>
      <c r="G162" s="11">
        <f t="shared" si="17"/>
        <v>0.36861354316746098</v>
      </c>
      <c r="H162" s="25">
        <f t="shared" si="12"/>
        <v>77.403028585310551</v>
      </c>
      <c r="I162" s="26">
        <f>MAX($B$2:B162)</f>
        <v>2069.4</v>
      </c>
      <c r="J162" s="27">
        <f t="shared" si="13"/>
        <v>-7.6205663477336441E-2</v>
      </c>
      <c r="K162" s="10">
        <f>MAX($C$2:C162)</f>
        <v>29.311</v>
      </c>
      <c r="L162" s="11">
        <f t="shared" si="14"/>
        <v>-0.1573811879499164</v>
      </c>
    </row>
    <row r="163" spans="1:12" x14ac:dyDescent="0.35">
      <c r="A163" s="5" t="s">
        <v>411</v>
      </c>
      <c r="B163" s="22">
        <v>1915.4</v>
      </c>
      <c r="C163" s="10">
        <v>24.98</v>
      </c>
      <c r="D163" s="23">
        <f t="shared" si="15"/>
        <v>1.9354501229272613E-3</v>
      </c>
      <c r="E163" s="11">
        <f t="shared" si="16"/>
        <v>1.1417928577212732E-2</v>
      </c>
      <c r="F163" s="24">
        <f>(B163-$B$2)/$B$2</f>
        <v>0.25345199921471123</v>
      </c>
      <c r="G163" s="11">
        <f t="shared" si="17"/>
        <v>0.38424027485315315</v>
      </c>
      <c r="H163" s="25">
        <f t="shared" si="12"/>
        <v>76.677341873498804</v>
      </c>
      <c r="I163" s="26">
        <f>MAX($B$2:B163)</f>
        <v>2069.4</v>
      </c>
      <c r="J163" s="27">
        <f t="shared" si="13"/>
        <v>-7.4417705615154151E-2</v>
      </c>
      <c r="K163" s="10">
        <f>MAX($C$2:C163)</f>
        <v>29.311</v>
      </c>
      <c r="L163" s="11">
        <f t="shared" si="14"/>
        <v>-0.1477602265361127</v>
      </c>
    </row>
    <row r="164" spans="1:12" x14ac:dyDescent="0.35">
      <c r="A164" s="5" t="s">
        <v>413</v>
      </c>
      <c r="B164" s="22">
        <v>1929.5</v>
      </c>
      <c r="C164" s="10">
        <v>25.241</v>
      </c>
      <c r="D164" s="23">
        <f t="shared" si="15"/>
        <v>7.3613866555288232E-3</v>
      </c>
      <c r="E164" s="11">
        <f t="shared" si="16"/>
        <v>1.0448358686949528E-2</v>
      </c>
      <c r="F164" s="24">
        <f>(B164-$B$2)/$B$2</f>
        <v>0.26267914403507631</v>
      </c>
      <c r="G164" s="11">
        <f t="shared" si="17"/>
        <v>0.39870331375374046</v>
      </c>
      <c r="H164" s="25">
        <f t="shared" si="12"/>
        <v>76.443088625648741</v>
      </c>
      <c r="I164" s="26">
        <f>MAX($B$2:B164)</f>
        <v>2069.4</v>
      </c>
      <c r="J164" s="27">
        <f t="shared" si="13"/>
        <v>-6.7604136464675793E-2</v>
      </c>
      <c r="K164" s="10">
        <f>MAX($C$2:C164)</f>
        <v>29.311</v>
      </c>
      <c r="L164" s="11">
        <f t="shared" si="14"/>
        <v>-0.13885571969567739</v>
      </c>
    </row>
    <row r="165" spans="1:12" x14ac:dyDescent="0.35">
      <c r="A165" s="5" t="s">
        <v>415</v>
      </c>
      <c r="B165" s="22">
        <v>1904.6</v>
      </c>
      <c r="C165" s="10">
        <v>24.709</v>
      </c>
      <c r="D165" s="23">
        <f t="shared" si="15"/>
        <v>-1.2904897641876181E-2</v>
      </c>
      <c r="E165" s="11">
        <f t="shared" si="16"/>
        <v>-2.1076819460401727E-2</v>
      </c>
      <c r="F165" s="24">
        <f>(B165-$B$2)/$B$2</f>
        <v>0.24638439892677183</v>
      </c>
      <c r="G165" s="11">
        <f t="shared" si="17"/>
        <v>0.36922309653108726</v>
      </c>
      <c r="H165" s="25">
        <f t="shared" si="12"/>
        <v>77.081225464405676</v>
      </c>
      <c r="I165" s="26">
        <f>MAX($B$2:B165)</f>
        <v>2069.4</v>
      </c>
      <c r="J165" s="27">
        <f t="shared" si="13"/>
        <v>-7.9636609645307901E-2</v>
      </c>
      <c r="K165" s="10">
        <f>MAX($C$2:C165)</f>
        <v>29.311</v>
      </c>
      <c r="L165" s="11">
        <f t="shared" si="14"/>
        <v>-0.15700590222100919</v>
      </c>
    </row>
    <row r="166" spans="1:12" x14ac:dyDescent="0.35">
      <c r="A166" s="5" t="s">
        <v>419</v>
      </c>
      <c r="B166" s="22">
        <v>1905.7</v>
      </c>
      <c r="C166" s="10">
        <v>24.42</v>
      </c>
      <c r="D166" s="23">
        <f t="shared" si="15"/>
        <v>5.7754909167286386E-4</v>
      </c>
      <c r="E166" s="11">
        <f t="shared" si="16"/>
        <v>-1.1696143105750857E-2</v>
      </c>
      <c r="F166" s="24">
        <f>(B166-$B$2)/$B$2</f>
        <v>0.24710424710424722</v>
      </c>
      <c r="G166" s="11">
        <f t="shared" si="17"/>
        <v>0.35320846725036031</v>
      </c>
      <c r="H166" s="25">
        <f t="shared" si="12"/>
        <v>78.03849303849303</v>
      </c>
      <c r="I166" s="26">
        <f>MAX($B$2:B166)</f>
        <v>2069.4</v>
      </c>
      <c r="J166" s="27">
        <f t="shared" si="13"/>
        <v>-7.9105054605199593E-2</v>
      </c>
      <c r="K166" s="10">
        <f>MAX($C$2:C166)</f>
        <v>29.311</v>
      </c>
      <c r="L166" s="11">
        <f t="shared" si="14"/>
        <v>-0.16686568182593559</v>
      </c>
    </row>
    <row r="167" spans="1:12" x14ac:dyDescent="0.35">
      <c r="A167" s="5" t="s">
        <v>421</v>
      </c>
      <c r="B167" s="22">
        <v>1911.9</v>
      </c>
      <c r="C167" s="10">
        <v>24.57</v>
      </c>
      <c r="D167" s="23">
        <f t="shared" si="15"/>
        <v>3.2533977016319699E-3</v>
      </c>
      <c r="E167" s="11">
        <f t="shared" si="16"/>
        <v>6.142506142506084E-3</v>
      </c>
      <c r="F167" s="24">
        <f>(B167-$B$2)/$B$2</f>
        <v>0.25116157319547161</v>
      </c>
      <c r="G167" s="11">
        <f t="shared" si="17"/>
        <v>0.3615205585725369</v>
      </c>
      <c r="H167" s="25">
        <f t="shared" si="12"/>
        <v>77.814407814407815</v>
      </c>
      <c r="I167" s="26">
        <f>MAX($B$2:B167)</f>
        <v>2069.4</v>
      </c>
      <c r="J167" s="27">
        <f t="shared" si="13"/>
        <v>-7.6109017106407648E-2</v>
      </c>
      <c r="K167" s="10">
        <f>MAX($C$2:C167)</f>
        <v>29.311</v>
      </c>
      <c r="L167" s="11">
        <f t="shared" si="14"/>
        <v>-0.16174814915901878</v>
      </c>
    </row>
    <row r="168" spans="1:12" x14ac:dyDescent="0.35">
      <c r="A168" s="5" t="s">
        <v>423</v>
      </c>
      <c r="B168" s="22">
        <v>1879.2</v>
      </c>
      <c r="C168" s="10">
        <v>23.359000000000002</v>
      </c>
      <c r="D168" s="23">
        <f t="shared" si="15"/>
        <v>-1.7103404989800744E-2</v>
      </c>
      <c r="E168" s="11">
        <f t="shared" si="16"/>
        <v>-4.9287749287749226E-2</v>
      </c>
      <c r="F168" s="24">
        <f>(B168-$B$2)/$B$2</f>
        <v>0.22976245010143326</v>
      </c>
      <c r="G168" s="11">
        <f t="shared" si="17"/>
        <v>0.29441427463149744</v>
      </c>
      <c r="H168" s="25">
        <f t="shared" si="12"/>
        <v>80.448649342865707</v>
      </c>
      <c r="I168" s="26">
        <f>MAX($B$2:B168)</f>
        <v>2069.4</v>
      </c>
      <c r="J168" s="27">
        <f t="shared" si="13"/>
        <v>-9.1910698753261827E-2</v>
      </c>
      <c r="K168" s="10">
        <f>MAX($C$2:C168)</f>
        <v>29.311</v>
      </c>
      <c r="L168" s="11">
        <f t="shared" si="14"/>
        <v>-0.20306369622326084</v>
      </c>
    </row>
    <row r="169" spans="1:12" x14ac:dyDescent="0.35">
      <c r="A169" s="5" t="s">
        <v>425</v>
      </c>
      <c r="B169" s="22">
        <v>1868</v>
      </c>
      <c r="C169" s="10">
        <v>23.408000000000001</v>
      </c>
      <c r="D169" s="23">
        <f t="shared" si="15"/>
        <v>-5.9599829714772484E-3</v>
      </c>
      <c r="E169" s="11">
        <f t="shared" si="16"/>
        <v>2.0976925382079491E-3</v>
      </c>
      <c r="F169" s="24">
        <f>(B169-$B$2)/$B$2</f>
        <v>0.22243308683986657</v>
      </c>
      <c r="G169" s="11">
        <f t="shared" si="17"/>
        <v>0.29712955779674177</v>
      </c>
      <c r="H169" s="25">
        <f t="shared" si="12"/>
        <v>79.801777170198221</v>
      </c>
      <c r="I169" s="26">
        <f>MAX($B$2:B169)</f>
        <v>2069.4</v>
      </c>
      <c r="J169" s="27">
        <f t="shared" si="13"/>
        <v>-9.7322895525273068E-2</v>
      </c>
      <c r="K169" s="10">
        <f>MAX($C$2:C169)</f>
        <v>29.311</v>
      </c>
      <c r="L169" s="11">
        <f t="shared" si="14"/>
        <v>-0.20139196888540134</v>
      </c>
    </row>
    <row r="170" spans="1:12" x14ac:dyDescent="0.35">
      <c r="A170" s="5" t="s">
        <v>429</v>
      </c>
      <c r="B170" s="22">
        <v>1892.5</v>
      </c>
      <c r="C170" s="10">
        <v>24.073</v>
      </c>
      <c r="D170" s="23">
        <f t="shared" si="15"/>
        <v>1.3115631691648822E-2</v>
      </c>
      <c r="E170" s="11">
        <f t="shared" si="16"/>
        <v>2.840909090909087E-2</v>
      </c>
      <c r="F170" s="24">
        <f>(B170-$B$2)/$B$2</f>
        <v>0.23846606897454362</v>
      </c>
      <c r="G170" s="11">
        <f t="shared" si="17"/>
        <v>0.33397982932505826</v>
      </c>
      <c r="H170" s="25">
        <f t="shared" si="12"/>
        <v>78.615045902047939</v>
      </c>
      <c r="I170" s="26">
        <f>MAX($B$2:B170)</f>
        <v>2069.4</v>
      </c>
      <c r="J170" s="27">
        <f t="shared" si="13"/>
        <v>-8.5483715086498546E-2</v>
      </c>
      <c r="K170" s="10">
        <f>MAX($C$2:C170)</f>
        <v>29.311</v>
      </c>
      <c r="L170" s="11">
        <f t="shared" si="14"/>
        <v>-0.17870424072873664</v>
      </c>
    </row>
    <row r="171" spans="1:12" x14ac:dyDescent="0.35">
      <c r="A171" s="5" t="s">
        <v>431</v>
      </c>
      <c r="B171" s="22">
        <v>1910.4</v>
      </c>
      <c r="C171" s="10">
        <v>24.373999999999999</v>
      </c>
      <c r="D171" s="23">
        <f t="shared" si="15"/>
        <v>9.4583883751651731E-3</v>
      </c>
      <c r="E171" s="11">
        <f t="shared" si="16"/>
        <v>1.2503634777551547E-2</v>
      </c>
      <c r="F171" s="24">
        <f>(B171-$B$2)/$B$2</f>
        <v>0.25017996204436893</v>
      </c>
      <c r="G171" s="11">
        <f t="shared" si="17"/>
        <v>0.35065942591155935</v>
      </c>
      <c r="H171" s="25">
        <f t="shared" si="12"/>
        <v>78.378600147698378</v>
      </c>
      <c r="I171" s="26">
        <f>MAX($B$2:B171)</f>
        <v>2069.4</v>
      </c>
      <c r="J171" s="27">
        <f t="shared" si="13"/>
        <v>-7.6833864888373432E-2</v>
      </c>
      <c r="K171" s="10">
        <f>MAX($C$2:C171)</f>
        <v>29.311</v>
      </c>
      <c r="L171" s="11">
        <f t="shared" si="14"/>
        <v>-0.16843505851045687</v>
      </c>
    </row>
    <row r="172" spans="1:12" x14ac:dyDescent="0.35">
      <c r="A172" s="5" t="s">
        <v>433</v>
      </c>
      <c r="B172" s="22">
        <v>1896.2</v>
      </c>
      <c r="C172" s="10">
        <v>23.933</v>
      </c>
      <c r="D172" s="23">
        <f t="shared" si="15"/>
        <v>-7.4329983249581478E-3</v>
      </c>
      <c r="E172" s="11">
        <f t="shared" si="16"/>
        <v>-1.809304997128083E-2</v>
      </c>
      <c r="F172" s="24">
        <f>(B172-$B$2)/$B$2</f>
        <v>0.24088737648059691</v>
      </c>
      <c r="G172" s="11">
        <f t="shared" si="17"/>
        <v>0.32622187742435999</v>
      </c>
      <c r="H172" s="25">
        <f t="shared" si="12"/>
        <v>79.229515731416868</v>
      </c>
      <c r="I172" s="26">
        <f>MAX($B$2:B172)</f>
        <v>2069.4</v>
      </c>
      <c r="J172" s="27">
        <f t="shared" si="13"/>
        <v>-8.3695757224316242E-2</v>
      </c>
      <c r="K172" s="10">
        <f>MAX($C$2:C172)</f>
        <v>29.311</v>
      </c>
      <c r="L172" s="11">
        <f t="shared" si="14"/>
        <v>-0.18348060455119239</v>
      </c>
    </row>
    <row r="173" spans="1:12" x14ac:dyDescent="0.35">
      <c r="A173" s="5" t="s">
        <v>435</v>
      </c>
      <c r="B173" s="22">
        <v>1946.8</v>
      </c>
      <c r="C173" s="10">
        <v>25.231999999999999</v>
      </c>
      <c r="D173" s="23">
        <f t="shared" si="15"/>
        <v>2.6684948845058488E-2</v>
      </c>
      <c r="E173" s="11">
        <f t="shared" si="16"/>
        <v>5.42765219571303E-2</v>
      </c>
      <c r="F173" s="24">
        <f>(B173-$B$2)/$B$2</f>
        <v>0.27400039264446047</v>
      </c>
      <c r="G173" s="11">
        <f t="shared" si="17"/>
        <v>0.39820458827440985</v>
      </c>
      <c r="H173" s="25">
        <f t="shared" si="12"/>
        <v>77.155992390615097</v>
      </c>
      <c r="I173" s="26">
        <f>MAX($B$2:B173)</f>
        <v>2069.4</v>
      </c>
      <c r="J173" s="27">
        <f t="shared" si="13"/>
        <v>-5.9244225379337066E-2</v>
      </c>
      <c r="K173" s="10">
        <f>MAX($C$2:C173)</f>
        <v>29.311</v>
      </c>
      <c r="L173" s="11">
        <f t="shared" si="14"/>
        <v>-0.13916277165569244</v>
      </c>
    </row>
    <row r="174" spans="1:12" x14ac:dyDescent="0.35">
      <c r="A174" s="5" t="s">
        <v>439</v>
      </c>
      <c r="B174" s="22">
        <v>1854.4</v>
      </c>
      <c r="C174" s="10">
        <v>23.736000000000001</v>
      </c>
      <c r="D174" s="23">
        <f t="shared" si="15"/>
        <v>-4.7462502568317168E-2</v>
      </c>
      <c r="E174" s="11">
        <f t="shared" si="16"/>
        <v>-5.9289790741914976E-2</v>
      </c>
      <c r="F174" s="24">
        <f>(B174-$B$2)/$B$2</f>
        <v>0.2135331457365357</v>
      </c>
      <c r="G174" s="11">
        <f t="shared" si="17"/>
        <v>0.31530533082123469</v>
      </c>
      <c r="H174" s="25">
        <f t="shared" si="12"/>
        <v>78.12605325244354</v>
      </c>
      <c r="I174" s="26">
        <f>MAX($B$2:B174)</f>
        <v>2069.4</v>
      </c>
      <c r="J174" s="27">
        <f t="shared" si="13"/>
        <v>-0.1038948487484295</v>
      </c>
      <c r="K174" s="10">
        <f>MAX($C$2:C174)</f>
        <v>29.311</v>
      </c>
      <c r="L174" s="11">
        <f t="shared" si="14"/>
        <v>-0.1902016307870765</v>
      </c>
    </row>
    <row r="175" spans="1:12" x14ac:dyDescent="0.35">
      <c r="A175" s="5" t="s">
        <v>441</v>
      </c>
      <c r="B175" s="22">
        <v>1876.4</v>
      </c>
      <c r="C175" s="10">
        <v>24.501999999999999</v>
      </c>
      <c r="D175" s="23">
        <f t="shared" si="15"/>
        <v>1.186367558239862E-2</v>
      </c>
      <c r="E175" s="11">
        <f t="shared" si="16"/>
        <v>3.2271654870239225E-2</v>
      </c>
      <c r="F175" s="24">
        <f>(B175-$B$2)/$B$2</f>
        <v>0.22793010928604163</v>
      </c>
      <c r="G175" s="11">
        <f t="shared" si="17"/>
        <v>0.35775241050648343</v>
      </c>
      <c r="H175" s="25">
        <f t="shared" si="12"/>
        <v>76.581503550730559</v>
      </c>
      <c r="I175" s="26">
        <f>MAX($B$2:B175)</f>
        <v>2069.4</v>
      </c>
      <c r="J175" s="27">
        <f t="shared" si="13"/>
        <v>-9.3263747946264616E-2</v>
      </c>
      <c r="K175" s="10">
        <f>MAX($C$2:C175)</f>
        <v>29.311</v>
      </c>
      <c r="L175" s="11">
        <f t="shared" si="14"/>
        <v>-0.16406809730135447</v>
      </c>
    </row>
    <row r="176" spans="1:12" x14ac:dyDescent="0.35">
      <c r="A176" s="5" t="s">
        <v>443</v>
      </c>
      <c r="B176" s="22">
        <v>1861.6</v>
      </c>
      <c r="C176" s="10">
        <v>24.306000000000001</v>
      </c>
      <c r="D176" s="23">
        <f t="shared" si="15"/>
        <v>-7.8874440417822326E-3</v>
      </c>
      <c r="E176" s="11">
        <f t="shared" si="16"/>
        <v>-7.9993469920821951E-3</v>
      </c>
      <c r="F176" s="24">
        <f>(B176-$B$2)/$B$2</f>
        <v>0.21824487926182842</v>
      </c>
      <c r="G176" s="11">
        <f t="shared" si="17"/>
        <v>0.34689127784550605</v>
      </c>
      <c r="H176" s="25">
        <f t="shared" si="12"/>
        <v>76.590142351682701</v>
      </c>
      <c r="I176" s="26">
        <f>MAX($B$2:B176)</f>
        <v>2069.4</v>
      </c>
      <c r="J176" s="27">
        <f t="shared" si="13"/>
        <v>-0.10041557939499381</v>
      </c>
      <c r="K176" s="10">
        <f>MAX($C$2:C176)</f>
        <v>29.311</v>
      </c>
      <c r="L176" s="11">
        <f t="shared" si="14"/>
        <v>-0.17075500665279245</v>
      </c>
    </row>
    <row r="177" spans="1:12" x14ac:dyDescent="0.35">
      <c r="A177" s="5" t="s">
        <v>445</v>
      </c>
      <c r="B177" s="22">
        <v>1873.3</v>
      </c>
      <c r="C177" s="10">
        <v>24.35</v>
      </c>
      <c r="D177" s="23">
        <f t="shared" si="15"/>
        <v>6.284916201117343E-3</v>
      </c>
      <c r="E177" s="11">
        <f t="shared" si="16"/>
        <v>1.8102526125236766E-3</v>
      </c>
      <c r="F177" s="24">
        <f>(B177-$B$2)/$B$2</f>
        <v>0.22590144624042932</v>
      </c>
      <c r="G177" s="11">
        <f t="shared" si="17"/>
        <v>0.34932949130001123</v>
      </c>
      <c r="H177" s="25">
        <f t="shared" si="12"/>
        <v>76.932238193018478</v>
      </c>
      <c r="I177" s="26">
        <f>MAX($B$2:B177)</f>
        <v>2069.4</v>
      </c>
      <c r="J177" s="27">
        <f t="shared" si="13"/>
        <v>-9.4761766695660637E-2</v>
      </c>
      <c r="K177" s="10">
        <f>MAX($C$2:C177)</f>
        <v>29.311</v>
      </c>
      <c r="L177" s="11">
        <f t="shared" si="14"/>
        <v>-0.16925386373716347</v>
      </c>
    </row>
    <row r="178" spans="1:12" x14ac:dyDescent="0.35">
      <c r="A178" s="5" t="s">
        <v>449</v>
      </c>
      <c r="B178" s="22">
        <v>1887.8</v>
      </c>
      <c r="C178" s="10">
        <v>24.837</v>
      </c>
      <c r="D178" s="23">
        <f t="shared" si="15"/>
        <v>7.7403512518016337E-3</v>
      </c>
      <c r="E178" s="11">
        <f t="shared" si="16"/>
        <v>1.9999999999999931E-2</v>
      </c>
      <c r="F178" s="24">
        <f>(B178-$B$2)/$B$2</f>
        <v>0.23539035403442188</v>
      </c>
      <c r="G178" s="11">
        <f t="shared" si="17"/>
        <v>0.37631608112601134</v>
      </c>
      <c r="H178" s="25">
        <f t="shared" si="12"/>
        <v>76.007569352176191</v>
      </c>
      <c r="I178" s="26">
        <f>MAX($B$2:B178)</f>
        <v>2069.4</v>
      </c>
      <c r="J178" s="27">
        <f t="shared" si="13"/>
        <v>-8.7754904803324693E-2</v>
      </c>
      <c r="K178" s="10">
        <f>MAX($C$2:C178)</f>
        <v>29.311</v>
      </c>
      <c r="L178" s="11">
        <f t="shared" si="14"/>
        <v>-0.15263894101190681</v>
      </c>
    </row>
    <row r="179" spans="1:12" x14ac:dyDescent="0.35">
      <c r="A179" s="5" t="s">
        <v>451</v>
      </c>
      <c r="B179" s="22">
        <v>1885.1</v>
      </c>
      <c r="C179" s="10">
        <v>24.686</v>
      </c>
      <c r="D179" s="23">
        <f t="shared" si="15"/>
        <v>-1.4302362538404733E-3</v>
      </c>
      <c r="E179" s="11">
        <f t="shared" si="16"/>
        <v>-6.079639247896276E-3</v>
      </c>
      <c r="F179" s="24">
        <f>(B179-$B$2)/$B$2</f>
        <v>0.23362345396243703</v>
      </c>
      <c r="G179" s="11">
        <f t="shared" si="17"/>
        <v>0.36794857586168683</v>
      </c>
      <c r="H179" s="25">
        <f t="shared" si="12"/>
        <v>76.363120797212986</v>
      </c>
      <c r="I179" s="26">
        <f>MAX($B$2:B179)</f>
        <v>2069.4</v>
      </c>
      <c r="J179" s="27">
        <f t="shared" si="13"/>
        <v>-8.9059630810863141E-2</v>
      </c>
      <c r="K179" s="10">
        <f>MAX($C$2:C179)</f>
        <v>29.311</v>
      </c>
      <c r="L179" s="11">
        <f t="shared" si="14"/>
        <v>-0.15779059056326977</v>
      </c>
    </row>
    <row r="180" spans="1:12" x14ac:dyDescent="0.35">
      <c r="A180" s="5" t="s">
        <v>453</v>
      </c>
      <c r="B180" s="22">
        <v>1873.9</v>
      </c>
      <c r="C180" s="10">
        <v>24.48</v>
      </c>
      <c r="D180" s="23">
        <f t="shared" si="15"/>
        <v>-5.9413293724469886E-3</v>
      </c>
      <c r="E180" s="11">
        <f t="shared" si="16"/>
        <v>-8.3448108239487766E-3</v>
      </c>
      <c r="F180" s="24">
        <f>(B180-$B$2)/$B$2</f>
        <v>0.2262940907008705</v>
      </c>
      <c r="G180" s="11">
        <f t="shared" si="17"/>
        <v>0.35653330377923093</v>
      </c>
      <c r="H180" s="25">
        <f t="shared" si="12"/>
        <v>76.548202614379093</v>
      </c>
      <c r="I180" s="26">
        <f>MAX($B$2:B180)</f>
        <v>2069.4</v>
      </c>
      <c r="J180" s="27">
        <f t="shared" si="13"/>
        <v>-9.4471827582874257E-2</v>
      </c>
      <c r="K180" s="10">
        <f>MAX($C$2:C180)</f>
        <v>29.311</v>
      </c>
      <c r="L180" s="11">
        <f t="shared" si="14"/>
        <v>-0.1648186687591689</v>
      </c>
    </row>
    <row r="181" spans="1:12" x14ac:dyDescent="0.35">
      <c r="A181" s="5" t="s">
        <v>455</v>
      </c>
      <c r="B181" s="22">
        <v>1861.5</v>
      </c>
      <c r="C181" s="10">
        <v>24.085000000000001</v>
      </c>
      <c r="D181" s="23">
        <f t="shared" si="15"/>
        <v>-6.6172154330541065E-3</v>
      </c>
      <c r="E181" s="11">
        <f t="shared" si="16"/>
        <v>-1.6135620915032661E-2</v>
      </c>
      <c r="F181" s="24">
        <f>(B181-$B$2)/$B$2</f>
        <v>0.21817943851842164</v>
      </c>
      <c r="G181" s="11">
        <f t="shared" si="17"/>
        <v>0.33464479663083241</v>
      </c>
      <c r="H181" s="25">
        <f t="shared" si="12"/>
        <v>77.288768943325721</v>
      </c>
      <c r="I181" s="26">
        <f>MAX($B$2:B181)</f>
        <v>2069.4</v>
      </c>
      <c r="J181" s="27">
        <f t="shared" si="13"/>
        <v>-0.10046390258045815</v>
      </c>
      <c r="K181" s="10">
        <f>MAX($C$2:C181)</f>
        <v>29.311</v>
      </c>
      <c r="L181" s="11">
        <f t="shared" si="14"/>
        <v>-0.17829483811538327</v>
      </c>
    </row>
    <row r="182" spans="1:12" x14ac:dyDescent="0.35">
      <c r="A182" s="5" t="s">
        <v>459</v>
      </c>
      <c r="B182" s="22">
        <v>1837.8</v>
      </c>
      <c r="C182" s="10">
        <v>23.675000000000001</v>
      </c>
      <c r="D182" s="23">
        <f t="shared" si="15"/>
        <v>-1.2731668009669645E-2</v>
      </c>
      <c r="E182" s="11">
        <f t="shared" si="16"/>
        <v>-1.7023043388000834E-2</v>
      </c>
      <c r="F182" s="24">
        <f>(B182-$B$2)/$B$2</f>
        <v>0.20266998233099931</v>
      </c>
      <c r="G182" s="11">
        <f t="shared" si="17"/>
        <v>0.31192508035021621</v>
      </c>
      <c r="H182" s="25">
        <f t="shared" si="12"/>
        <v>77.62618796198521</v>
      </c>
      <c r="I182" s="26">
        <f>MAX($B$2:B182)</f>
        <v>2069.4</v>
      </c>
      <c r="J182" s="27">
        <f t="shared" si="13"/>
        <v>-0.11191649753551761</v>
      </c>
      <c r="K182" s="10">
        <f>MAX($C$2:C182)</f>
        <v>29.311</v>
      </c>
      <c r="L182" s="11">
        <f t="shared" si="14"/>
        <v>-0.19228276073828934</v>
      </c>
    </row>
    <row r="183" spans="1:12" x14ac:dyDescent="0.35">
      <c r="A183" s="5" t="s">
        <v>461</v>
      </c>
      <c r="B183" s="22">
        <v>1804.6</v>
      </c>
      <c r="C183" s="10">
        <v>23.33</v>
      </c>
      <c r="D183" s="23">
        <f t="shared" si="15"/>
        <v>-1.8065077810425535E-2</v>
      </c>
      <c r="E183" s="11">
        <f t="shared" si="16"/>
        <v>-1.4572333685322172E-2</v>
      </c>
      <c r="F183" s="24">
        <f>(B183-$B$2)/$B$2</f>
        <v>0.18094365551992672</v>
      </c>
      <c r="G183" s="11">
        <f t="shared" si="17"/>
        <v>0.29280727030920972</v>
      </c>
      <c r="H183" s="25">
        <f t="shared" si="12"/>
        <v>77.351050150021436</v>
      </c>
      <c r="I183" s="26">
        <f>MAX($B$2:B183)</f>
        <v>2069.4</v>
      </c>
      <c r="J183" s="27">
        <f t="shared" si="13"/>
        <v>-0.12795979510969371</v>
      </c>
      <c r="K183" s="10">
        <f>MAX($C$2:C183)</f>
        <v>29.311</v>
      </c>
      <c r="L183" s="11">
        <f t="shared" si="14"/>
        <v>-0.2040530858721982</v>
      </c>
    </row>
    <row r="184" spans="1:12" x14ac:dyDescent="0.35">
      <c r="A184" s="5" t="s">
        <v>463</v>
      </c>
      <c r="B184" s="22">
        <v>1805.5</v>
      </c>
      <c r="C184" s="10">
        <v>23.387</v>
      </c>
      <c r="D184" s="23">
        <f t="shared" si="15"/>
        <v>4.9872547933065003E-4</v>
      </c>
      <c r="E184" s="11">
        <f t="shared" si="16"/>
        <v>2.4432061723104227E-3</v>
      </c>
      <c r="F184" s="24">
        <f>(B184-$B$2)/$B$2</f>
        <v>0.18153262221058838</v>
      </c>
      <c r="G184" s="11">
        <f t="shared" si="17"/>
        <v>0.29596586501163702</v>
      </c>
      <c r="H184" s="25">
        <f t="shared" si="12"/>
        <v>77.201009107623889</v>
      </c>
      <c r="I184" s="26">
        <f>MAX($B$2:B184)</f>
        <v>2069.4</v>
      </c>
      <c r="J184" s="27">
        <f t="shared" si="13"/>
        <v>-0.12752488644051418</v>
      </c>
      <c r="K184" s="10">
        <f>MAX($C$2:C184)</f>
        <v>29.311</v>
      </c>
      <c r="L184" s="11">
        <f t="shared" si="14"/>
        <v>-0.20210842345876973</v>
      </c>
    </row>
    <row r="185" spans="1:12" x14ac:dyDescent="0.35">
      <c r="A185" s="5" t="s">
        <v>468</v>
      </c>
      <c r="B185" s="22">
        <v>1780.9</v>
      </c>
      <c r="C185" s="10">
        <v>22.582999999999998</v>
      </c>
      <c r="D185" s="23">
        <f t="shared" si="15"/>
        <v>-1.3625034616449686E-2</v>
      </c>
      <c r="E185" s="11">
        <f t="shared" si="16"/>
        <v>-3.4378073288579211E-2</v>
      </c>
      <c r="F185" s="24">
        <f>(B185-$B$2)/$B$2</f>
        <v>0.16543419933250456</v>
      </c>
      <c r="G185" s="11">
        <f t="shared" si="17"/>
        <v>0.25141305552477</v>
      </c>
      <c r="H185" s="25">
        <f t="shared" si="12"/>
        <v>78.860204578665375</v>
      </c>
      <c r="I185" s="26">
        <f>MAX($B$2:B185)</f>
        <v>2069.4</v>
      </c>
      <c r="J185" s="27">
        <f t="shared" si="13"/>
        <v>-0.13941239006475306</v>
      </c>
      <c r="K185" s="10">
        <f>MAX($C$2:C185)</f>
        <v>29.311</v>
      </c>
      <c r="L185" s="11">
        <f t="shared" si="14"/>
        <v>-0.22953839855344416</v>
      </c>
    </row>
    <row r="186" spans="1:12" x14ac:dyDescent="0.35">
      <c r="A186" s="5" t="s">
        <v>470</v>
      </c>
      <c r="B186" s="22">
        <v>1818.9</v>
      </c>
      <c r="C186" s="10">
        <v>24.08</v>
      </c>
      <c r="D186" s="23">
        <f t="shared" si="15"/>
        <v>2.1337525970015161E-2</v>
      </c>
      <c r="E186" s="11">
        <f t="shared" si="16"/>
        <v>6.6288801310720458E-2</v>
      </c>
      <c r="F186" s="24">
        <f>(B186-$B$2)/$B$2</f>
        <v>0.19030168182710569</v>
      </c>
      <c r="G186" s="11">
        <f t="shared" si="17"/>
        <v>0.33436772692009303</v>
      </c>
      <c r="H186" s="25">
        <f t="shared" si="12"/>
        <v>75.535714285714292</v>
      </c>
      <c r="I186" s="26">
        <f>MAX($B$2:B186)</f>
        <v>2069.4</v>
      </c>
      <c r="J186" s="27">
        <f t="shared" si="13"/>
        <v>-0.12104957958828645</v>
      </c>
      <c r="K186" s="10">
        <f>MAX($C$2:C186)</f>
        <v>29.311</v>
      </c>
      <c r="L186" s="11">
        <f t="shared" si="14"/>
        <v>-0.17846542253761391</v>
      </c>
    </row>
    <row r="187" spans="1:12" x14ac:dyDescent="0.35">
      <c r="A187" s="5" t="s">
        <v>472</v>
      </c>
      <c r="B187" s="22">
        <v>1830.2</v>
      </c>
      <c r="C187" s="10">
        <v>24.065999999999999</v>
      </c>
      <c r="D187" s="23">
        <f t="shared" si="15"/>
        <v>6.2125460443124714E-3</v>
      </c>
      <c r="E187" s="11">
        <f t="shared" si="16"/>
        <v>-5.8139534883718219E-4</v>
      </c>
      <c r="F187" s="24">
        <f>(B187-$B$2)/$B$2</f>
        <v>0.19769648583207916</v>
      </c>
      <c r="G187" s="11">
        <f t="shared" si="17"/>
        <v>0.33359193173002327</v>
      </c>
      <c r="H187" s="25">
        <f t="shared" si="12"/>
        <v>76.049198038726843</v>
      </c>
      <c r="I187" s="26">
        <f>MAX($B$2:B187)</f>
        <v>2069.4</v>
      </c>
      <c r="J187" s="27">
        <f t="shared" si="13"/>
        <v>-0.11558905963081088</v>
      </c>
      <c r="K187" s="10">
        <f>MAX($C$2:C187)</f>
        <v>29.311</v>
      </c>
      <c r="L187" s="11">
        <f t="shared" si="14"/>
        <v>-0.17894305891985948</v>
      </c>
    </row>
    <row r="188" spans="1:12" x14ac:dyDescent="0.35">
      <c r="A188" s="5" t="s">
        <v>474</v>
      </c>
      <c r="B188" s="22">
        <v>1841.1</v>
      </c>
      <c r="C188" s="10">
        <v>24.12</v>
      </c>
      <c r="D188" s="23">
        <f t="shared" si="15"/>
        <v>5.9556332641240647E-3</v>
      </c>
      <c r="E188" s="11">
        <f t="shared" si="16"/>
        <v>2.243829468960444E-3</v>
      </c>
      <c r="F188" s="24">
        <f>(B188-$B$2)/$B$2</f>
        <v>0.20482952686342518</v>
      </c>
      <c r="G188" s="11">
        <f t="shared" si="17"/>
        <v>0.33658428460600698</v>
      </c>
      <c r="H188" s="25">
        <f t="shared" si="12"/>
        <v>76.330845771144268</v>
      </c>
      <c r="I188" s="26">
        <f>MAX($B$2:B188)</f>
        <v>2069.4</v>
      </c>
      <c r="J188" s="27">
        <f t="shared" si="13"/>
        <v>-0.11032183241519289</v>
      </c>
      <c r="K188" s="10">
        <f>MAX($C$2:C188)</f>
        <v>29.311</v>
      </c>
      <c r="L188" s="11">
        <f t="shared" si="14"/>
        <v>-0.17710074715976934</v>
      </c>
    </row>
    <row r="189" spans="1:12" x14ac:dyDescent="0.35">
      <c r="A189" s="5" t="s">
        <v>478</v>
      </c>
      <c r="B189" s="22">
        <v>1866</v>
      </c>
      <c r="C189" s="10">
        <v>24.776</v>
      </c>
      <c r="D189" s="23">
        <f t="shared" si="15"/>
        <v>1.3524523382760356E-2</v>
      </c>
      <c r="E189" s="11">
        <f t="shared" si="16"/>
        <v>2.7197346600331625E-2</v>
      </c>
      <c r="F189" s="24">
        <f>(B189-$B$2)/$B$2</f>
        <v>0.22112427197172968</v>
      </c>
      <c r="G189" s="11">
        <f t="shared" si="17"/>
        <v>0.37293583065499281</v>
      </c>
      <c r="H189" s="25">
        <f t="shared" si="12"/>
        <v>75.314820794317086</v>
      </c>
      <c r="I189" s="26">
        <f>MAX($B$2:B189)</f>
        <v>2069.4</v>
      </c>
      <c r="J189" s="27">
        <f t="shared" si="13"/>
        <v>-9.828935923456078E-2</v>
      </c>
      <c r="K189" s="10">
        <f>MAX($C$2:C189)</f>
        <v>29.311</v>
      </c>
      <c r="L189" s="11">
        <f t="shared" si="14"/>
        <v>-0.15472007096311965</v>
      </c>
    </row>
    <row r="190" spans="1:12" x14ac:dyDescent="0.35">
      <c r="A190" s="5" t="s">
        <v>480</v>
      </c>
      <c r="B190" s="22">
        <v>1874.9</v>
      </c>
      <c r="C190" s="10">
        <v>24.710999999999999</v>
      </c>
      <c r="D190" s="23">
        <f t="shared" si="15"/>
        <v>4.7695605573419564E-3</v>
      </c>
      <c r="E190" s="11">
        <f t="shared" si="16"/>
        <v>-2.6235066193090605E-3</v>
      </c>
      <c r="F190" s="24">
        <f>(B190-$B$2)/$B$2</f>
        <v>0.22694849813493895</v>
      </c>
      <c r="G190" s="11">
        <f t="shared" si="17"/>
        <v>0.36933392441538287</v>
      </c>
      <c r="H190" s="25">
        <f t="shared" si="12"/>
        <v>75.873092954554664</v>
      </c>
      <c r="I190" s="26">
        <f>MAX($B$2:B190)</f>
        <v>2069.4</v>
      </c>
      <c r="J190" s="27">
        <f t="shared" si="13"/>
        <v>-9.3988595728230401E-2</v>
      </c>
      <c r="K190" s="10">
        <f>MAX($C$2:C190)</f>
        <v>29.311</v>
      </c>
      <c r="L190" s="11">
        <f t="shared" si="14"/>
        <v>-0.15693766845211701</v>
      </c>
    </row>
    <row r="191" spans="1:12" x14ac:dyDescent="0.35">
      <c r="A191" s="5" t="s">
        <v>482</v>
      </c>
      <c r="B191" s="22">
        <v>1838.5</v>
      </c>
      <c r="C191" s="10">
        <v>23.963000000000001</v>
      </c>
      <c r="D191" s="23">
        <f t="shared" si="15"/>
        <v>-1.9414368766334251E-2</v>
      </c>
      <c r="E191" s="11">
        <f t="shared" si="16"/>
        <v>-3.0269920278418423E-2</v>
      </c>
      <c r="F191" s="24">
        <f>(B191-$B$2)/$B$2</f>
        <v>0.20312806753484727</v>
      </c>
      <c r="G191" s="11">
        <f t="shared" si="17"/>
        <v>0.3278842956887954</v>
      </c>
      <c r="H191" s="25">
        <f t="shared" si="12"/>
        <v>76.722447105955013</v>
      </c>
      <c r="I191" s="26">
        <f>MAX($B$2:B191)</f>
        <v>2069.4</v>
      </c>
      <c r="J191" s="27">
        <f t="shared" si="13"/>
        <v>-0.11157823523726688</v>
      </c>
      <c r="K191" s="10">
        <f>MAX($C$2:C191)</f>
        <v>29.311</v>
      </c>
      <c r="L191" s="11">
        <f t="shared" si="14"/>
        <v>-0.18245709801780899</v>
      </c>
    </row>
    <row r="192" spans="1:12" x14ac:dyDescent="0.35">
      <c r="A192" s="5" t="s">
        <v>484</v>
      </c>
      <c r="B192" s="22">
        <v>1837.4</v>
      </c>
      <c r="C192" s="10">
        <v>24.073</v>
      </c>
      <c r="D192" s="23">
        <f t="shared" si="15"/>
        <v>-5.983138428065864E-4</v>
      </c>
      <c r="E192" s="11">
        <f t="shared" si="16"/>
        <v>4.5904102157492566E-3</v>
      </c>
      <c r="F192" s="24">
        <f>(B192-$B$2)/$B$2</f>
        <v>0.20240821935737202</v>
      </c>
      <c r="G192" s="11">
        <f t="shared" si="17"/>
        <v>0.33397982932505826</v>
      </c>
      <c r="H192" s="25">
        <f t="shared" si="12"/>
        <v>76.326174552403103</v>
      </c>
      <c r="I192" s="26">
        <f>MAX($B$2:B192)</f>
        <v>2069.4</v>
      </c>
      <c r="J192" s="27">
        <f t="shared" si="13"/>
        <v>-0.11210979027737508</v>
      </c>
      <c r="K192" s="10">
        <f>MAX($C$2:C192)</f>
        <v>29.311</v>
      </c>
      <c r="L192" s="11">
        <f t="shared" si="14"/>
        <v>-0.17870424072873664</v>
      </c>
    </row>
    <row r="193" spans="1:12" x14ac:dyDescent="0.35">
      <c r="A193" s="5" t="s">
        <v>488</v>
      </c>
      <c r="B193" s="22">
        <v>1832.1</v>
      </c>
      <c r="C193" s="10">
        <v>24.021999999999998</v>
      </c>
      <c r="D193" s="23">
        <f t="shared" si="15"/>
        <v>-2.8845107216720267E-3</v>
      </c>
      <c r="E193" s="11">
        <f t="shared" si="16"/>
        <v>-2.1185560586550051E-3</v>
      </c>
      <c r="F193" s="24">
        <f>(B193-$B$2)/$B$2</f>
        <v>0.19893985995680913</v>
      </c>
      <c r="G193" s="11">
        <f t="shared" si="17"/>
        <v>0.33115371827551809</v>
      </c>
      <c r="H193" s="25">
        <f t="shared" si="12"/>
        <v>76.267588044292737</v>
      </c>
      <c r="I193" s="26">
        <f>MAX($B$2:B193)</f>
        <v>2069.4</v>
      </c>
      <c r="J193" s="27">
        <f t="shared" si="13"/>
        <v>-0.11467091910698761</v>
      </c>
      <c r="K193" s="10">
        <f>MAX($C$2:C193)</f>
        <v>29.311</v>
      </c>
      <c r="L193" s="11">
        <f t="shared" si="14"/>
        <v>-0.18044420183548843</v>
      </c>
    </row>
    <row r="194" spans="1:12" x14ac:dyDescent="0.35">
      <c r="A194" s="5" t="s">
        <v>490</v>
      </c>
      <c r="B194" s="22">
        <v>1855.3</v>
      </c>
      <c r="C194" s="10">
        <v>24.614000000000001</v>
      </c>
      <c r="D194" s="23">
        <f t="shared" si="15"/>
        <v>1.266306424321819E-2</v>
      </c>
      <c r="E194" s="11">
        <f t="shared" si="16"/>
        <v>2.4644076263425289E-2</v>
      </c>
      <c r="F194" s="24">
        <f>(B194-$B$2)/$B$2</f>
        <v>0.21412211242719723</v>
      </c>
      <c r="G194" s="11">
        <f t="shared" si="17"/>
        <v>0.36395877202704208</v>
      </c>
      <c r="H194" s="25">
        <f t="shared" si="12"/>
        <v>75.375802388884367</v>
      </c>
      <c r="I194" s="26">
        <f>MAX($B$2:B194)</f>
        <v>2069.4</v>
      </c>
      <c r="J194" s="27">
        <f t="shared" si="13"/>
        <v>-0.10345994007925008</v>
      </c>
      <c r="K194" s="10">
        <f>MAX($C$2:C194)</f>
        <v>29.311</v>
      </c>
      <c r="L194" s="11">
        <f t="shared" si="14"/>
        <v>-0.16024700624338983</v>
      </c>
    </row>
    <row r="195" spans="1:12" x14ac:dyDescent="0.35">
      <c r="A195" s="5" t="s">
        <v>492</v>
      </c>
      <c r="B195" s="22">
        <v>1859.1</v>
      </c>
      <c r="C195" s="10">
        <v>25.018000000000001</v>
      </c>
      <c r="D195" s="23">
        <f t="shared" si="15"/>
        <v>2.0481862771519186E-3</v>
      </c>
      <c r="E195" s="11">
        <f t="shared" si="16"/>
        <v>1.6413423255058093E-2</v>
      </c>
      <c r="F195" s="24">
        <f>(B195-$B$2)/$B$2</f>
        <v>0.2166088606766573</v>
      </c>
      <c r="G195" s="11">
        <f t="shared" si="17"/>
        <v>0.3863460046547712</v>
      </c>
      <c r="H195" s="25">
        <f t="shared" ref="H195:H258" si="18">B195/C195</f>
        <v>74.310496442561345</v>
      </c>
      <c r="I195" s="26">
        <f>MAX($B$2:B195)</f>
        <v>2069.4</v>
      </c>
      <c r="J195" s="27">
        <f t="shared" ref="J195:J258" si="19">(B195-I195)/I195</f>
        <v>-0.10162365903160345</v>
      </c>
      <c r="K195" s="10">
        <f>MAX($C$2:C195)</f>
        <v>29.311</v>
      </c>
      <c r="L195" s="11">
        <f t="shared" ref="L195:L258" si="20">(C195-K195)/K195</f>
        <v>-0.14646378492716042</v>
      </c>
    </row>
    <row r="196" spans="1:12" x14ac:dyDescent="0.35">
      <c r="A196" s="5" t="s">
        <v>494</v>
      </c>
      <c r="B196" s="22">
        <v>1890.4</v>
      </c>
      <c r="C196" s="10">
        <v>26.15</v>
      </c>
      <c r="D196" s="23">
        <f t="shared" ref="D196:D259" si="21">(B196-B195)/B195</f>
        <v>1.6836103490936574E-2</v>
      </c>
      <c r="E196" s="11">
        <f t="shared" ref="E196:E259" si="22">(C196-C195)/C195</f>
        <v>4.5247421856263403E-2</v>
      </c>
      <c r="F196" s="24">
        <f>(B196-$B$2)/$B$2</f>
        <v>0.23709181336299995</v>
      </c>
      <c r="G196" s="11">
        <f t="shared" ref="G196:G259" si="23">(C196-$C$2)/$C$2</f>
        <v>0.44907458716613097</v>
      </c>
      <c r="H196" s="25">
        <f t="shared" si="18"/>
        <v>72.290630975143415</v>
      </c>
      <c r="I196" s="26">
        <f>MAX($B$2:B196)</f>
        <v>2069.4</v>
      </c>
      <c r="J196" s="27">
        <f t="shared" si="19"/>
        <v>-8.64985019812506E-2</v>
      </c>
      <c r="K196" s="10">
        <f>MAX($C$2:C196)</f>
        <v>29.311</v>
      </c>
      <c r="L196" s="11">
        <f t="shared" si="20"/>
        <v>-0.10784347173416128</v>
      </c>
    </row>
    <row r="197" spans="1:12" x14ac:dyDescent="0.35">
      <c r="A197" s="5" t="s">
        <v>498</v>
      </c>
      <c r="B197" s="22">
        <v>1882.8</v>
      </c>
      <c r="C197" s="10">
        <v>26.34</v>
      </c>
      <c r="D197" s="23">
        <f t="shared" si="21"/>
        <v>-4.0203131612357897E-3</v>
      </c>
      <c r="E197" s="11">
        <f t="shared" si="22"/>
        <v>7.2657743785851355E-3</v>
      </c>
      <c r="F197" s="24">
        <f>(B197-$B$2)/$B$2</f>
        <v>0.23211831686407963</v>
      </c>
      <c r="G197" s="11">
        <f t="shared" si="23"/>
        <v>0.4596032361742215</v>
      </c>
      <c r="H197" s="25">
        <f t="shared" si="18"/>
        <v>71.480637813211843</v>
      </c>
      <c r="I197" s="26">
        <f>MAX($B$2:B197)</f>
        <v>2069.4</v>
      </c>
      <c r="J197" s="27">
        <f t="shared" si="19"/>
        <v>-9.0171064076543989E-2</v>
      </c>
      <c r="K197" s="10">
        <f>MAX($C$2:C197)</f>
        <v>29.311</v>
      </c>
      <c r="L197" s="11">
        <f t="shared" si="20"/>
        <v>-0.10136126368939989</v>
      </c>
    </row>
    <row r="198" spans="1:12" x14ac:dyDescent="0.35">
      <c r="A198" s="5" t="s">
        <v>500</v>
      </c>
      <c r="B198" s="22">
        <v>1870.3</v>
      </c>
      <c r="C198" s="10">
        <v>25.5</v>
      </c>
      <c r="D198" s="23">
        <f t="shared" si="21"/>
        <v>-6.6390482260463143E-3</v>
      </c>
      <c r="E198" s="11">
        <f t="shared" si="22"/>
        <v>-3.1890660592255121E-2</v>
      </c>
      <c r="F198" s="24">
        <f>(B198-$B$2)/$B$2</f>
        <v>0.22393822393822399</v>
      </c>
      <c r="G198" s="11">
        <f t="shared" si="23"/>
        <v>0.41305552477003221</v>
      </c>
      <c r="H198" s="25">
        <f t="shared" si="18"/>
        <v>73.345098039215685</v>
      </c>
      <c r="I198" s="26">
        <f>MAX($B$2:B198)</f>
        <v>2069.4</v>
      </c>
      <c r="J198" s="27">
        <f t="shared" si="19"/>
        <v>-9.621146225959222E-2</v>
      </c>
      <c r="K198" s="10">
        <f>MAX($C$2:C198)</f>
        <v>29.311</v>
      </c>
      <c r="L198" s="11">
        <f t="shared" si="20"/>
        <v>-0.13001944662413428</v>
      </c>
    </row>
    <row r="199" spans="1:12" x14ac:dyDescent="0.35">
      <c r="A199" s="5" t="s">
        <v>502</v>
      </c>
      <c r="B199" s="22">
        <v>1878.1</v>
      </c>
      <c r="C199" s="10">
        <v>25.885000000000002</v>
      </c>
      <c r="D199" s="23">
        <f t="shared" si="21"/>
        <v>4.1704539378709053E-3</v>
      </c>
      <c r="E199" s="11">
        <f t="shared" si="22"/>
        <v>1.5098039215686336E-2</v>
      </c>
      <c r="F199" s="24">
        <f>(B199-$B$2)/$B$2</f>
        <v>0.22904260192395787</v>
      </c>
      <c r="G199" s="11">
        <f t="shared" si="23"/>
        <v>0.43438989249695237</v>
      </c>
      <c r="H199" s="25">
        <f t="shared" si="18"/>
        <v>72.5555340931041</v>
      </c>
      <c r="I199" s="26">
        <f>MAX($B$2:B199)</f>
        <v>2069.4</v>
      </c>
      <c r="J199" s="27">
        <f t="shared" si="19"/>
        <v>-9.2442253793370149E-2</v>
      </c>
      <c r="K199" s="10">
        <f>MAX($C$2:C199)</f>
        <v>29.311</v>
      </c>
      <c r="L199" s="11">
        <f t="shared" si="20"/>
        <v>-0.11688444611238097</v>
      </c>
    </row>
    <row r="200" spans="1:12" x14ac:dyDescent="0.35">
      <c r="A200" s="5" t="s">
        <v>505</v>
      </c>
      <c r="B200" s="22">
        <v>1880.4</v>
      </c>
      <c r="C200" s="10">
        <v>26.51</v>
      </c>
      <c r="D200" s="23">
        <f t="shared" si="21"/>
        <v>1.2246419253501848E-3</v>
      </c>
      <c r="E200" s="11">
        <f t="shared" si="22"/>
        <v>2.4145257871354065E-2</v>
      </c>
      <c r="F200" s="24">
        <f>(B200-$B$2)/$B$2</f>
        <v>0.23054773902231543</v>
      </c>
      <c r="G200" s="11">
        <f t="shared" si="23"/>
        <v>0.46902360633935514</v>
      </c>
      <c r="H200" s="25">
        <f t="shared" si="18"/>
        <v>70.931723877781963</v>
      </c>
      <c r="I200" s="26">
        <f>MAX($B$2:B200)</f>
        <v>2069.4</v>
      </c>
      <c r="J200" s="27">
        <f t="shared" si="19"/>
        <v>-9.1330820527689177E-2</v>
      </c>
      <c r="K200" s="10">
        <f>MAX($C$2:C200)</f>
        <v>29.311</v>
      </c>
      <c r="L200" s="11">
        <f t="shared" si="20"/>
        <v>-9.5561393333560729E-2</v>
      </c>
    </row>
    <row r="201" spans="1:12" x14ac:dyDescent="0.35">
      <c r="A201" s="5" t="s">
        <v>507</v>
      </c>
      <c r="B201" s="22">
        <v>1882.9</v>
      </c>
      <c r="C201" s="10">
        <v>26.183</v>
      </c>
      <c r="D201" s="23">
        <f t="shared" si="21"/>
        <v>1.3295043607743032E-3</v>
      </c>
      <c r="E201" s="11">
        <f t="shared" si="22"/>
        <v>-1.2334967936627752E-2</v>
      </c>
      <c r="F201" s="24">
        <f>(B201-$B$2)/$B$2</f>
        <v>0.23218375760748655</v>
      </c>
      <c r="G201" s="11">
        <f t="shared" si="23"/>
        <v>0.45090324725700992</v>
      </c>
      <c r="H201" s="25">
        <f t="shared" si="18"/>
        <v>71.913073368216018</v>
      </c>
      <c r="I201" s="26">
        <f>MAX($B$2:B201)</f>
        <v>2069.4</v>
      </c>
      <c r="J201" s="27">
        <f t="shared" si="19"/>
        <v>-9.0122740891079536E-2</v>
      </c>
      <c r="K201" s="10">
        <f>MAX($C$2:C201)</f>
        <v>29.311</v>
      </c>
      <c r="L201" s="11">
        <f t="shared" si="20"/>
        <v>-0.10671761454743953</v>
      </c>
    </row>
    <row r="202" spans="1:12" x14ac:dyDescent="0.35">
      <c r="A202" s="5" t="s">
        <v>509</v>
      </c>
      <c r="B202" s="22">
        <v>1893.4</v>
      </c>
      <c r="C202" s="10">
        <v>26.573</v>
      </c>
      <c r="D202" s="23">
        <f t="shared" si="21"/>
        <v>5.5765043284295495E-3</v>
      </c>
      <c r="E202" s="11">
        <f t="shared" si="22"/>
        <v>1.4895160982316791E-2</v>
      </c>
      <c r="F202" s="24">
        <f>(B202-$B$2)/$B$2</f>
        <v>0.23905503566520528</v>
      </c>
      <c r="G202" s="11">
        <f t="shared" si="23"/>
        <v>0.47251468469466923</v>
      </c>
      <c r="H202" s="25">
        <f t="shared" si="18"/>
        <v>71.252775373499418</v>
      </c>
      <c r="I202" s="26">
        <f>MAX($B$2:B202)</f>
        <v>2069.4</v>
      </c>
      <c r="J202" s="27">
        <f t="shared" si="19"/>
        <v>-8.5048806417319031E-2</v>
      </c>
      <c r="K202" s="10">
        <f>MAX($C$2:C202)</f>
        <v>29.311</v>
      </c>
      <c r="L202" s="11">
        <f t="shared" si="20"/>
        <v>-9.3412029613455683E-2</v>
      </c>
    </row>
    <row r="203" spans="1:12" x14ac:dyDescent="0.35">
      <c r="A203" s="5" t="s">
        <v>513</v>
      </c>
      <c r="B203" s="22">
        <v>1946.6</v>
      </c>
      <c r="C203" s="10">
        <v>27.364000000000001</v>
      </c>
      <c r="D203" s="23">
        <f t="shared" si="21"/>
        <v>2.8097602197105637E-2</v>
      </c>
      <c r="E203" s="11">
        <f t="shared" si="22"/>
        <v>2.9767056786964226E-2</v>
      </c>
      <c r="F203" s="24">
        <f>(B203-$B$2)/$B$2</f>
        <v>0.27386951115764679</v>
      </c>
      <c r="G203" s="11">
        <f t="shared" si="23"/>
        <v>0.51634711293361424</v>
      </c>
      <c r="H203" s="25">
        <f t="shared" si="18"/>
        <v>71.137260634410168</v>
      </c>
      <c r="I203" s="26">
        <f>MAX($B$2:B203)</f>
        <v>2069.4</v>
      </c>
      <c r="J203" s="27">
        <f t="shared" si="19"/>
        <v>-5.934087175026586E-2</v>
      </c>
      <c r="K203" s="10">
        <f>MAX($C$2:C203)</f>
        <v>29.311</v>
      </c>
      <c r="L203" s="11">
        <f t="shared" si="20"/>
        <v>-6.642557401658078E-2</v>
      </c>
    </row>
    <row r="204" spans="1:12" x14ac:dyDescent="0.35">
      <c r="A204" s="5" t="s">
        <v>515</v>
      </c>
      <c r="B204" s="22">
        <v>1954.4</v>
      </c>
      <c r="C204" s="10">
        <v>27.64</v>
      </c>
      <c r="D204" s="23">
        <f t="shared" si="21"/>
        <v>4.0069865406350469E-3</v>
      </c>
      <c r="E204" s="11">
        <f t="shared" si="22"/>
        <v>1.0086244701067087E-2</v>
      </c>
      <c r="F204" s="24">
        <f>(B204-$B$2)/$B$2</f>
        <v>0.27897388914338078</v>
      </c>
      <c r="G204" s="11">
        <f t="shared" si="23"/>
        <v>0.53164136096641923</v>
      </c>
      <c r="H204" s="25">
        <f t="shared" si="18"/>
        <v>70.709117221418239</v>
      </c>
      <c r="I204" s="26">
        <f>MAX($B$2:B204)</f>
        <v>2069.4</v>
      </c>
      <c r="J204" s="27">
        <f t="shared" si="19"/>
        <v>-5.5571663284043685E-2</v>
      </c>
      <c r="K204" s="10">
        <f>MAX($C$2:C204)</f>
        <v>29.311</v>
      </c>
      <c r="L204" s="11">
        <f t="shared" si="20"/>
        <v>-5.7009313909453768E-2</v>
      </c>
    </row>
    <row r="205" spans="1:12" x14ac:dyDescent="0.35">
      <c r="A205" s="5" t="s">
        <v>517</v>
      </c>
      <c r="B205" s="22">
        <v>1908.6</v>
      </c>
      <c r="C205" s="10">
        <v>27.042000000000002</v>
      </c>
      <c r="D205" s="23">
        <f t="shared" si="21"/>
        <v>-2.3434302087597308E-2</v>
      </c>
      <c r="E205" s="11">
        <f t="shared" si="22"/>
        <v>-2.1635311143270584E-2</v>
      </c>
      <c r="F205" s="24">
        <f>(B205-$B$2)/$B$2</f>
        <v>0.24900202866304563</v>
      </c>
      <c r="G205" s="11">
        <f t="shared" si="23"/>
        <v>0.49850382356200834</v>
      </c>
      <c r="H205" s="25">
        <f t="shared" si="18"/>
        <v>70.579099179054793</v>
      </c>
      <c r="I205" s="26">
        <f>MAX($B$2:B205)</f>
        <v>2069.4</v>
      </c>
      <c r="J205" s="27">
        <f t="shared" si="19"/>
        <v>-7.7703682226732476E-2</v>
      </c>
      <c r="K205" s="10">
        <f>MAX($C$2:C205)</f>
        <v>29.311</v>
      </c>
      <c r="L205" s="11">
        <f t="shared" si="20"/>
        <v>-7.7411210808228936E-2</v>
      </c>
    </row>
    <row r="206" spans="1:12" x14ac:dyDescent="0.35">
      <c r="A206" s="5" t="s">
        <v>519</v>
      </c>
      <c r="B206" s="22">
        <v>1913.6</v>
      </c>
      <c r="C206" s="10">
        <v>27.260999999999999</v>
      </c>
      <c r="D206" s="23">
        <f t="shared" si="21"/>
        <v>2.6197212616577599E-3</v>
      </c>
      <c r="E206" s="11">
        <f t="shared" si="22"/>
        <v>8.098513423563259E-3</v>
      </c>
      <c r="F206" s="24">
        <f>(B206-$B$2)/$B$2</f>
        <v>0.25227406583338791</v>
      </c>
      <c r="G206" s="11">
        <f t="shared" si="23"/>
        <v>0.51063947689238609</v>
      </c>
      <c r="H206" s="25">
        <f t="shared" si="18"/>
        <v>70.195517405817839</v>
      </c>
      <c r="I206" s="26">
        <f>MAX($B$2:B206)</f>
        <v>2069.4</v>
      </c>
      <c r="J206" s="27">
        <f t="shared" si="19"/>
        <v>-7.5287522953513181E-2</v>
      </c>
      <c r="K206" s="10">
        <f>MAX($C$2:C206)</f>
        <v>29.311</v>
      </c>
      <c r="L206" s="11">
        <f t="shared" si="20"/>
        <v>-6.9939613114530411E-2</v>
      </c>
    </row>
    <row r="207" spans="1:12" x14ac:dyDescent="0.35">
      <c r="A207" s="5" t="s">
        <v>523</v>
      </c>
      <c r="B207" s="22">
        <v>1850.8</v>
      </c>
      <c r="C207" s="10">
        <v>25.283999999999999</v>
      </c>
      <c r="D207" s="23">
        <f t="shared" si="21"/>
        <v>-3.2817725752508339E-2</v>
      </c>
      <c r="E207" s="11">
        <f t="shared" si="22"/>
        <v>-7.2521184109166956E-2</v>
      </c>
      <c r="F207" s="24">
        <f>(B207-$B$2)/$B$2</f>
        <v>0.21117727897388919</v>
      </c>
      <c r="G207" s="11">
        <f t="shared" si="23"/>
        <v>0.40108611326609772</v>
      </c>
      <c r="H207" s="25">
        <f t="shared" si="18"/>
        <v>73.200442967884825</v>
      </c>
      <c r="I207" s="26">
        <f>MAX($B$2:B207)</f>
        <v>2069.4</v>
      </c>
      <c r="J207" s="27">
        <f t="shared" si="19"/>
        <v>-0.10563448342514745</v>
      </c>
      <c r="K207" s="10">
        <f>MAX($C$2:C207)</f>
        <v>29.311</v>
      </c>
      <c r="L207" s="11">
        <f t="shared" si="20"/>
        <v>-0.1373886936644946</v>
      </c>
    </row>
    <row r="208" spans="1:12" x14ac:dyDescent="0.35">
      <c r="A208" s="5" t="s">
        <v>525</v>
      </c>
      <c r="B208" s="22">
        <v>1844.2</v>
      </c>
      <c r="C208" s="10">
        <v>25.434999999999999</v>
      </c>
      <c r="D208" s="23">
        <f t="shared" si="21"/>
        <v>-3.5660255024853628E-3</v>
      </c>
      <c r="E208" s="11">
        <f t="shared" si="22"/>
        <v>5.9721563043822106E-3</v>
      </c>
      <c r="F208" s="24">
        <f>(B208-$B$2)/$B$2</f>
        <v>0.20685818990903748</v>
      </c>
      <c r="G208" s="11">
        <f t="shared" si="23"/>
        <v>0.40945361853042223</v>
      </c>
      <c r="H208" s="25">
        <f t="shared" si="18"/>
        <v>72.50638883428347</v>
      </c>
      <c r="I208" s="26">
        <f>MAX($B$2:B208)</f>
        <v>2069.4</v>
      </c>
      <c r="J208" s="27">
        <f t="shared" si="19"/>
        <v>-0.10882381366579687</v>
      </c>
      <c r="K208" s="10">
        <f>MAX($C$2:C208)</f>
        <v>29.311</v>
      </c>
      <c r="L208" s="11">
        <f t="shared" si="20"/>
        <v>-0.13223704411313164</v>
      </c>
    </row>
    <row r="209" spans="1:12" x14ac:dyDescent="0.35">
      <c r="A209" s="5" t="s">
        <v>527</v>
      </c>
      <c r="B209" s="22">
        <v>1854.9</v>
      </c>
      <c r="C209" s="10">
        <v>25.571999999999999</v>
      </c>
      <c r="D209" s="23">
        <f t="shared" si="21"/>
        <v>5.8019737555579896E-3</v>
      </c>
      <c r="E209" s="11">
        <f t="shared" si="22"/>
        <v>5.3862787497542938E-3</v>
      </c>
      <c r="F209" s="24">
        <f>(B209-$B$2)/$B$2</f>
        <v>0.21386034945356994</v>
      </c>
      <c r="G209" s="11">
        <f t="shared" si="23"/>
        <v>0.41704532860467691</v>
      </c>
      <c r="H209" s="25">
        <f t="shared" si="18"/>
        <v>72.536367902393252</v>
      </c>
      <c r="I209" s="26">
        <f>MAX($B$2:B209)</f>
        <v>2069.4</v>
      </c>
      <c r="J209" s="27">
        <f t="shared" si="19"/>
        <v>-0.10365323282110757</v>
      </c>
      <c r="K209" s="10">
        <f>MAX($C$2:C209)</f>
        <v>29.311</v>
      </c>
      <c r="L209" s="11">
        <f t="shared" si="20"/>
        <v>-0.12756303094401422</v>
      </c>
    </row>
    <row r="210" spans="1:12" x14ac:dyDescent="0.35">
      <c r="A210" s="5" t="s">
        <v>529</v>
      </c>
      <c r="B210" s="22">
        <v>1851.4</v>
      </c>
      <c r="C210" s="10">
        <v>25.802</v>
      </c>
      <c r="D210" s="23">
        <f t="shared" si="21"/>
        <v>-1.886894172192571E-3</v>
      </c>
      <c r="E210" s="11">
        <f t="shared" si="22"/>
        <v>8.9942124198342105E-3</v>
      </c>
      <c r="F210" s="24">
        <f>(B210-$B$2)/$B$2</f>
        <v>0.21156992343433034</v>
      </c>
      <c r="G210" s="11">
        <f t="shared" si="23"/>
        <v>0.42979053529868116</v>
      </c>
      <c r="H210" s="25">
        <f t="shared" si="18"/>
        <v>71.754127587008767</v>
      </c>
      <c r="I210" s="26">
        <f>MAX($B$2:B210)</f>
        <v>2069.4</v>
      </c>
      <c r="J210" s="27">
        <f t="shared" si="19"/>
        <v>-0.10534454431236107</v>
      </c>
      <c r="K210" s="10">
        <f>MAX($C$2:C210)</f>
        <v>29.311</v>
      </c>
      <c r="L210" s="11">
        <f t="shared" si="20"/>
        <v>-0.11971614752140836</v>
      </c>
    </row>
    <row r="211" spans="1:12" x14ac:dyDescent="0.35">
      <c r="A211" s="5" t="s">
        <v>535</v>
      </c>
      <c r="B211" s="22">
        <v>1840.2</v>
      </c>
      <c r="C211" s="10">
        <v>25.32</v>
      </c>
      <c r="D211" s="23">
        <f t="shared" si="21"/>
        <v>-6.0494760721616315E-3</v>
      </c>
      <c r="E211" s="11">
        <f t="shared" si="22"/>
        <v>-1.8680722424618219E-2</v>
      </c>
      <c r="F211" s="24">
        <f>(B211-$B$2)/$B$2</f>
        <v>0.20424056017276365</v>
      </c>
      <c r="G211" s="11">
        <f t="shared" si="23"/>
        <v>0.40308101518342021</v>
      </c>
      <c r="H211" s="25">
        <f t="shared" si="18"/>
        <v>72.677725118483409</v>
      </c>
      <c r="I211" s="26">
        <f>MAX($B$2:B211)</f>
        <v>2069.4</v>
      </c>
      <c r="J211" s="27">
        <f t="shared" si="19"/>
        <v>-0.11075674108437229</v>
      </c>
      <c r="K211" s="10">
        <f>MAX($C$2:C211)</f>
        <v>29.311</v>
      </c>
      <c r="L211" s="11">
        <f t="shared" si="20"/>
        <v>-0.13616048582443449</v>
      </c>
    </row>
    <row r="212" spans="1:12" x14ac:dyDescent="0.35">
      <c r="A212" s="5" t="s">
        <v>536</v>
      </c>
      <c r="B212" s="22">
        <v>1866.5</v>
      </c>
      <c r="C212" s="10">
        <v>25.765999999999998</v>
      </c>
      <c r="D212" s="23">
        <f t="shared" si="21"/>
        <v>1.4291924790783585E-2</v>
      </c>
      <c r="E212" s="11">
        <f t="shared" si="22"/>
        <v>1.7614533965244785E-2</v>
      </c>
      <c r="F212" s="24">
        <f>(B212-$B$2)/$B$2</f>
        <v>0.22145147568876389</v>
      </c>
      <c r="G212" s="11">
        <f t="shared" si="23"/>
        <v>0.42779563338135868</v>
      </c>
      <c r="H212" s="25">
        <f t="shared" si="18"/>
        <v>72.440425366762412</v>
      </c>
      <c r="I212" s="26">
        <f>MAX($B$2:B212)</f>
        <v>2069.4</v>
      </c>
      <c r="J212" s="27">
        <f t="shared" si="19"/>
        <v>-9.8047743307238852E-2</v>
      </c>
      <c r="K212" s="10">
        <f>MAX($C$2:C212)</f>
        <v>29.311</v>
      </c>
      <c r="L212" s="11">
        <f t="shared" si="20"/>
        <v>-0.12094435536146846</v>
      </c>
    </row>
    <row r="213" spans="1:12" x14ac:dyDescent="0.35">
      <c r="A213" s="5" t="s">
        <v>538</v>
      </c>
      <c r="B213" s="22">
        <v>1865.9</v>
      </c>
      <c r="C213" s="10">
        <v>25.853999999999999</v>
      </c>
      <c r="D213" s="23">
        <f t="shared" si="21"/>
        <v>-3.2145727297075221E-4</v>
      </c>
      <c r="E213" s="11">
        <f t="shared" si="22"/>
        <v>3.4153535667158647E-3</v>
      </c>
      <c r="F213" s="24">
        <f>(B213-$B$2)/$B$2</f>
        <v>0.2210588312283229</v>
      </c>
      <c r="G213" s="11">
        <f t="shared" si="23"/>
        <v>0.43267206029036909</v>
      </c>
      <c r="H213" s="25">
        <f t="shared" si="18"/>
        <v>72.17065057631315</v>
      </c>
      <c r="I213" s="26">
        <f>MAX($B$2:B213)</f>
        <v>2069.4</v>
      </c>
      <c r="J213" s="27">
        <f t="shared" si="19"/>
        <v>-9.8337682420025121E-2</v>
      </c>
      <c r="K213" s="10">
        <f>MAX($C$2:C213)</f>
        <v>29.311</v>
      </c>
      <c r="L213" s="11">
        <f t="shared" si="20"/>
        <v>-0.11794206953021052</v>
      </c>
    </row>
    <row r="214" spans="1:12" x14ac:dyDescent="0.35">
      <c r="A214" s="5" t="s">
        <v>542</v>
      </c>
      <c r="B214" s="22">
        <v>1855.2</v>
      </c>
      <c r="C214" s="10">
        <v>25.484000000000002</v>
      </c>
      <c r="D214" s="23">
        <f t="shared" si="21"/>
        <v>-5.7344980974328979E-3</v>
      </c>
      <c r="E214" s="11">
        <f t="shared" si="22"/>
        <v>-1.4311131739769375E-2</v>
      </c>
      <c r="F214" s="24">
        <f>(B214-$B$2)/$B$2</f>
        <v>0.21405667168379042</v>
      </c>
      <c r="G214" s="11">
        <f t="shared" si="23"/>
        <v>0.41216890169566678</v>
      </c>
      <c r="H214" s="25">
        <f t="shared" si="18"/>
        <v>72.798618741170927</v>
      </c>
      <c r="I214" s="26">
        <f>MAX($B$2:B214)</f>
        <v>2069.4</v>
      </c>
      <c r="J214" s="27">
        <f t="shared" si="19"/>
        <v>-0.10350826326471443</v>
      </c>
      <c r="K214" s="10">
        <f>MAX($C$2:C214)</f>
        <v>29.311</v>
      </c>
      <c r="L214" s="11">
        <f t="shared" si="20"/>
        <v>-0.13056531677527203</v>
      </c>
    </row>
    <row r="215" spans="1:12" x14ac:dyDescent="0.35">
      <c r="A215" s="5" t="s">
        <v>544</v>
      </c>
      <c r="B215" s="22">
        <v>1850.9</v>
      </c>
      <c r="C215" s="10">
        <v>25.538</v>
      </c>
      <c r="D215" s="23">
        <f t="shared" si="21"/>
        <v>-2.317809400603684E-3</v>
      </c>
      <c r="E215" s="11">
        <f t="shared" si="22"/>
        <v>2.118976612776585E-3</v>
      </c>
      <c r="F215" s="24">
        <f>(B215-$B$2)/$B$2</f>
        <v>0.21124271971729611</v>
      </c>
      <c r="G215" s="11">
        <f t="shared" si="23"/>
        <v>0.41516125457165032</v>
      </c>
      <c r="H215" s="25">
        <f t="shared" si="18"/>
        <v>72.476309812827949</v>
      </c>
      <c r="I215" s="26">
        <f>MAX($B$2:B215)</f>
        <v>2069.4</v>
      </c>
      <c r="J215" s="27">
        <f t="shared" si="19"/>
        <v>-0.10558616023968299</v>
      </c>
      <c r="K215" s="10">
        <f>MAX($C$2:C215)</f>
        <v>29.311</v>
      </c>
      <c r="L215" s="11">
        <f t="shared" si="20"/>
        <v>-0.128723005015182</v>
      </c>
    </row>
    <row r="216" spans="1:12" x14ac:dyDescent="0.35">
      <c r="A216" s="5" t="s">
        <v>546</v>
      </c>
      <c r="B216" s="22">
        <v>1844.9</v>
      </c>
      <c r="C216" s="10">
        <v>25.388999999999999</v>
      </c>
      <c r="D216" s="23">
        <f t="shared" si="21"/>
        <v>-3.2416662164352476E-3</v>
      </c>
      <c r="E216" s="11">
        <f t="shared" si="22"/>
        <v>-5.8344427911348152E-3</v>
      </c>
      <c r="F216" s="24">
        <f>(B216-$B$2)/$B$2</f>
        <v>0.20731627511288542</v>
      </c>
      <c r="G216" s="11">
        <f t="shared" si="23"/>
        <v>0.40690457719162143</v>
      </c>
      <c r="H216" s="25">
        <f t="shared" si="18"/>
        <v>72.665327504037194</v>
      </c>
      <c r="I216" s="26">
        <f>MAX($B$2:B216)</f>
        <v>2069.4</v>
      </c>
      <c r="J216" s="27">
        <f t="shared" si="19"/>
        <v>-0.10848555136754615</v>
      </c>
      <c r="K216" s="10">
        <f>MAX($C$2:C216)</f>
        <v>29.311</v>
      </c>
      <c r="L216" s="11">
        <f t="shared" si="20"/>
        <v>-0.13380642079765279</v>
      </c>
    </row>
    <row r="217" spans="1:12" x14ac:dyDescent="0.35">
      <c r="A217" s="5" t="s">
        <v>548</v>
      </c>
      <c r="B217" s="22">
        <v>1841.2</v>
      </c>
      <c r="C217" s="10">
        <v>25.945</v>
      </c>
      <c r="D217" s="23">
        <f t="shared" si="21"/>
        <v>-2.0055287549460921E-3</v>
      </c>
      <c r="E217" s="11">
        <f t="shared" si="22"/>
        <v>2.1899247705699357E-2</v>
      </c>
      <c r="F217" s="24">
        <f>(B217-$B$2)/$B$2</f>
        <v>0.20489496760683212</v>
      </c>
      <c r="G217" s="11">
        <f t="shared" si="23"/>
        <v>0.43771472902582298</v>
      </c>
      <c r="H217" s="25">
        <f t="shared" si="18"/>
        <v>70.965503950664868</v>
      </c>
      <c r="I217" s="26">
        <f>MAX($B$2:B217)</f>
        <v>2069.4</v>
      </c>
      <c r="J217" s="27">
        <f t="shared" si="19"/>
        <v>-0.11027350922972844</v>
      </c>
      <c r="K217" s="10">
        <f>MAX($C$2:C217)</f>
        <v>29.311</v>
      </c>
      <c r="L217" s="11">
        <f t="shared" si="20"/>
        <v>-0.11483743304561427</v>
      </c>
    </row>
    <row r="218" spans="1:12" x14ac:dyDescent="0.35">
      <c r="A218" s="5" t="s">
        <v>552</v>
      </c>
      <c r="B218" s="22">
        <v>1863.9</v>
      </c>
      <c r="C218" s="10">
        <v>29.440999999999999</v>
      </c>
      <c r="D218" s="23">
        <f t="shared" si="21"/>
        <v>1.2328915924397157E-2</v>
      </c>
      <c r="E218" s="11">
        <f t="shared" si="22"/>
        <v>0.13474657930237036</v>
      </c>
      <c r="F218" s="24">
        <f>(B218-$B$2)/$B$2</f>
        <v>0.21975001636018598</v>
      </c>
      <c r="G218" s="11">
        <f t="shared" si="23"/>
        <v>0.63144187077468694</v>
      </c>
      <c r="H218" s="25">
        <f t="shared" si="18"/>
        <v>63.309670187833298</v>
      </c>
      <c r="I218" s="26">
        <f>MAX($B$2:B218)</f>
        <v>2069.4</v>
      </c>
      <c r="J218" s="27">
        <f t="shared" si="19"/>
        <v>-9.9304146129312834E-2</v>
      </c>
      <c r="K218" s="10">
        <f>MAX($C$2:C218)</f>
        <v>29.440999999999999</v>
      </c>
      <c r="L218" s="11">
        <f t="shared" si="20"/>
        <v>0</v>
      </c>
    </row>
    <row r="219" spans="1:12" x14ac:dyDescent="0.35">
      <c r="A219" s="5" t="s">
        <v>554</v>
      </c>
      <c r="B219" s="22">
        <v>1833.4</v>
      </c>
      <c r="C219" s="10">
        <v>26.425999999999998</v>
      </c>
      <c r="D219" s="23">
        <f t="shared" si="21"/>
        <v>-1.6363538816460108E-2</v>
      </c>
      <c r="E219" s="11">
        <f t="shared" si="22"/>
        <v>-0.10240820624299449</v>
      </c>
      <c r="F219" s="24">
        <f>(B219-$B$2)/$B$2</f>
        <v>0.19979058962109822</v>
      </c>
      <c r="G219" s="11">
        <f t="shared" si="23"/>
        <v>0.46436883519893601</v>
      </c>
      <c r="H219" s="25">
        <f t="shared" si="18"/>
        <v>69.378642246272619</v>
      </c>
      <c r="I219" s="26">
        <f>MAX($B$2:B219)</f>
        <v>2069.4</v>
      </c>
      <c r="J219" s="27">
        <f t="shared" si="19"/>
        <v>-0.11404271769595051</v>
      </c>
      <c r="K219" s="10">
        <f>MAX($C$2:C219)</f>
        <v>29.440999999999999</v>
      </c>
      <c r="L219" s="11">
        <f t="shared" si="20"/>
        <v>-0.10240820624299449</v>
      </c>
    </row>
    <row r="220" spans="1:12" x14ac:dyDescent="0.35">
      <c r="A220" s="5" t="s">
        <v>556</v>
      </c>
      <c r="B220" s="22">
        <v>1835.1</v>
      </c>
      <c r="C220" s="10">
        <v>26.914000000000001</v>
      </c>
      <c r="D220" s="23">
        <f t="shared" si="21"/>
        <v>9.2723900949046468E-4</v>
      </c>
      <c r="E220" s="11">
        <f t="shared" si="22"/>
        <v>1.8466661621130823E-2</v>
      </c>
      <c r="F220" s="24">
        <f>(B220-$B$2)/$B$2</f>
        <v>0.20090308225901449</v>
      </c>
      <c r="G220" s="11">
        <f t="shared" si="23"/>
        <v>0.49141083896708426</v>
      </c>
      <c r="H220" s="25">
        <f t="shared" si="18"/>
        <v>68.183844839117185</v>
      </c>
      <c r="I220" s="26">
        <f>MAX($B$2:B220)</f>
        <v>2069.4</v>
      </c>
      <c r="J220" s="27">
        <f t="shared" si="19"/>
        <v>-0.11322122354305604</v>
      </c>
      <c r="K220" s="10">
        <f>MAX($C$2:C220)</f>
        <v>29.440999999999999</v>
      </c>
      <c r="L220" s="11">
        <f t="shared" si="20"/>
        <v>-8.5832682313780023E-2</v>
      </c>
    </row>
    <row r="221" spans="1:12" x14ac:dyDescent="0.35">
      <c r="A221" s="5" t="s">
        <v>558</v>
      </c>
      <c r="B221" s="22">
        <v>1791.2</v>
      </c>
      <c r="C221" s="10">
        <v>26.260999999999999</v>
      </c>
      <c r="D221" s="23">
        <f t="shared" si="21"/>
        <v>-2.3922402048934591E-2</v>
      </c>
      <c r="E221" s="11">
        <f t="shared" si="22"/>
        <v>-2.4262465631270054E-2</v>
      </c>
      <c r="F221" s="24">
        <f>(B221-$B$2)/$B$2</f>
        <v>0.17217459590340956</v>
      </c>
      <c r="G221" s="11">
        <f t="shared" si="23"/>
        <v>0.45522553474454175</v>
      </c>
      <c r="H221" s="25">
        <f t="shared" si="18"/>
        <v>68.207608240356421</v>
      </c>
      <c r="I221" s="26">
        <f>MAX($B$2:B221)</f>
        <v>2069.4</v>
      </c>
      <c r="J221" s="27">
        <f t="shared" si="19"/>
        <v>-0.13443510196192135</v>
      </c>
      <c r="K221" s="10">
        <f>MAX($C$2:C221)</f>
        <v>29.440999999999999</v>
      </c>
      <c r="L221" s="11">
        <f t="shared" si="20"/>
        <v>-0.10801263544037226</v>
      </c>
    </row>
    <row r="222" spans="1:12" x14ac:dyDescent="0.35">
      <c r="A222" s="5" t="s">
        <v>562</v>
      </c>
      <c r="B222" s="22">
        <v>1834.2</v>
      </c>
      <c r="C222" s="10">
        <v>27.588999999999999</v>
      </c>
      <c r="D222" s="23">
        <f t="shared" si="21"/>
        <v>2.4006252791424744E-2</v>
      </c>
      <c r="E222" s="11">
        <f t="shared" si="22"/>
        <v>5.0569285251894421E-2</v>
      </c>
      <c r="F222" s="24">
        <f>(B222-$B$2)/$B$2</f>
        <v>0.20031411556835296</v>
      </c>
      <c r="G222" s="11">
        <f t="shared" si="23"/>
        <v>0.52881524991687912</v>
      </c>
      <c r="H222" s="25">
        <f t="shared" si="18"/>
        <v>66.483018594367323</v>
      </c>
      <c r="I222" s="26">
        <f>MAX($B$2:B222)</f>
        <v>2069.4</v>
      </c>
      <c r="J222" s="27">
        <f t="shared" si="19"/>
        <v>-0.11365613221223544</v>
      </c>
      <c r="K222" s="10">
        <f>MAX($C$2:C222)</f>
        <v>29.440999999999999</v>
      </c>
      <c r="L222" s="11">
        <f t="shared" si="20"/>
        <v>-6.2905471960870901E-2</v>
      </c>
    </row>
    <row r="223" spans="1:12" x14ac:dyDescent="0.35">
      <c r="A223" s="5" t="s">
        <v>564</v>
      </c>
      <c r="B223" s="22">
        <v>1837.5</v>
      </c>
      <c r="C223" s="10">
        <v>27.427</v>
      </c>
      <c r="D223" s="23">
        <f t="shared" si="21"/>
        <v>1.7991494929669363E-3</v>
      </c>
      <c r="E223" s="11">
        <f t="shared" si="22"/>
        <v>-5.8719054695711712E-3</v>
      </c>
      <c r="F223" s="24">
        <f>(B223-$B$2)/$B$2</f>
        <v>0.20247366010077883</v>
      </c>
      <c r="G223" s="11">
        <f t="shared" si="23"/>
        <v>0.51983819128892828</v>
      </c>
      <c r="H223" s="25">
        <f t="shared" si="18"/>
        <v>66.996025813978932</v>
      </c>
      <c r="I223" s="26">
        <f>MAX($B$2:B223)</f>
        <v>2069.4</v>
      </c>
      <c r="J223" s="27">
        <f t="shared" si="19"/>
        <v>-0.11206146709191074</v>
      </c>
      <c r="K223" s="10">
        <f>MAX($C$2:C223)</f>
        <v>29.440999999999999</v>
      </c>
      <c r="L223" s="11">
        <f t="shared" si="20"/>
        <v>-6.8408002445569091E-2</v>
      </c>
    </row>
    <row r="224" spans="1:12" x14ac:dyDescent="0.35">
      <c r="A224" s="5" t="s">
        <v>566</v>
      </c>
      <c r="B224" s="22">
        <v>1842.7</v>
      </c>
      <c r="C224" s="10">
        <v>27.108000000000001</v>
      </c>
      <c r="D224" s="23">
        <f t="shared" si="21"/>
        <v>2.8299319727891404E-3</v>
      </c>
      <c r="E224" s="11">
        <f t="shared" si="22"/>
        <v>-1.1630874685528824E-2</v>
      </c>
      <c r="F224" s="24">
        <f>(B224-$B$2)/$B$2</f>
        <v>0.2058765787579348</v>
      </c>
      <c r="G224" s="11">
        <f t="shared" si="23"/>
        <v>0.50216114374376597</v>
      </c>
      <c r="H224" s="25">
        <f t="shared" si="18"/>
        <v>67.976243175446356</v>
      </c>
      <c r="I224" s="26">
        <f>MAX($B$2:B224)</f>
        <v>2069.4</v>
      </c>
      <c r="J224" s="27">
        <f t="shared" si="19"/>
        <v>-0.10954866144776265</v>
      </c>
      <c r="K224" s="10">
        <f>MAX($C$2:C224)</f>
        <v>29.440999999999999</v>
      </c>
      <c r="L224" s="11">
        <f t="shared" si="20"/>
        <v>-7.9243232227166144E-2</v>
      </c>
    </row>
    <row r="225" spans="1:12" x14ac:dyDescent="0.35">
      <c r="A225" s="5" t="s">
        <v>568</v>
      </c>
      <c r="B225" s="22">
        <v>1826.8</v>
      </c>
      <c r="C225" s="10">
        <v>27.071999999999999</v>
      </c>
      <c r="D225" s="23">
        <f t="shared" si="21"/>
        <v>-8.6286427524828197E-3</v>
      </c>
      <c r="E225" s="11">
        <f t="shared" si="22"/>
        <v>-1.3280212483400237E-3</v>
      </c>
      <c r="F225" s="24">
        <f>(B225-$B$2)/$B$2</f>
        <v>0.19547150055624635</v>
      </c>
      <c r="G225" s="11">
        <f t="shared" si="23"/>
        <v>0.50016624182644354</v>
      </c>
      <c r="H225" s="25">
        <f t="shared" si="18"/>
        <v>67.479314420803789</v>
      </c>
      <c r="I225" s="26">
        <f>MAX($B$2:B225)</f>
        <v>2069.4</v>
      </c>
      <c r="J225" s="27">
        <f t="shared" si="19"/>
        <v>-0.11723204793660004</v>
      </c>
      <c r="K225" s="10">
        <f>MAX($C$2:C225)</f>
        <v>29.440999999999999</v>
      </c>
      <c r="L225" s="11">
        <f t="shared" si="20"/>
        <v>-8.0466016779321345E-2</v>
      </c>
    </row>
    <row r="226" spans="1:12" x14ac:dyDescent="0.35">
      <c r="A226" s="5" t="s">
        <v>574</v>
      </c>
      <c r="B226" s="22">
        <v>1799</v>
      </c>
      <c r="C226" s="10">
        <v>27.341000000000001</v>
      </c>
      <c r="D226" s="23">
        <f t="shared" si="21"/>
        <v>-1.5217867308955526E-2</v>
      </c>
      <c r="E226" s="11">
        <f t="shared" si="22"/>
        <v>9.936465721040259E-3</v>
      </c>
      <c r="F226" s="24">
        <f>(B226-$B$2)/$B$2</f>
        <v>0.17727897388914346</v>
      </c>
      <c r="G226" s="11">
        <f t="shared" si="23"/>
        <v>0.51507259226421376</v>
      </c>
      <c r="H226" s="25">
        <f t="shared" si="18"/>
        <v>65.798617460956066</v>
      </c>
      <c r="I226" s="26">
        <f>MAX($B$2:B226)</f>
        <v>2069.4</v>
      </c>
      <c r="J226" s="27">
        <f t="shared" si="19"/>
        <v>-0.13066589349569926</v>
      </c>
      <c r="K226" s="10">
        <f>MAX($C$2:C226)</f>
        <v>29.440999999999999</v>
      </c>
      <c r="L226" s="11">
        <f t="shared" si="20"/>
        <v>-7.1329098875717464E-2</v>
      </c>
    </row>
    <row r="227" spans="1:12" x14ac:dyDescent="0.35">
      <c r="A227" s="5" t="s">
        <v>575</v>
      </c>
      <c r="B227" s="22">
        <v>1772.8</v>
      </c>
      <c r="C227" s="10">
        <v>27.335000000000001</v>
      </c>
      <c r="D227" s="23">
        <f t="shared" si="21"/>
        <v>-1.4563646470261281E-2</v>
      </c>
      <c r="E227" s="11">
        <f t="shared" si="22"/>
        <v>-2.1945064189313583E-4</v>
      </c>
      <c r="F227" s="24">
        <f>(B227-$B$2)/$B$2</f>
        <v>0.16013349911655</v>
      </c>
      <c r="G227" s="11">
        <f t="shared" si="23"/>
        <v>0.51474010861132669</v>
      </c>
      <c r="H227" s="25">
        <f t="shared" si="18"/>
        <v>64.854582037680629</v>
      </c>
      <c r="I227" s="26">
        <f>MAX($B$2:B227)</f>
        <v>2069.4</v>
      </c>
      <c r="J227" s="27">
        <f t="shared" si="19"/>
        <v>-0.14332656808736838</v>
      </c>
      <c r="K227" s="10">
        <f>MAX($C$2:C227)</f>
        <v>29.440999999999999</v>
      </c>
      <c r="L227" s="11">
        <f t="shared" si="20"/>
        <v>-7.1532896301076662E-2</v>
      </c>
    </row>
    <row r="228" spans="1:12" x14ac:dyDescent="0.35">
      <c r="A228" s="5" t="s">
        <v>577</v>
      </c>
      <c r="B228" s="22">
        <v>1775</v>
      </c>
      <c r="C228" s="10">
        <v>27.097999999999999</v>
      </c>
      <c r="D228" s="23">
        <f t="shared" si="21"/>
        <v>1.2409747292419029E-3</v>
      </c>
      <c r="E228" s="11">
        <f t="shared" si="22"/>
        <v>-8.6702030364002886E-3</v>
      </c>
      <c r="F228" s="24">
        <f>(B228-$B$2)/$B$2</f>
        <v>0.16157319547150062</v>
      </c>
      <c r="G228" s="11">
        <f t="shared" si="23"/>
        <v>0.50160700432228744</v>
      </c>
      <c r="H228" s="25">
        <f t="shared" si="18"/>
        <v>65.502989150490819</v>
      </c>
      <c r="I228" s="26">
        <f>MAX($B$2:B228)</f>
        <v>2069.4</v>
      </c>
      <c r="J228" s="27">
        <f t="shared" si="19"/>
        <v>-0.14226345800715187</v>
      </c>
      <c r="K228" s="10">
        <f>MAX($C$2:C228)</f>
        <v>29.440999999999999</v>
      </c>
      <c r="L228" s="11">
        <f t="shared" si="20"/>
        <v>-7.9582894602764853E-2</v>
      </c>
    </row>
    <row r="229" spans="1:12" x14ac:dyDescent="0.35">
      <c r="A229" s="5" t="s">
        <v>581</v>
      </c>
      <c r="B229" s="22">
        <v>1808.4</v>
      </c>
      <c r="C229" s="10">
        <v>28.111000000000001</v>
      </c>
      <c r="D229" s="23">
        <f t="shared" si="21"/>
        <v>1.8816901408450756E-2</v>
      </c>
      <c r="E229" s="11">
        <f t="shared" si="22"/>
        <v>3.7382832681378764E-2</v>
      </c>
      <c r="F229" s="24">
        <f>(B229-$B$2)/$B$2</f>
        <v>0.18343040376938696</v>
      </c>
      <c r="G229" s="11">
        <f t="shared" si="23"/>
        <v>0.55774132771805396</v>
      </c>
      <c r="H229" s="25">
        <f t="shared" si="18"/>
        <v>64.330689054106941</v>
      </c>
      <c r="I229" s="26">
        <f>MAX($B$2:B229)</f>
        <v>2069.4</v>
      </c>
      <c r="J229" s="27">
        <f t="shared" si="19"/>
        <v>-0.12612351406204697</v>
      </c>
      <c r="K229" s="10">
        <f>MAX($C$2:C229)</f>
        <v>29.440999999999999</v>
      </c>
      <c r="L229" s="11">
        <f t="shared" si="20"/>
        <v>-4.5175095954621047E-2</v>
      </c>
    </row>
    <row r="230" spans="1:12" x14ac:dyDescent="0.35">
      <c r="A230" s="5" t="s">
        <v>583</v>
      </c>
      <c r="B230" s="22">
        <v>1805.9</v>
      </c>
      <c r="C230" s="10">
        <v>27.716999999999999</v>
      </c>
      <c r="D230" s="23">
        <f t="shared" si="21"/>
        <v>-1.382437513824375E-3</v>
      </c>
      <c r="E230" s="11">
        <f t="shared" si="22"/>
        <v>-1.4015865675358468E-2</v>
      </c>
      <c r="F230" s="24">
        <f>(B230-$B$2)/$B$2</f>
        <v>0.18179438518421581</v>
      </c>
      <c r="G230" s="11">
        <f t="shared" si="23"/>
        <v>0.53590823451180314</v>
      </c>
      <c r="H230" s="25">
        <f t="shared" si="18"/>
        <v>65.154959050402283</v>
      </c>
      <c r="I230" s="26">
        <f>MAX($B$2:B230)</f>
        <v>2069.4</v>
      </c>
      <c r="J230" s="27">
        <f t="shared" si="19"/>
        <v>-0.1273315936986566</v>
      </c>
      <c r="K230" s="10">
        <f>MAX($C$2:C230)</f>
        <v>29.440999999999999</v>
      </c>
      <c r="L230" s="11">
        <f t="shared" si="20"/>
        <v>-5.8557793553208122E-2</v>
      </c>
    </row>
    <row r="231" spans="1:12" x14ac:dyDescent="0.35">
      <c r="A231" s="5" t="s">
        <v>585</v>
      </c>
      <c r="B231" s="22">
        <v>1797.9</v>
      </c>
      <c r="C231" s="10">
        <v>27.893999999999998</v>
      </c>
      <c r="D231" s="23">
        <f t="shared" si="21"/>
        <v>-4.429924137549144E-3</v>
      </c>
      <c r="E231" s="11">
        <f t="shared" si="22"/>
        <v>6.3859725078471551E-3</v>
      </c>
      <c r="F231" s="24">
        <f>(B231-$B$2)/$B$2</f>
        <v>0.17655912571166821</v>
      </c>
      <c r="G231" s="11">
        <f t="shared" si="23"/>
        <v>0.54571650227197155</v>
      </c>
      <c r="H231" s="25">
        <f t="shared" si="18"/>
        <v>64.454721445472146</v>
      </c>
      <c r="I231" s="26">
        <f>MAX($B$2:B231)</f>
        <v>2069.4</v>
      </c>
      <c r="J231" s="27">
        <f t="shared" si="19"/>
        <v>-0.13119744853580748</v>
      </c>
      <c r="K231" s="10">
        <f>MAX($C$2:C231)</f>
        <v>29.440999999999999</v>
      </c>
      <c r="L231" s="11">
        <f t="shared" si="20"/>
        <v>-5.2545769505111938E-2</v>
      </c>
    </row>
    <row r="232" spans="1:12" x14ac:dyDescent="0.35">
      <c r="A232" s="5" t="s">
        <v>587</v>
      </c>
      <c r="B232" s="22">
        <v>1775.4</v>
      </c>
      <c r="C232" s="10">
        <v>27.684999999999999</v>
      </c>
      <c r="D232" s="23">
        <f t="shared" si="21"/>
        <v>-1.2514600367094944E-2</v>
      </c>
      <c r="E232" s="11">
        <f t="shared" si="22"/>
        <v>-7.4926507492650623E-3</v>
      </c>
      <c r="F232" s="24">
        <f>(B232-$B$2)/$B$2</f>
        <v>0.16183495844512807</v>
      </c>
      <c r="G232" s="11">
        <f t="shared" si="23"/>
        <v>0.53413498836307216</v>
      </c>
      <c r="H232" s="25">
        <f t="shared" si="18"/>
        <v>64.128589488892914</v>
      </c>
      <c r="I232" s="26">
        <f>MAX($B$2:B232)</f>
        <v>2069.4</v>
      </c>
      <c r="J232" s="27">
        <f t="shared" si="19"/>
        <v>-0.14207016526529428</v>
      </c>
      <c r="K232" s="10">
        <f>MAX($C$2:C232)</f>
        <v>29.440999999999999</v>
      </c>
      <c r="L232" s="11">
        <f t="shared" si="20"/>
        <v>-5.9644713155123819E-2</v>
      </c>
    </row>
    <row r="233" spans="1:12" x14ac:dyDescent="0.35">
      <c r="A233" s="5" t="s">
        <v>591</v>
      </c>
      <c r="B233" s="22">
        <v>1723</v>
      </c>
      <c r="C233" s="10">
        <v>26.678000000000001</v>
      </c>
      <c r="D233" s="23">
        <f t="shared" si="21"/>
        <v>-2.9514475611129937E-2</v>
      </c>
      <c r="E233" s="11">
        <f t="shared" si="22"/>
        <v>-3.6373487448076502E-2</v>
      </c>
      <c r="F233" s="24">
        <f>(B233-$B$2)/$B$2</f>
        <v>0.12754400889994116</v>
      </c>
      <c r="G233" s="11">
        <f t="shared" si="23"/>
        <v>0.47833314862019294</v>
      </c>
      <c r="H233" s="25">
        <f t="shared" si="18"/>
        <v>64.585051353174904</v>
      </c>
      <c r="I233" s="26">
        <f>MAX($B$2:B233)</f>
        <v>2069.4</v>
      </c>
      <c r="J233" s="27">
        <f t="shared" si="19"/>
        <v>-0.16739151444863248</v>
      </c>
      <c r="K233" s="10">
        <f>MAX($C$2:C233)</f>
        <v>29.440999999999999</v>
      </c>
      <c r="L233" s="11">
        <f t="shared" si="20"/>
        <v>-9.3848714377908302E-2</v>
      </c>
    </row>
    <row r="234" spans="1:12" x14ac:dyDescent="0.35">
      <c r="A234" s="5" t="s">
        <v>593</v>
      </c>
      <c r="B234" s="22">
        <v>1733.6</v>
      </c>
      <c r="C234" s="10">
        <v>26.879000000000001</v>
      </c>
      <c r="D234" s="23">
        <f t="shared" si="21"/>
        <v>6.1520603598374402E-3</v>
      </c>
      <c r="E234" s="11">
        <f t="shared" si="22"/>
        <v>7.534297923382581E-3</v>
      </c>
      <c r="F234" s="24">
        <f>(B234-$B$2)/$B$2</f>
        <v>0.1344807277010667</v>
      </c>
      <c r="G234" s="11">
        <f t="shared" si="23"/>
        <v>0.48947135099190969</v>
      </c>
      <c r="H234" s="25">
        <f t="shared" si="18"/>
        <v>64.496447040440486</v>
      </c>
      <c r="I234" s="26">
        <f>MAX($B$2:B234)</f>
        <v>2069.4</v>
      </c>
      <c r="J234" s="27">
        <f t="shared" si="19"/>
        <v>-0.16226925678940765</v>
      </c>
      <c r="K234" s="10">
        <f>MAX($C$2:C234)</f>
        <v>29.440999999999999</v>
      </c>
      <c r="L234" s="11">
        <f t="shared" si="20"/>
        <v>-8.7021500628375312E-2</v>
      </c>
    </row>
    <row r="235" spans="1:12" x14ac:dyDescent="0.35">
      <c r="A235" s="5" t="s">
        <v>595</v>
      </c>
      <c r="B235" s="22">
        <v>1715.8</v>
      </c>
      <c r="C235" s="10">
        <v>26.387</v>
      </c>
      <c r="D235" s="23">
        <f t="shared" si="21"/>
        <v>-1.0267651130595268E-2</v>
      </c>
      <c r="E235" s="11">
        <f t="shared" si="22"/>
        <v>-1.8304252390341936E-2</v>
      </c>
      <c r="F235" s="24">
        <f>(B235-$B$2)/$B$2</f>
        <v>0.12283227537464829</v>
      </c>
      <c r="G235" s="11">
        <f t="shared" si="23"/>
        <v>0.46220769145517021</v>
      </c>
      <c r="H235" s="25">
        <f t="shared" si="18"/>
        <v>65.024443854928563</v>
      </c>
      <c r="I235" s="26">
        <f>MAX($B$2:B235)</f>
        <v>2069.4</v>
      </c>
      <c r="J235" s="27">
        <f t="shared" si="19"/>
        <v>-0.1708707838020683</v>
      </c>
      <c r="K235" s="10">
        <f>MAX($C$2:C235)</f>
        <v>29.440999999999999</v>
      </c>
      <c r="L235" s="11">
        <f t="shared" si="20"/>
        <v>-0.10373288950782918</v>
      </c>
    </row>
    <row r="236" spans="1:12" x14ac:dyDescent="0.35">
      <c r="A236" s="5" t="s">
        <v>597</v>
      </c>
      <c r="B236" s="22">
        <v>1700.7</v>
      </c>
      <c r="C236" s="10">
        <v>25.460999999999999</v>
      </c>
      <c r="D236" s="23">
        <f t="shared" si="21"/>
        <v>-8.8005595057698508E-3</v>
      </c>
      <c r="E236" s="11">
        <f t="shared" si="22"/>
        <v>-3.5093038238526622E-2</v>
      </c>
      <c r="F236" s="24">
        <f>(B236-$B$2)/$B$2</f>
        <v>0.11295072312021474</v>
      </c>
      <c r="G236" s="11">
        <f t="shared" si="23"/>
        <v>0.41089438102626619</v>
      </c>
      <c r="H236" s="25">
        <f t="shared" si="18"/>
        <v>66.796276658418762</v>
      </c>
      <c r="I236" s="26">
        <f>MAX($B$2:B236)</f>
        <v>2069.4</v>
      </c>
      <c r="J236" s="27">
        <f t="shared" si="19"/>
        <v>-0.1781675848071905</v>
      </c>
      <c r="K236" s="10">
        <f>MAX($C$2:C236)</f>
        <v>29.440999999999999</v>
      </c>
      <c r="L236" s="11">
        <f t="shared" si="20"/>
        <v>-0.13518562548826468</v>
      </c>
    </row>
    <row r="237" spans="1:12" x14ac:dyDescent="0.35">
      <c r="A237" s="5" t="s">
        <v>601</v>
      </c>
      <c r="B237" s="22">
        <v>1678</v>
      </c>
      <c r="C237" s="10">
        <v>25.268999999999998</v>
      </c>
      <c r="D237" s="23">
        <f t="shared" si="21"/>
        <v>-1.3347445169636058E-2</v>
      </c>
      <c r="E237" s="11">
        <f t="shared" si="22"/>
        <v>-7.5409449746671447E-3</v>
      </c>
      <c r="F237" s="24">
        <f>(B237-$B$2)/$B$2</f>
        <v>9.8095674366860869E-2</v>
      </c>
      <c r="G237" s="11">
        <f t="shared" si="23"/>
        <v>0.40025490413388004</v>
      </c>
      <c r="H237" s="25">
        <f t="shared" si="18"/>
        <v>66.405477066761648</v>
      </c>
      <c r="I237" s="26">
        <f>MAX($B$2:B237)</f>
        <v>2069.4</v>
      </c>
      <c r="J237" s="27">
        <f t="shared" si="19"/>
        <v>-0.1891369479076061</v>
      </c>
      <c r="K237" s="10">
        <f>MAX($C$2:C237)</f>
        <v>29.440999999999999</v>
      </c>
      <c r="L237" s="11">
        <f t="shared" si="20"/>
        <v>-0.14170714309975888</v>
      </c>
    </row>
    <row r="238" spans="1:12" x14ac:dyDescent="0.35">
      <c r="A238" s="5" t="s">
        <v>603</v>
      </c>
      <c r="B238" s="22">
        <v>1716.9</v>
      </c>
      <c r="C238" s="10">
        <v>26.183</v>
      </c>
      <c r="D238" s="23">
        <f t="shared" si="21"/>
        <v>2.318235995232425E-2</v>
      </c>
      <c r="E238" s="11">
        <f t="shared" si="22"/>
        <v>3.6170802168665223E-2</v>
      </c>
      <c r="F238" s="24">
        <f>(B238-$B$2)/$B$2</f>
        <v>0.12355212355212368</v>
      </c>
      <c r="G238" s="11">
        <f t="shared" si="23"/>
        <v>0.45090324725700992</v>
      </c>
      <c r="H238" s="25">
        <f t="shared" si="18"/>
        <v>65.573081770614522</v>
      </c>
      <c r="I238" s="26">
        <f>MAX($B$2:B238)</f>
        <v>2069.4</v>
      </c>
      <c r="J238" s="27">
        <f t="shared" si="19"/>
        <v>-0.17033922876195998</v>
      </c>
      <c r="K238" s="10">
        <f>MAX($C$2:C238)</f>
        <v>29.440999999999999</v>
      </c>
      <c r="L238" s="11">
        <f t="shared" si="20"/>
        <v>-0.11066200197004175</v>
      </c>
    </row>
    <row r="239" spans="1:12" x14ac:dyDescent="0.35">
      <c r="A239" s="5" t="s">
        <v>605</v>
      </c>
      <c r="B239" s="22">
        <v>1721.8</v>
      </c>
      <c r="C239" s="10">
        <v>26.13</v>
      </c>
      <c r="D239" s="23">
        <f t="shared" si="21"/>
        <v>2.8539810122895121E-3</v>
      </c>
      <c r="E239" s="11">
        <f t="shared" si="22"/>
        <v>-2.0242141847764132E-3</v>
      </c>
      <c r="F239" s="24">
        <f>(B239-$B$2)/$B$2</f>
        <v>0.12675871997905899</v>
      </c>
      <c r="G239" s="11">
        <f t="shared" si="23"/>
        <v>0.44796630832317408</v>
      </c>
      <c r="H239" s="25">
        <f t="shared" si="18"/>
        <v>65.893608878683509</v>
      </c>
      <c r="I239" s="26">
        <f>MAX($B$2:B239)</f>
        <v>2069.4</v>
      </c>
      <c r="J239" s="27">
        <f t="shared" si="19"/>
        <v>-0.16797139267420513</v>
      </c>
      <c r="K239" s="10">
        <f>MAX($C$2:C239)</f>
        <v>29.440999999999999</v>
      </c>
      <c r="L239" s="11">
        <f t="shared" si="20"/>
        <v>-0.11246221256071465</v>
      </c>
    </row>
    <row r="240" spans="1:12" x14ac:dyDescent="0.35">
      <c r="A240" s="5" t="s">
        <v>607</v>
      </c>
      <c r="B240" s="22">
        <v>1722.6</v>
      </c>
      <c r="C240" s="10">
        <v>26.193000000000001</v>
      </c>
      <c r="D240" s="23">
        <f t="shared" si="21"/>
        <v>4.6463003833195176E-4</v>
      </c>
      <c r="E240" s="11">
        <f t="shared" si="22"/>
        <v>2.41102181400698E-3</v>
      </c>
      <c r="F240" s="24">
        <f>(B240-$B$2)/$B$2</f>
        <v>0.12728224592631374</v>
      </c>
      <c r="G240" s="11">
        <f t="shared" si="23"/>
        <v>0.45145738667848845</v>
      </c>
      <c r="H240" s="25">
        <f t="shared" si="18"/>
        <v>65.765662581605767</v>
      </c>
      <c r="I240" s="26">
        <f>MAX($B$2:B240)</f>
        <v>2069.4</v>
      </c>
      <c r="J240" s="27">
        <f t="shared" si="19"/>
        <v>-0.16758480719049007</v>
      </c>
      <c r="K240" s="10">
        <f>MAX($C$2:C240)</f>
        <v>29.440999999999999</v>
      </c>
      <c r="L240" s="11">
        <f t="shared" si="20"/>
        <v>-0.11032233959444304</v>
      </c>
    </row>
    <row r="241" spans="1:12" x14ac:dyDescent="0.35">
      <c r="A241" s="5" t="s">
        <v>611</v>
      </c>
      <c r="B241" s="22">
        <v>1729.2</v>
      </c>
      <c r="C241" s="10">
        <v>26.288</v>
      </c>
      <c r="D241" s="23">
        <f t="shared" si="21"/>
        <v>3.8314176245211524E-3</v>
      </c>
      <c r="E241" s="11">
        <f t="shared" si="22"/>
        <v>3.6269232237620304E-3</v>
      </c>
      <c r="F241" s="24">
        <f>(B241-$B$2)/$B$2</f>
        <v>0.13160133499116561</v>
      </c>
      <c r="G241" s="11">
        <f t="shared" si="23"/>
        <v>0.45672171118253357</v>
      </c>
      <c r="H241" s="25">
        <f t="shared" si="18"/>
        <v>65.77906269020086</v>
      </c>
      <c r="I241" s="26">
        <f>MAX($B$2:B241)</f>
        <v>2069.4</v>
      </c>
      <c r="J241" s="27">
        <f t="shared" si="19"/>
        <v>-0.16439547694984055</v>
      </c>
      <c r="K241" s="10">
        <f>MAX($C$2:C241)</f>
        <v>29.440999999999999</v>
      </c>
      <c r="L241" s="11">
        <f t="shared" si="20"/>
        <v>-0.10709554702625586</v>
      </c>
    </row>
    <row r="242" spans="1:12" x14ac:dyDescent="0.35">
      <c r="A242" s="5" t="s">
        <v>613</v>
      </c>
      <c r="B242" s="22">
        <v>1730.9</v>
      </c>
      <c r="C242" s="10">
        <v>26.003</v>
      </c>
      <c r="D242" s="23">
        <f t="shared" si="21"/>
        <v>9.8311357853345213E-4</v>
      </c>
      <c r="E242" s="11">
        <f t="shared" si="22"/>
        <v>-1.0841448569689598E-2</v>
      </c>
      <c r="F242" s="24">
        <f>(B242-$B$2)/$B$2</f>
        <v>0.13271382762908199</v>
      </c>
      <c r="G242" s="11">
        <f t="shared" si="23"/>
        <v>0.44092873767039792</v>
      </c>
      <c r="H242" s="25">
        <f t="shared" si="18"/>
        <v>66.565396300426883</v>
      </c>
      <c r="I242" s="26">
        <f>MAX($B$2:B242)</f>
        <v>2069.4</v>
      </c>
      <c r="J242" s="27">
        <f t="shared" si="19"/>
        <v>-0.16357398279694596</v>
      </c>
      <c r="K242" s="10">
        <f>MAX($C$2:C242)</f>
        <v>29.440999999999999</v>
      </c>
      <c r="L242" s="11">
        <f t="shared" si="20"/>
        <v>-0.11677592473081753</v>
      </c>
    </row>
    <row r="243" spans="1:12" x14ac:dyDescent="0.35">
      <c r="A243" s="5" t="s">
        <v>615</v>
      </c>
      <c r="B243" s="22">
        <v>1727.1</v>
      </c>
      <c r="C243" s="10">
        <v>26.058</v>
      </c>
      <c r="D243" s="23">
        <f t="shared" si="21"/>
        <v>-2.1953896816686012E-3</v>
      </c>
      <c r="E243" s="11">
        <f t="shared" si="22"/>
        <v>2.1151405607045233E-3</v>
      </c>
      <c r="F243" s="24">
        <f>(B243-$B$2)/$B$2</f>
        <v>0.13022707937962177</v>
      </c>
      <c r="G243" s="11">
        <f t="shared" si="23"/>
        <v>0.44397650448852938</v>
      </c>
      <c r="H243" s="25">
        <f t="shared" si="18"/>
        <v>66.279069767441854</v>
      </c>
      <c r="I243" s="26">
        <f>MAX($B$2:B243)</f>
        <v>2069.4</v>
      </c>
      <c r="J243" s="27">
        <f t="shared" si="19"/>
        <v>-0.1654102638445927</v>
      </c>
      <c r="K243" s="10">
        <f>MAX($C$2:C243)</f>
        <v>29.440999999999999</v>
      </c>
      <c r="L243" s="11">
        <f t="shared" si="20"/>
        <v>-0.11490778166502494</v>
      </c>
    </row>
    <row r="244" spans="1:12" x14ac:dyDescent="0.35">
      <c r="A244" s="5" t="s">
        <v>617</v>
      </c>
      <c r="B244" s="22">
        <v>1732.5</v>
      </c>
      <c r="C244" s="10">
        <v>26.350999999999999</v>
      </c>
      <c r="D244" s="23">
        <f t="shared" si="21"/>
        <v>3.126628452318969E-3</v>
      </c>
      <c r="E244" s="11">
        <f t="shared" si="22"/>
        <v>1.1244147670580983E-2</v>
      </c>
      <c r="F244" s="24">
        <f>(B244-$B$2)/$B$2</f>
        <v>0.13376087952359145</v>
      </c>
      <c r="G244" s="11">
        <f t="shared" si="23"/>
        <v>0.46021278953784772</v>
      </c>
      <c r="H244" s="25">
        <f t="shared" si="18"/>
        <v>65.747030473226829</v>
      </c>
      <c r="I244" s="26">
        <f>MAX($B$2:B244)</f>
        <v>2069.4</v>
      </c>
      <c r="J244" s="27">
        <f t="shared" si="19"/>
        <v>-0.16280081182951583</v>
      </c>
      <c r="K244" s="10">
        <f>MAX($C$2:C244)</f>
        <v>29.440999999999999</v>
      </c>
      <c r="L244" s="11">
        <f t="shared" si="20"/>
        <v>-0.10495567405998438</v>
      </c>
    </row>
    <row r="245" spans="1:12" x14ac:dyDescent="0.35">
      <c r="A245" s="5" t="s">
        <v>621</v>
      </c>
      <c r="B245" s="22">
        <v>1738.1</v>
      </c>
      <c r="C245" s="10">
        <v>25.768999999999998</v>
      </c>
      <c r="D245" s="23">
        <f t="shared" si="21"/>
        <v>3.2323232323231798E-3</v>
      </c>
      <c r="E245" s="11">
        <f t="shared" si="22"/>
        <v>-2.2086448332131636E-2</v>
      </c>
      <c r="F245" s="24">
        <f>(B245-$B$2)/$B$2</f>
        <v>0.13742556115437471</v>
      </c>
      <c r="G245" s="11">
        <f t="shared" si="23"/>
        <v>0.42796187520780227</v>
      </c>
      <c r="H245" s="25">
        <f t="shared" si="18"/>
        <v>67.449260739648409</v>
      </c>
      <c r="I245" s="26">
        <f>MAX($B$2:B245)</f>
        <v>2069.4</v>
      </c>
      <c r="J245" s="27">
        <f t="shared" si="19"/>
        <v>-0.16009471344351028</v>
      </c>
      <c r="K245" s="10">
        <f>MAX($C$2:C245)</f>
        <v>29.440999999999999</v>
      </c>
      <c r="L245" s="11">
        <f t="shared" si="20"/>
        <v>-0.12472402431982611</v>
      </c>
    </row>
    <row r="246" spans="1:12" x14ac:dyDescent="0.35">
      <c r="A246" s="5" t="s">
        <v>623</v>
      </c>
      <c r="B246" s="22">
        <v>1725.1</v>
      </c>
      <c r="C246" s="10">
        <v>25.227</v>
      </c>
      <c r="D246" s="23">
        <f t="shared" si="21"/>
        <v>-7.4794315632011974E-3</v>
      </c>
      <c r="E246" s="11">
        <f t="shared" si="22"/>
        <v>-2.1033024176335832E-2</v>
      </c>
      <c r="F246" s="24">
        <f>(B246-$B$2)/$B$2</f>
        <v>0.12891826451148486</v>
      </c>
      <c r="G246" s="11">
        <f t="shared" si="23"/>
        <v>0.3979275185636707</v>
      </c>
      <c r="H246" s="25">
        <f t="shared" si="18"/>
        <v>68.383081618900377</v>
      </c>
      <c r="I246" s="26">
        <f>MAX($B$2:B246)</f>
        <v>2069.4</v>
      </c>
      <c r="J246" s="27">
        <f t="shared" si="19"/>
        <v>-0.16637672755388044</v>
      </c>
      <c r="K246" s="10">
        <f>MAX($C$2:C246)</f>
        <v>29.440999999999999</v>
      </c>
      <c r="L246" s="11">
        <f t="shared" si="20"/>
        <v>-0.14313372507727315</v>
      </c>
    </row>
    <row r="247" spans="1:12" x14ac:dyDescent="0.35">
      <c r="A247" s="5" t="s">
        <v>625</v>
      </c>
      <c r="B247" s="22">
        <v>1733.2</v>
      </c>
      <c r="C247" s="10">
        <v>25.231000000000002</v>
      </c>
      <c r="D247" s="23">
        <f t="shared" si="21"/>
        <v>4.695379977972371E-3</v>
      </c>
      <c r="E247" s="11">
        <f t="shared" si="22"/>
        <v>1.5856027272372202E-4</v>
      </c>
      <c r="F247" s="24">
        <f>(B247-$B$2)/$B$2</f>
        <v>0.13421896472743941</v>
      </c>
      <c r="G247" s="11">
        <f t="shared" si="23"/>
        <v>0.39814917433226216</v>
      </c>
      <c r="H247" s="25">
        <f t="shared" si="18"/>
        <v>68.6932741468828</v>
      </c>
      <c r="I247" s="26">
        <f>MAX($B$2:B247)</f>
        <v>2069.4</v>
      </c>
      <c r="J247" s="27">
        <f t="shared" si="19"/>
        <v>-0.16246254953126513</v>
      </c>
      <c r="K247" s="10">
        <f>MAX($C$2:C247)</f>
        <v>29.440999999999999</v>
      </c>
      <c r="L247" s="11">
        <f t="shared" si="20"/>
        <v>-0.14299786012703364</v>
      </c>
    </row>
    <row r="248" spans="1:12" x14ac:dyDescent="0.35">
      <c r="A248" s="5" t="s">
        <v>627</v>
      </c>
      <c r="B248" s="22">
        <v>1725.1</v>
      </c>
      <c r="C248" s="10">
        <v>25.047000000000001</v>
      </c>
      <c r="D248" s="23">
        <f t="shared" si="21"/>
        <v>-4.673436418186093E-3</v>
      </c>
      <c r="E248" s="11">
        <f t="shared" si="22"/>
        <v>-7.2926162260711445E-3</v>
      </c>
      <c r="F248" s="24">
        <f>(B248-$B$2)/$B$2</f>
        <v>0.12891826451148486</v>
      </c>
      <c r="G248" s="11">
        <f t="shared" si="23"/>
        <v>0.3879530089770587</v>
      </c>
      <c r="H248" s="25">
        <f t="shared" si="18"/>
        <v>68.874515910089031</v>
      </c>
      <c r="I248" s="26">
        <f>MAX($B$2:B248)</f>
        <v>2069.4</v>
      </c>
      <c r="J248" s="27">
        <f t="shared" si="19"/>
        <v>-0.16637672755388044</v>
      </c>
      <c r="K248" s="10">
        <f>MAX($C$2:C248)</f>
        <v>29.440999999999999</v>
      </c>
      <c r="L248" s="11">
        <f t="shared" si="20"/>
        <v>-0.14924764783804892</v>
      </c>
    </row>
    <row r="249" spans="1:12" x14ac:dyDescent="0.35">
      <c r="A249" s="5" t="s">
        <v>631</v>
      </c>
      <c r="B249" s="22">
        <v>1714.6</v>
      </c>
      <c r="C249" s="10">
        <v>24.771000000000001</v>
      </c>
      <c r="D249" s="23">
        <f t="shared" si="21"/>
        <v>-6.0866036751492667E-3</v>
      </c>
      <c r="E249" s="11">
        <f t="shared" si="22"/>
        <v>-1.1019283746556465E-2</v>
      </c>
      <c r="F249" s="24">
        <f>(B249-$B$2)/$B$2</f>
        <v>0.12204698645376612</v>
      </c>
      <c r="G249" s="11">
        <f t="shared" si="23"/>
        <v>0.37265876094425365</v>
      </c>
      <c r="H249" s="25">
        <f t="shared" si="18"/>
        <v>69.218037220943842</v>
      </c>
      <c r="I249" s="26">
        <f>MAX($B$2:B249)</f>
        <v>2069.4</v>
      </c>
      <c r="J249" s="27">
        <f t="shared" si="19"/>
        <v>-0.17145066202764095</v>
      </c>
      <c r="K249" s="10">
        <f>MAX($C$2:C249)</f>
        <v>29.440999999999999</v>
      </c>
      <c r="L249" s="11">
        <f t="shared" si="20"/>
        <v>-0.1586223294045718</v>
      </c>
    </row>
    <row r="250" spans="1:12" x14ac:dyDescent="0.35">
      <c r="A250" s="5" t="s">
        <v>633</v>
      </c>
      <c r="B250" s="22">
        <v>1686</v>
      </c>
      <c r="C250" s="10">
        <v>24.157</v>
      </c>
      <c r="D250" s="23">
        <f t="shared" si="21"/>
        <v>-1.6680275282864757E-2</v>
      </c>
      <c r="E250" s="11">
        <f t="shared" si="22"/>
        <v>-2.4787049372249837E-2</v>
      </c>
      <c r="F250" s="24">
        <f>(B250-$B$2)/$B$2</f>
        <v>0.10333093383940849</v>
      </c>
      <c r="G250" s="11">
        <f t="shared" si="23"/>
        <v>0.33863460046547716</v>
      </c>
      <c r="H250" s="25">
        <f t="shared" si="18"/>
        <v>69.793434615225394</v>
      </c>
      <c r="I250" s="26">
        <f>MAX($B$2:B250)</f>
        <v>2069.4</v>
      </c>
      <c r="J250" s="27">
        <f t="shared" si="19"/>
        <v>-0.18527109307045525</v>
      </c>
      <c r="K250" s="10">
        <f>MAX($C$2:C250)</f>
        <v>29.440999999999999</v>
      </c>
      <c r="L250" s="11">
        <f t="shared" si="20"/>
        <v>-0.17947759926632925</v>
      </c>
    </row>
    <row r="251" spans="1:12" x14ac:dyDescent="0.35">
      <c r="A251" s="5" t="s">
        <v>635</v>
      </c>
      <c r="B251" s="22">
        <v>1715.6</v>
      </c>
      <c r="C251" s="10">
        <v>24.552</v>
      </c>
      <c r="D251" s="23">
        <f t="shared" si="21"/>
        <v>1.7556346381969103E-2</v>
      </c>
      <c r="E251" s="11">
        <f t="shared" si="22"/>
        <v>1.6351368133460262E-2</v>
      </c>
      <c r="F251" s="24">
        <f>(B251-$B$2)/$B$2</f>
        <v>0.12270139388783458</v>
      </c>
      <c r="G251" s="11">
        <f t="shared" si="23"/>
        <v>0.36052310761387568</v>
      </c>
      <c r="H251" s="25">
        <f t="shared" si="18"/>
        <v>69.876181166503741</v>
      </c>
      <c r="I251" s="26">
        <f>MAX($B$2:B251)</f>
        <v>2069.4</v>
      </c>
      <c r="J251" s="27">
        <f t="shared" si="19"/>
        <v>-0.17096743017299709</v>
      </c>
      <c r="K251" s="10">
        <f>MAX($C$2:C251)</f>
        <v>29.440999999999999</v>
      </c>
      <c r="L251" s="11">
        <f t="shared" si="20"/>
        <v>-0.16606093543018238</v>
      </c>
    </row>
    <row r="252" spans="1:12" x14ac:dyDescent="0.35">
      <c r="A252" s="5" t="s">
        <v>639</v>
      </c>
      <c r="B252" s="22">
        <v>1728.8</v>
      </c>
      <c r="C252" s="10">
        <v>24.800999999999998</v>
      </c>
      <c r="D252" s="23">
        <f t="shared" si="21"/>
        <v>7.6941011890883926E-3</v>
      </c>
      <c r="E252" s="11">
        <f t="shared" si="22"/>
        <v>1.0141739980449609E-2</v>
      </c>
      <c r="F252" s="24">
        <f>(B252-$B$2)/$B$2</f>
        <v>0.13133957201753815</v>
      </c>
      <c r="G252" s="11">
        <f t="shared" si="23"/>
        <v>0.37432117920868885</v>
      </c>
      <c r="H252" s="25">
        <f t="shared" si="18"/>
        <v>69.706866658602479</v>
      </c>
      <c r="I252" s="26">
        <f>MAX($B$2:B252)</f>
        <v>2069.4</v>
      </c>
      <c r="J252" s="27">
        <f t="shared" si="19"/>
        <v>-0.16458876969169814</v>
      </c>
      <c r="K252" s="10">
        <f>MAX($C$2:C252)</f>
        <v>29.440999999999999</v>
      </c>
      <c r="L252" s="11">
        <f t="shared" si="20"/>
        <v>-0.15760334227777592</v>
      </c>
    </row>
    <row r="253" spans="1:12" x14ac:dyDescent="0.35">
      <c r="A253" s="5" t="s">
        <v>641</v>
      </c>
      <c r="B253" s="22">
        <v>1743</v>
      </c>
      <c r="C253" s="10">
        <v>25.247</v>
      </c>
      <c r="D253" s="23">
        <f t="shared" si="21"/>
        <v>8.2137899120777683E-3</v>
      </c>
      <c r="E253" s="11">
        <f t="shared" si="22"/>
        <v>1.7983145840893576E-2</v>
      </c>
      <c r="F253" s="24">
        <f>(B253-$B$2)/$B$2</f>
        <v>0.1406321575813102</v>
      </c>
      <c r="G253" s="11">
        <f t="shared" si="23"/>
        <v>0.39903579740662753</v>
      </c>
      <c r="H253" s="25">
        <f t="shared" si="18"/>
        <v>69.037905493722022</v>
      </c>
      <c r="I253" s="26">
        <f>MAX($B$2:B253)</f>
        <v>2069.4</v>
      </c>
      <c r="J253" s="27">
        <f t="shared" si="19"/>
        <v>-0.15772687735575533</v>
      </c>
      <c r="K253" s="10">
        <f>MAX($C$2:C253)</f>
        <v>29.440999999999999</v>
      </c>
      <c r="L253" s="11">
        <f t="shared" si="20"/>
        <v>-0.14245440032607584</v>
      </c>
    </row>
    <row r="254" spans="1:12" x14ac:dyDescent="0.35">
      <c r="A254" s="5" t="s">
        <v>643</v>
      </c>
      <c r="B254" s="22">
        <v>1741.6</v>
      </c>
      <c r="C254" s="10">
        <v>25.266999999999999</v>
      </c>
      <c r="D254" s="23">
        <f t="shared" si="21"/>
        <v>-8.0321285140567467E-4</v>
      </c>
      <c r="E254" s="11">
        <f t="shared" si="22"/>
        <v>7.9217332752404539E-4</v>
      </c>
      <c r="F254" s="24">
        <f>(B254-$B$2)/$B$2</f>
        <v>0.1397159871736143</v>
      </c>
      <c r="G254" s="11">
        <f t="shared" si="23"/>
        <v>0.40014407624958442</v>
      </c>
      <c r="H254" s="25">
        <f t="shared" si="18"/>
        <v>68.927850556061259</v>
      </c>
      <c r="I254" s="26">
        <f>MAX($B$2:B254)</f>
        <v>2069.4</v>
      </c>
      <c r="J254" s="27">
        <f t="shared" si="19"/>
        <v>-0.15840340195225677</v>
      </c>
      <c r="K254" s="10">
        <f>MAX($C$2:C254)</f>
        <v>29.440999999999999</v>
      </c>
      <c r="L254" s="11">
        <f t="shared" si="20"/>
        <v>-0.14177507557487856</v>
      </c>
    </row>
    <row r="255" spans="1:12" x14ac:dyDescent="0.35">
      <c r="A255" s="5" t="s">
        <v>645</v>
      </c>
      <c r="B255" s="22">
        <v>1758.2</v>
      </c>
      <c r="C255" s="10">
        <v>25.603999999999999</v>
      </c>
      <c r="D255" s="23">
        <f t="shared" si="21"/>
        <v>9.5314653192467482E-3</v>
      </c>
      <c r="E255" s="11">
        <f t="shared" si="22"/>
        <v>1.3337554913523559E-2</v>
      </c>
      <c r="F255" s="24">
        <f>(B255-$B$2)/$B$2</f>
        <v>0.15057915057915067</v>
      </c>
      <c r="G255" s="11">
        <f t="shared" si="23"/>
        <v>0.41881857475340795</v>
      </c>
      <c r="H255" s="25">
        <f t="shared" si="18"/>
        <v>68.66895797531636</v>
      </c>
      <c r="I255" s="26">
        <f>MAX($B$2:B255)</f>
        <v>2069.4</v>
      </c>
      <c r="J255" s="27">
        <f t="shared" si="19"/>
        <v>-0.15038175316516866</v>
      </c>
      <c r="K255" s="10">
        <f>MAX($C$2:C255)</f>
        <v>29.440999999999999</v>
      </c>
      <c r="L255" s="11">
        <f t="shared" si="20"/>
        <v>-0.1303284535172039</v>
      </c>
    </row>
    <row r="256" spans="1:12" x14ac:dyDescent="0.35">
      <c r="A256" s="5" t="s">
        <v>649</v>
      </c>
      <c r="B256" s="22">
        <v>1732.7</v>
      </c>
      <c r="C256" s="10">
        <v>24.882000000000001</v>
      </c>
      <c r="D256" s="23">
        <f t="shared" si="21"/>
        <v>-1.4503469457399613E-2</v>
      </c>
      <c r="E256" s="11">
        <f t="shared" si="22"/>
        <v>-2.8198718950163949E-2</v>
      </c>
      <c r="F256" s="24">
        <f>(B256-$B$2)/$B$2</f>
        <v>0.13389176101040517</v>
      </c>
      <c r="G256" s="11">
        <f t="shared" si="23"/>
        <v>0.37880970852266443</v>
      </c>
      <c r="H256" s="25">
        <f t="shared" si="18"/>
        <v>69.636685153926535</v>
      </c>
      <c r="I256" s="26">
        <f>MAX($B$2:B256)</f>
        <v>2069.4</v>
      </c>
      <c r="J256" s="27">
        <f t="shared" si="19"/>
        <v>-0.16270416545858704</v>
      </c>
      <c r="K256" s="10">
        <f>MAX($C$2:C256)</f>
        <v>29.440999999999999</v>
      </c>
      <c r="L256" s="11">
        <f t="shared" si="20"/>
        <v>-0.15485207703542669</v>
      </c>
    </row>
    <row r="257" spans="1:12" x14ac:dyDescent="0.35">
      <c r="A257" s="5" t="s">
        <v>651</v>
      </c>
      <c r="B257" s="22">
        <v>1747.6</v>
      </c>
      <c r="C257" s="10">
        <v>25.442</v>
      </c>
      <c r="D257" s="23">
        <f t="shared" si="21"/>
        <v>8.5992958965775169E-3</v>
      </c>
      <c r="E257" s="11">
        <f t="shared" si="22"/>
        <v>2.2506229402781075E-2</v>
      </c>
      <c r="F257" s="24">
        <f>(B257-$B$2)/$B$2</f>
        <v>0.14364243177802502</v>
      </c>
      <c r="G257" s="11">
        <f t="shared" si="23"/>
        <v>0.40984151612545722</v>
      </c>
      <c r="H257" s="25">
        <f t="shared" si="18"/>
        <v>68.689568430154864</v>
      </c>
      <c r="I257" s="26">
        <f>MAX($B$2:B257)</f>
        <v>2069.4</v>
      </c>
      <c r="J257" s="27">
        <f t="shared" si="19"/>
        <v>-0.15550401082439363</v>
      </c>
      <c r="K257" s="10">
        <f>MAX($C$2:C257)</f>
        <v>29.440999999999999</v>
      </c>
      <c r="L257" s="11">
        <f t="shared" si="20"/>
        <v>-0.13583098400190208</v>
      </c>
    </row>
    <row r="258" spans="1:12" x14ac:dyDescent="0.35">
      <c r="A258" s="5" t="s">
        <v>653</v>
      </c>
      <c r="B258" s="22">
        <v>1736.3</v>
      </c>
      <c r="C258" s="10">
        <v>25.539000000000001</v>
      </c>
      <c r="D258" s="23">
        <f t="shared" si="21"/>
        <v>-6.4660105287250831E-3</v>
      </c>
      <c r="E258" s="11">
        <f t="shared" si="22"/>
        <v>3.8125933495794869E-3</v>
      </c>
      <c r="F258" s="24">
        <f>(B258-$B$2)/$B$2</f>
        <v>0.13624762777305155</v>
      </c>
      <c r="G258" s="11">
        <f t="shared" si="23"/>
        <v>0.41521666851379818</v>
      </c>
      <c r="H258" s="25">
        <f t="shared" si="18"/>
        <v>67.986217158071966</v>
      </c>
      <c r="I258" s="26">
        <f>MAX($B$2:B258)</f>
        <v>2069.4</v>
      </c>
      <c r="J258" s="27">
        <f t="shared" si="19"/>
        <v>-0.1609645307818692</v>
      </c>
      <c r="K258" s="10">
        <f>MAX($C$2:C258)</f>
        <v>29.440999999999999</v>
      </c>
      <c r="L258" s="11">
        <f t="shared" si="20"/>
        <v>-0.13253625895859508</v>
      </c>
    </row>
    <row r="259" spans="1:12" x14ac:dyDescent="0.35">
      <c r="A259" s="5" t="s">
        <v>655</v>
      </c>
      <c r="B259" s="22">
        <v>1766.8</v>
      </c>
      <c r="C259" s="10">
        <v>25.978999999999999</v>
      </c>
      <c r="D259" s="23">
        <f t="shared" si="21"/>
        <v>1.7566088809537524E-2</v>
      </c>
      <c r="E259" s="11">
        <f t="shared" si="22"/>
        <v>1.7228552410039458E-2</v>
      </c>
      <c r="F259" s="24">
        <f>(B259-$B$2)/$B$2</f>
        <v>0.15620705451213929</v>
      </c>
      <c r="G259" s="11">
        <f t="shared" si="23"/>
        <v>0.43959880305884963</v>
      </c>
      <c r="H259" s="25">
        <f t="shared" ref="H259:H322" si="24">B259/C259</f>
        <v>68.008776319334842</v>
      </c>
      <c r="I259" s="26">
        <f>MAX($B$2:B259)</f>
        <v>2069.4</v>
      </c>
      <c r="J259" s="27">
        <f t="shared" ref="J259:J322" si="25">(B259-I259)/I259</f>
        <v>-0.14622595921523152</v>
      </c>
      <c r="K259" s="10">
        <f>MAX($C$2:C259)</f>
        <v>29.440999999999999</v>
      </c>
      <c r="L259" s="11">
        <f t="shared" ref="L259:L322" si="26">(C259-K259)/K259</f>
        <v>-0.11759111443225434</v>
      </c>
    </row>
    <row r="260" spans="1:12" x14ac:dyDescent="0.35">
      <c r="A260" s="5" t="s">
        <v>659</v>
      </c>
      <c r="B260" s="22">
        <v>1770.6</v>
      </c>
      <c r="C260" s="10">
        <v>25.852</v>
      </c>
      <c r="D260" s="23">
        <f t="shared" ref="D260:D323" si="27">(B260-B259)/B259</f>
        <v>2.1507810731265309E-3</v>
      </c>
      <c r="E260" s="11">
        <f t="shared" ref="E260:E323" si="28">(C260-C259)/C259</f>
        <v>-4.8885638400245927E-3</v>
      </c>
      <c r="F260" s="24">
        <f>(B260-$B$2)/$B$2</f>
        <v>0.15869380276159939</v>
      </c>
      <c r="G260" s="11">
        <f t="shared" ref="G260:G323" si="29">(C260-$C$2)/$C$2</f>
        <v>0.43256123240607341</v>
      </c>
      <c r="H260" s="25">
        <f t="shared" si="24"/>
        <v>68.489865387590896</v>
      </c>
      <c r="I260" s="26">
        <f>MAX($B$2:B260)</f>
        <v>2069.4</v>
      </c>
      <c r="J260" s="27">
        <f t="shared" si="25"/>
        <v>-0.14438967816758488</v>
      </c>
      <c r="K260" s="10">
        <f>MAX($C$2:C260)</f>
        <v>29.440999999999999</v>
      </c>
      <c r="L260" s="11">
        <f t="shared" si="26"/>
        <v>-0.12190482660235721</v>
      </c>
    </row>
    <row r="261" spans="1:12" x14ac:dyDescent="0.35">
      <c r="A261" s="5" t="s">
        <v>661</v>
      </c>
      <c r="B261" s="22">
        <v>1778.4</v>
      </c>
      <c r="C261" s="10">
        <v>25.853999999999999</v>
      </c>
      <c r="D261" s="23">
        <f t="shared" si="27"/>
        <v>4.4052863436124376E-3</v>
      </c>
      <c r="E261" s="11">
        <f t="shared" si="28"/>
        <v>7.7363453504521572E-5</v>
      </c>
      <c r="F261" s="24">
        <f>(B261-$B$2)/$B$2</f>
        <v>0.16379818074733341</v>
      </c>
      <c r="G261" s="11">
        <f t="shared" si="29"/>
        <v>0.43267206029036909</v>
      </c>
      <c r="H261" s="25">
        <f t="shared" si="24"/>
        <v>68.78626131352982</v>
      </c>
      <c r="I261" s="26">
        <f>MAX($B$2:B261)</f>
        <v>2069.4</v>
      </c>
      <c r="J261" s="27">
        <f t="shared" si="25"/>
        <v>-0.14062046970136272</v>
      </c>
      <c r="K261" s="10">
        <f>MAX($C$2:C261)</f>
        <v>29.440999999999999</v>
      </c>
      <c r="L261" s="11">
        <f t="shared" si="26"/>
        <v>-0.12183689412723753</v>
      </c>
    </row>
    <row r="262" spans="1:12" x14ac:dyDescent="0.35">
      <c r="A262" s="5" t="s">
        <v>663</v>
      </c>
      <c r="B262" s="22">
        <v>1793.1</v>
      </c>
      <c r="C262" s="10">
        <v>26.585999999999999</v>
      </c>
      <c r="D262" s="23">
        <f t="shared" si="27"/>
        <v>8.265856950067374E-3</v>
      </c>
      <c r="E262" s="11">
        <f t="shared" si="28"/>
        <v>2.8312833604084448E-2</v>
      </c>
      <c r="F262" s="24">
        <f>(B262-$B$2)/$B$2</f>
        <v>0.17341797002813952</v>
      </c>
      <c r="G262" s="11">
        <f t="shared" si="29"/>
        <v>0.47323506594259113</v>
      </c>
      <c r="H262" s="25">
        <f t="shared" si="24"/>
        <v>67.445271947641615</v>
      </c>
      <c r="I262" s="26">
        <f>MAX($B$2:B262)</f>
        <v>2069.4</v>
      </c>
      <c r="J262" s="27">
        <f t="shared" si="25"/>
        <v>-0.13351696143809808</v>
      </c>
      <c r="K262" s="10">
        <f>MAX($C$2:C262)</f>
        <v>29.440999999999999</v>
      </c>
      <c r="L262" s="11">
        <f t="shared" si="26"/>
        <v>-9.6973608233415998E-2</v>
      </c>
    </row>
    <row r="263" spans="1:12" x14ac:dyDescent="0.35">
      <c r="A263" s="5" t="s">
        <v>665</v>
      </c>
      <c r="B263" s="22">
        <v>1782</v>
      </c>
      <c r="C263" s="10">
        <v>26.2</v>
      </c>
      <c r="D263" s="23">
        <f t="shared" si="27"/>
        <v>-6.1903965199932576E-3</v>
      </c>
      <c r="E263" s="11">
        <f t="shared" si="28"/>
        <v>-1.4518919732189847E-2</v>
      </c>
      <c r="F263" s="24">
        <f>(B263-$B$2)/$B$2</f>
        <v>0.16615404750997978</v>
      </c>
      <c r="G263" s="11">
        <f t="shared" si="29"/>
        <v>0.45184528427352322</v>
      </c>
      <c r="H263" s="25">
        <f t="shared" si="24"/>
        <v>68.015267175572518</v>
      </c>
      <c r="I263" s="26">
        <f>MAX($B$2:B263)</f>
        <v>2069.4</v>
      </c>
      <c r="J263" s="27">
        <f t="shared" si="25"/>
        <v>-0.13888083502464485</v>
      </c>
      <c r="K263" s="10">
        <f>MAX($C$2:C263)</f>
        <v>29.440999999999999</v>
      </c>
      <c r="L263" s="11">
        <f t="shared" si="26"/>
        <v>-0.11008457593152406</v>
      </c>
    </row>
    <row r="264" spans="1:12" x14ac:dyDescent="0.35">
      <c r="A264" s="5" t="s">
        <v>669</v>
      </c>
      <c r="B264" s="22">
        <v>1780.1</v>
      </c>
      <c r="C264" s="10">
        <v>26.228000000000002</v>
      </c>
      <c r="D264" s="23">
        <f t="shared" si="27"/>
        <v>-1.0662177328844506E-3</v>
      </c>
      <c r="E264" s="11">
        <f t="shared" si="28"/>
        <v>1.0687022900764216E-3</v>
      </c>
      <c r="F264" s="24">
        <f>(B264-$B$2)/$B$2</f>
        <v>0.16491067338524967</v>
      </c>
      <c r="G264" s="11">
        <f t="shared" si="29"/>
        <v>0.45339687465366302</v>
      </c>
      <c r="H264" s="25">
        <f t="shared" si="24"/>
        <v>67.870215037364645</v>
      </c>
      <c r="I264" s="26">
        <f>MAX($B$2:B264)</f>
        <v>2069.4</v>
      </c>
      <c r="J264" s="27">
        <f t="shared" si="25"/>
        <v>-0.13979897554846824</v>
      </c>
      <c r="K264" s="10">
        <f>MAX($C$2:C264)</f>
        <v>29.440999999999999</v>
      </c>
      <c r="L264" s="11">
        <f t="shared" si="26"/>
        <v>-0.10913352127984775</v>
      </c>
    </row>
    <row r="265" spans="1:12" x14ac:dyDescent="0.35">
      <c r="A265" s="5" t="s">
        <v>671</v>
      </c>
      <c r="B265" s="22">
        <v>1778.8</v>
      </c>
      <c r="C265" s="10">
        <v>26.43</v>
      </c>
      <c r="D265" s="23">
        <f t="shared" si="27"/>
        <v>-7.3029605078363832E-4</v>
      </c>
      <c r="E265" s="11">
        <f t="shared" si="28"/>
        <v>7.7016928473386519E-3</v>
      </c>
      <c r="F265" s="24">
        <f>(B265-$B$2)/$B$2</f>
        <v>0.16405994372096072</v>
      </c>
      <c r="G265" s="11">
        <f t="shared" si="29"/>
        <v>0.46459049096752747</v>
      </c>
      <c r="H265" s="25">
        <f t="shared" si="24"/>
        <v>67.30230798335225</v>
      </c>
      <c r="I265" s="26">
        <f>MAX($B$2:B265)</f>
        <v>2069.4</v>
      </c>
      <c r="J265" s="27">
        <f t="shared" si="25"/>
        <v>-0.14042717695950524</v>
      </c>
      <c r="K265" s="10">
        <f>MAX($C$2:C265)</f>
        <v>29.440999999999999</v>
      </c>
      <c r="L265" s="11">
        <f t="shared" si="26"/>
        <v>-0.10227234129275498</v>
      </c>
    </row>
    <row r="266" spans="1:12" x14ac:dyDescent="0.35">
      <c r="A266" s="5" t="s">
        <v>673</v>
      </c>
      <c r="B266" s="22">
        <v>1773.9</v>
      </c>
      <c r="C266" s="10">
        <v>26.102</v>
      </c>
      <c r="D266" s="23">
        <f t="shared" si="27"/>
        <v>-2.7546660670113919E-3</v>
      </c>
      <c r="E266" s="11">
        <f t="shared" si="28"/>
        <v>-1.2410139992432819E-2</v>
      </c>
      <c r="F266" s="24">
        <f>(B266-$B$2)/$B$2</f>
        <v>0.16085334729402539</v>
      </c>
      <c r="G266" s="11">
        <f t="shared" si="29"/>
        <v>0.44641471794303456</v>
      </c>
      <c r="H266" s="25">
        <f t="shared" si="24"/>
        <v>67.960309554823382</v>
      </c>
      <c r="I266" s="26">
        <f>MAX($B$2:B266)</f>
        <v>2069.4</v>
      </c>
      <c r="J266" s="27">
        <f t="shared" si="25"/>
        <v>-0.14279501304726006</v>
      </c>
      <c r="K266" s="10">
        <f>MAX($C$2:C266)</f>
        <v>29.440999999999999</v>
      </c>
      <c r="L266" s="11">
        <f t="shared" si="26"/>
        <v>-0.11341326721239084</v>
      </c>
    </row>
    <row r="267" spans="1:12" x14ac:dyDescent="0.35">
      <c r="A267" s="5" t="s">
        <v>675</v>
      </c>
      <c r="B267" s="22">
        <v>1768.3</v>
      </c>
      <c r="C267" s="10">
        <v>26.085000000000001</v>
      </c>
      <c r="D267" s="23">
        <f t="shared" si="27"/>
        <v>-3.1568859574948624E-3</v>
      </c>
      <c r="E267" s="11">
        <f t="shared" si="28"/>
        <v>-6.5129108880543482E-4</v>
      </c>
      <c r="F267" s="24">
        <f>(B267-$B$2)/$B$2</f>
        <v>0.15718866566324197</v>
      </c>
      <c r="G267" s="11">
        <f t="shared" si="29"/>
        <v>0.4454726809265212</v>
      </c>
      <c r="H267" s="25">
        <f t="shared" si="24"/>
        <v>67.789917577151613</v>
      </c>
      <c r="I267" s="26">
        <f>MAX($B$2:B267)</f>
        <v>2069.4</v>
      </c>
      <c r="J267" s="27">
        <f t="shared" si="25"/>
        <v>-0.14550111143326575</v>
      </c>
      <c r="K267" s="10">
        <f>MAX($C$2:C267)</f>
        <v>29.440999999999999</v>
      </c>
      <c r="L267" s="11">
        <f t="shared" si="26"/>
        <v>-0.11399069325090853</v>
      </c>
    </row>
    <row r="268" spans="1:12" x14ac:dyDescent="0.35">
      <c r="A268" s="5" t="s">
        <v>679</v>
      </c>
      <c r="B268" s="22">
        <v>1791.8</v>
      </c>
      <c r="C268" s="10">
        <v>26.96</v>
      </c>
      <c r="D268" s="23">
        <f t="shared" si="27"/>
        <v>1.328960018096477E-2</v>
      </c>
      <c r="E268" s="11">
        <f t="shared" si="28"/>
        <v>3.3544182480352694E-2</v>
      </c>
      <c r="F268" s="24">
        <f>(B268-$B$2)/$B$2</f>
        <v>0.17256724036385057</v>
      </c>
      <c r="G268" s="11">
        <f t="shared" si="29"/>
        <v>0.49395988030588506</v>
      </c>
      <c r="H268" s="25">
        <f t="shared" si="24"/>
        <v>66.461424332344208</v>
      </c>
      <c r="I268" s="26">
        <f>MAX($B$2:B268)</f>
        <v>2069.4</v>
      </c>
      <c r="J268" s="27">
        <f t="shared" si="25"/>
        <v>-0.13414516284913508</v>
      </c>
      <c r="K268" s="10">
        <f>MAX($C$2:C268)</f>
        <v>29.440999999999999</v>
      </c>
      <c r="L268" s="11">
        <f t="shared" si="26"/>
        <v>-8.4270235386026224E-2</v>
      </c>
    </row>
    <row r="269" spans="1:12" x14ac:dyDescent="0.35">
      <c r="A269" s="5" t="s">
        <v>681</v>
      </c>
      <c r="B269" s="22">
        <v>1776</v>
      </c>
      <c r="C269" s="10">
        <v>26.558</v>
      </c>
      <c r="D269" s="23">
        <f t="shared" si="27"/>
        <v>-8.8179484317445888E-3</v>
      </c>
      <c r="E269" s="11">
        <f t="shared" si="28"/>
        <v>-1.4910979228486684E-2</v>
      </c>
      <c r="F269" s="24">
        <f>(B269-$B$2)/$B$2</f>
        <v>0.16222760290556906</v>
      </c>
      <c r="G269" s="11">
        <f t="shared" si="29"/>
        <v>0.47168347556245155</v>
      </c>
      <c r="H269" s="25">
        <f t="shared" si="24"/>
        <v>66.872505459748481</v>
      </c>
      <c r="I269" s="26">
        <f>MAX($B$2:B269)</f>
        <v>2069.4</v>
      </c>
      <c r="J269" s="27">
        <f t="shared" si="25"/>
        <v>-0.14178022615250802</v>
      </c>
      <c r="K269" s="10">
        <f>MAX($C$2:C269)</f>
        <v>29.440999999999999</v>
      </c>
      <c r="L269" s="11">
        <f t="shared" si="26"/>
        <v>-9.792466288509219E-2</v>
      </c>
    </row>
    <row r="270" spans="1:12" x14ac:dyDescent="0.35">
      <c r="A270" s="5" t="s">
        <v>683</v>
      </c>
      <c r="B270" s="22">
        <v>1784.3</v>
      </c>
      <c r="C270" s="10">
        <v>26.521999999999998</v>
      </c>
      <c r="D270" s="23">
        <f t="shared" si="27"/>
        <v>4.6734234234233982E-3</v>
      </c>
      <c r="E270" s="11">
        <f t="shared" si="28"/>
        <v>-1.3555237593192771E-3</v>
      </c>
      <c r="F270" s="24">
        <f>(B270-$B$2)/$B$2</f>
        <v>0.1676591846083372</v>
      </c>
      <c r="G270" s="11">
        <f t="shared" si="29"/>
        <v>0.46968857364512906</v>
      </c>
      <c r="H270" s="25">
        <f t="shared" si="24"/>
        <v>67.276223512555617</v>
      </c>
      <c r="I270" s="26">
        <f>MAX($B$2:B270)</f>
        <v>2069.4</v>
      </c>
      <c r="J270" s="27">
        <f t="shared" si="25"/>
        <v>-0.13776940175896402</v>
      </c>
      <c r="K270" s="10">
        <f>MAX($C$2:C270)</f>
        <v>29.440999999999999</v>
      </c>
      <c r="L270" s="11">
        <f t="shared" si="26"/>
        <v>-9.9147447437247391E-2</v>
      </c>
    </row>
    <row r="271" spans="1:12" x14ac:dyDescent="0.35">
      <c r="A271" s="5" t="s">
        <v>685</v>
      </c>
      <c r="B271" s="22">
        <v>1815.7</v>
      </c>
      <c r="C271" s="10">
        <v>27.477</v>
      </c>
      <c r="D271" s="23">
        <f t="shared" si="27"/>
        <v>1.7597937566552761E-2</v>
      </c>
      <c r="E271" s="11">
        <f t="shared" si="28"/>
        <v>3.6007842545811096E-2</v>
      </c>
      <c r="F271" s="24">
        <f>(B271-$B$2)/$B$2</f>
        <v>0.1882075780380866</v>
      </c>
      <c r="G271" s="11">
        <f t="shared" si="29"/>
        <v>0.52260888839632058</v>
      </c>
      <c r="H271" s="25">
        <f t="shared" si="24"/>
        <v>66.080722058448885</v>
      </c>
      <c r="I271" s="26">
        <f>MAX($B$2:B271)</f>
        <v>2069.4</v>
      </c>
      <c r="J271" s="27">
        <f t="shared" si="25"/>
        <v>-0.12259592152314683</v>
      </c>
      <c r="K271" s="10">
        <f>MAX($C$2:C271)</f>
        <v>29.440999999999999</v>
      </c>
      <c r="L271" s="11">
        <f t="shared" si="26"/>
        <v>-6.670969056757578E-2</v>
      </c>
    </row>
    <row r="272" spans="1:12" x14ac:dyDescent="0.35">
      <c r="A272" s="5" t="s">
        <v>689</v>
      </c>
      <c r="B272" s="22">
        <v>1837.6</v>
      </c>
      <c r="C272" s="10">
        <v>27.492000000000001</v>
      </c>
      <c r="D272" s="23">
        <f t="shared" si="27"/>
        <v>1.2061463898220996E-2</v>
      </c>
      <c r="E272" s="11">
        <f t="shared" si="28"/>
        <v>5.459111256687618E-4</v>
      </c>
      <c r="F272" s="24">
        <f>(B272-$B$2)/$B$2</f>
        <v>0.20253910084418561</v>
      </c>
      <c r="G272" s="11">
        <f t="shared" si="29"/>
        <v>0.52344009752853826</v>
      </c>
      <c r="H272" s="25">
        <f t="shared" si="24"/>
        <v>66.84126291284737</v>
      </c>
      <c r="I272" s="26">
        <f>MAX($B$2:B272)</f>
        <v>2069.4</v>
      </c>
      <c r="J272" s="27">
        <f t="shared" si="25"/>
        <v>-0.1120131439064464</v>
      </c>
      <c r="K272" s="10">
        <f>MAX($C$2:C272)</f>
        <v>29.440999999999999</v>
      </c>
      <c r="L272" s="11">
        <f t="shared" si="26"/>
        <v>-6.6200197004177785E-2</v>
      </c>
    </row>
    <row r="273" spans="1:12" x14ac:dyDescent="0.35">
      <c r="A273" s="5" t="s">
        <v>691</v>
      </c>
      <c r="B273" s="22">
        <v>1836.1</v>
      </c>
      <c r="C273" s="10">
        <v>27.667000000000002</v>
      </c>
      <c r="D273" s="23">
        <f t="shared" si="27"/>
        <v>-8.1628210709621253E-4</v>
      </c>
      <c r="E273" s="11">
        <f t="shared" si="28"/>
        <v>6.3654881420049728E-3</v>
      </c>
      <c r="F273" s="24">
        <f>(B273-$B$2)/$B$2</f>
        <v>0.20155748969308293</v>
      </c>
      <c r="G273" s="11">
        <f t="shared" si="29"/>
        <v>0.53313753740441105</v>
      </c>
      <c r="H273" s="25">
        <f t="shared" si="24"/>
        <v>66.364260671558171</v>
      </c>
      <c r="I273" s="26">
        <f>MAX($B$2:B273)</f>
        <v>2069.4</v>
      </c>
      <c r="J273" s="27">
        <f t="shared" si="25"/>
        <v>-0.11273799168841218</v>
      </c>
      <c r="K273" s="10">
        <f>MAX($C$2:C273)</f>
        <v>29.440999999999999</v>
      </c>
      <c r="L273" s="11">
        <f t="shared" si="26"/>
        <v>-6.0256105431201301E-2</v>
      </c>
    </row>
    <row r="274" spans="1:12" x14ac:dyDescent="0.35">
      <c r="A274" s="5" t="s">
        <v>693</v>
      </c>
      <c r="B274" s="22">
        <v>1822.8</v>
      </c>
      <c r="C274" s="10">
        <v>27.244</v>
      </c>
      <c r="D274" s="23">
        <f t="shared" si="27"/>
        <v>-7.2436141822340584E-3</v>
      </c>
      <c r="E274" s="11">
        <f t="shared" si="28"/>
        <v>-1.5288972422019077E-2</v>
      </c>
      <c r="F274" s="24">
        <f>(B274-$B$2)/$B$2</f>
        <v>0.19285387081997254</v>
      </c>
      <c r="G274" s="11">
        <f t="shared" si="29"/>
        <v>0.50969743987587279</v>
      </c>
      <c r="H274" s="25">
        <f t="shared" si="24"/>
        <v>66.906474820143885</v>
      </c>
      <c r="I274" s="26">
        <f>MAX($B$2:B274)</f>
        <v>2069.4</v>
      </c>
      <c r="J274" s="27">
        <f t="shared" si="25"/>
        <v>-0.11916497535517548</v>
      </c>
      <c r="K274" s="10">
        <f>MAX($C$2:C274)</f>
        <v>29.440999999999999</v>
      </c>
      <c r="L274" s="11">
        <f t="shared" si="26"/>
        <v>-7.462382391902446E-2</v>
      </c>
    </row>
    <row r="275" spans="1:12" x14ac:dyDescent="0.35">
      <c r="A275" s="5" t="s">
        <v>695</v>
      </c>
      <c r="B275" s="22">
        <v>1824</v>
      </c>
      <c r="C275" s="10">
        <v>27.059000000000001</v>
      </c>
      <c r="D275" s="23">
        <f t="shared" si="27"/>
        <v>6.5832784726796445E-4</v>
      </c>
      <c r="E275" s="11">
        <f t="shared" si="28"/>
        <v>-6.7904859785640403E-3</v>
      </c>
      <c r="F275" s="24">
        <f>(B275-$B$2)/$B$2</f>
        <v>0.19363915974085472</v>
      </c>
      <c r="G275" s="11">
        <f t="shared" si="29"/>
        <v>0.49944586057852164</v>
      </c>
      <c r="H275" s="25">
        <f t="shared" si="24"/>
        <v>67.408256033112821</v>
      </c>
      <c r="I275" s="26">
        <f>MAX($B$2:B275)</f>
        <v>2069.4</v>
      </c>
      <c r="J275" s="27">
        <f t="shared" si="25"/>
        <v>-0.11858509712960283</v>
      </c>
      <c r="K275" s="10">
        <f>MAX($C$2:C275)</f>
        <v>29.440999999999999</v>
      </c>
      <c r="L275" s="11">
        <f t="shared" si="26"/>
        <v>-8.0907577867599542E-2</v>
      </c>
    </row>
    <row r="276" spans="1:12" x14ac:dyDescent="0.35">
      <c r="A276" s="5" t="s">
        <v>699</v>
      </c>
      <c r="B276" s="22">
        <v>1867.6</v>
      </c>
      <c r="C276" s="10">
        <v>28.274000000000001</v>
      </c>
      <c r="D276" s="23">
        <f t="shared" si="27"/>
        <v>2.3903508771929774E-2</v>
      </c>
      <c r="E276" s="11">
        <f t="shared" si="28"/>
        <v>4.4901881074688635E-2</v>
      </c>
      <c r="F276" s="24">
        <f>(B276-$B$2)/$B$2</f>
        <v>0.22217132386623914</v>
      </c>
      <c r="G276" s="11">
        <f t="shared" si="29"/>
        <v>0.56677380028815261</v>
      </c>
      <c r="H276" s="25">
        <f t="shared" si="24"/>
        <v>66.053618165098669</v>
      </c>
      <c r="I276" s="26">
        <f>MAX($B$2:B276)</f>
        <v>2069.4</v>
      </c>
      <c r="J276" s="27">
        <f t="shared" si="25"/>
        <v>-9.7516188267130655E-2</v>
      </c>
      <c r="K276" s="10">
        <f>MAX($C$2:C276)</f>
        <v>29.440999999999999</v>
      </c>
      <c r="L276" s="11">
        <f t="shared" si="26"/>
        <v>-3.9638599232362966E-2</v>
      </c>
    </row>
    <row r="277" spans="1:12" x14ac:dyDescent="0.35">
      <c r="A277" s="5" t="s">
        <v>701</v>
      </c>
      <c r="B277" s="22">
        <v>1868</v>
      </c>
      <c r="C277" s="10">
        <v>28.332999999999998</v>
      </c>
      <c r="D277" s="23">
        <f t="shared" si="27"/>
        <v>2.1417862497327637E-4</v>
      </c>
      <c r="E277" s="11">
        <f t="shared" si="28"/>
        <v>2.0867227841832601E-3</v>
      </c>
      <c r="F277" s="24">
        <f>(B277-$B$2)/$B$2</f>
        <v>0.22243308683986657</v>
      </c>
      <c r="G277" s="11">
        <f t="shared" si="29"/>
        <v>0.5700432228748753</v>
      </c>
      <c r="H277" s="25">
        <f t="shared" si="24"/>
        <v>65.930187413969577</v>
      </c>
      <c r="I277" s="26">
        <f>MAX($B$2:B277)</f>
        <v>2069.4</v>
      </c>
      <c r="J277" s="27">
        <f t="shared" si="25"/>
        <v>-9.7322895525273068E-2</v>
      </c>
      <c r="K277" s="10">
        <f>MAX($C$2:C277)</f>
        <v>29.440999999999999</v>
      </c>
      <c r="L277" s="11">
        <f t="shared" si="26"/>
        <v>-3.763459121633099E-2</v>
      </c>
    </row>
    <row r="278" spans="1:12" x14ac:dyDescent="0.35">
      <c r="A278" s="5" t="s">
        <v>703</v>
      </c>
      <c r="B278" s="22">
        <v>1881.5</v>
      </c>
      <c r="C278" s="10">
        <v>28.024999999999999</v>
      </c>
      <c r="D278" s="23">
        <f t="shared" si="27"/>
        <v>7.2269807280513918E-3</v>
      </c>
      <c r="E278" s="11">
        <f t="shared" si="28"/>
        <v>-1.0870716126072067E-2</v>
      </c>
      <c r="F278" s="24">
        <f>(B278-$B$2)/$B$2</f>
        <v>0.23126758719979065</v>
      </c>
      <c r="G278" s="11">
        <f t="shared" si="29"/>
        <v>0.55297572869333922</v>
      </c>
      <c r="H278" s="25">
        <f t="shared" si="24"/>
        <v>67.136485280999111</v>
      </c>
      <c r="I278" s="26">
        <f>MAX($B$2:B278)</f>
        <v>2069.4</v>
      </c>
      <c r="J278" s="27">
        <f t="shared" si="25"/>
        <v>-9.079926548758098E-2</v>
      </c>
      <c r="K278" s="10">
        <f>MAX($C$2:C278)</f>
        <v>29.440999999999999</v>
      </c>
      <c r="L278" s="11">
        <f t="shared" si="26"/>
        <v>-4.8096192384769552E-2</v>
      </c>
    </row>
    <row r="279" spans="1:12" x14ac:dyDescent="0.35">
      <c r="A279" s="5" t="s">
        <v>705</v>
      </c>
      <c r="B279" s="22">
        <v>1881.9</v>
      </c>
      <c r="C279" s="10">
        <v>28.067</v>
      </c>
      <c r="D279" s="23">
        <f t="shared" si="27"/>
        <v>2.1259633271330903E-4</v>
      </c>
      <c r="E279" s="11">
        <f t="shared" si="28"/>
        <v>1.4986619090098696E-3</v>
      </c>
      <c r="F279" s="24">
        <f>(B279-$B$2)/$B$2</f>
        <v>0.23152935017341811</v>
      </c>
      <c r="G279" s="11">
        <f t="shared" si="29"/>
        <v>0.55530311426354872</v>
      </c>
      <c r="H279" s="25">
        <f t="shared" si="24"/>
        <v>67.050272562083592</v>
      </c>
      <c r="I279" s="26">
        <f>MAX($B$2:B279)</f>
        <v>2069.4</v>
      </c>
      <c r="J279" s="27">
        <f t="shared" si="25"/>
        <v>-9.0605972745723393E-2</v>
      </c>
      <c r="K279" s="10">
        <f>MAX($C$2:C279)</f>
        <v>29.440999999999999</v>
      </c>
      <c r="L279" s="11">
        <f t="shared" si="26"/>
        <v>-4.6669610407255147E-2</v>
      </c>
    </row>
    <row r="280" spans="1:12" x14ac:dyDescent="0.35">
      <c r="A280" s="5" t="s">
        <v>709</v>
      </c>
      <c r="B280" s="22">
        <v>1884.5</v>
      </c>
      <c r="C280" s="10">
        <v>27.905000000000001</v>
      </c>
      <c r="D280" s="23">
        <f t="shared" si="27"/>
        <v>1.3815824432753647E-3</v>
      </c>
      <c r="E280" s="11">
        <f t="shared" si="28"/>
        <v>-5.7719029465207903E-3</v>
      </c>
      <c r="F280" s="24">
        <f>(B280-$B$2)/$B$2</f>
        <v>0.23323080950199601</v>
      </c>
      <c r="G280" s="11">
        <f t="shared" si="29"/>
        <v>0.546326055635598</v>
      </c>
      <c r="H280" s="25">
        <f t="shared" si="24"/>
        <v>67.532700232933166</v>
      </c>
      <c r="I280" s="26">
        <f>MAX($B$2:B280)</f>
        <v>2069.4</v>
      </c>
      <c r="J280" s="27">
        <f t="shared" si="25"/>
        <v>-8.9349569923649411E-2</v>
      </c>
      <c r="K280" s="10">
        <f>MAX($C$2:C280)</f>
        <v>29.440999999999999</v>
      </c>
      <c r="L280" s="11">
        <f t="shared" si="26"/>
        <v>-5.2172140891953322E-2</v>
      </c>
    </row>
    <row r="281" spans="1:12" x14ac:dyDescent="0.35">
      <c r="A281" s="5" t="s">
        <v>711</v>
      </c>
      <c r="B281" s="22">
        <v>1898</v>
      </c>
      <c r="C281" s="10">
        <v>28.056000000000001</v>
      </c>
      <c r="D281" s="23">
        <f t="shared" si="27"/>
        <v>7.1637039002387902E-3</v>
      </c>
      <c r="E281" s="11">
        <f t="shared" si="28"/>
        <v>5.4112166278444647E-3</v>
      </c>
      <c r="F281" s="24">
        <f>(B281-$B$2)/$B$2</f>
        <v>0.2420653098619201</v>
      </c>
      <c r="G281" s="11">
        <f t="shared" si="29"/>
        <v>0.5546935608999225</v>
      </c>
      <c r="H281" s="25">
        <f t="shared" si="24"/>
        <v>67.650413458796692</v>
      </c>
      <c r="I281" s="26">
        <f>MAX($B$2:B281)</f>
        <v>2069.4</v>
      </c>
      <c r="J281" s="27">
        <f t="shared" si="25"/>
        <v>-8.2825939885957323E-2</v>
      </c>
      <c r="K281" s="10">
        <f>MAX($C$2:C281)</f>
        <v>29.440999999999999</v>
      </c>
      <c r="L281" s="11">
        <f t="shared" si="26"/>
        <v>-4.7043239020413644E-2</v>
      </c>
    </row>
    <row r="282" spans="1:12" x14ac:dyDescent="0.35">
      <c r="A282" s="5" t="s">
        <v>713</v>
      </c>
      <c r="B282" s="22">
        <v>1903.8</v>
      </c>
      <c r="C282" s="10">
        <v>27.876999999999999</v>
      </c>
      <c r="D282" s="23">
        <f t="shared" si="27"/>
        <v>3.0558482613276894E-3</v>
      </c>
      <c r="E282" s="11">
        <f t="shared" si="28"/>
        <v>-6.3800969489592975E-3</v>
      </c>
      <c r="F282" s="24">
        <f>(B282-$B$2)/$B$2</f>
        <v>0.24586087297951709</v>
      </c>
      <c r="G282" s="11">
        <f t="shared" si="29"/>
        <v>0.54477446525545825</v>
      </c>
      <c r="H282" s="25">
        <f t="shared" si="24"/>
        <v>68.292857911539983</v>
      </c>
      <c r="I282" s="26">
        <f>MAX($B$2:B282)</f>
        <v>2069.4</v>
      </c>
      <c r="J282" s="27">
        <f t="shared" si="25"/>
        <v>-8.0023195129022964E-2</v>
      </c>
      <c r="K282" s="10">
        <f>MAX($C$2:C282)</f>
        <v>29.440999999999999</v>
      </c>
      <c r="L282" s="11">
        <f t="shared" si="26"/>
        <v>-5.3123195543629639E-2</v>
      </c>
    </row>
    <row r="283" spans="1:12" x14ac:dyDescent="0.35">
      <c r="A283" s="5" t="s">
        <v>715</v>
      </c>
      <c r="B283" s="22">
        <v>1898.5</v>
      </c>
      <c r="C283" s="10">
        <v>27.954999999999998</v>
      </c>
      <c r="D283" s="23">
        <f t="shared" si="27"/>
        <v>-2.7839058724655713E-3</v>
      </c>
      <c r="E283" s="11">
        <f t="shared" si="28"/>
        <v>2.7980055242672959E-3</v>
      </c>
      <c r="F283" s="24">
        <f>(B283-$B$2)/$B$2</f>
        <v>0.24239251357895433</v>
      </c>
      <c r="G283" s="11">
        <f t="shared" si="29"/>
        <v>0.54909675274299008</v>
      </c>
      <c r="H283" s="25">
        <f t="shared" si="24"/>
        <v>67.912716866392415</v>
      </c>
      <c r="I283" s="26">
        <f>MAX($B$2:B283)</f>
        <v>2069.4</v>
      </c>
      <c r="J283" s="27">
        <f t="shared" si="25"/>
        <v>-8.2584323958635394E-2</v>
      </c>
      <c r="K283" s="10">
        <f>MAX($C$2:C283)</f>
        <v>29.440999999999999</v>
      </c>
      <c r="L283" s="11">
        <f t="shared" si="26"/>
        <v>-5.047382901396015E-2</v>
      </c>
    </row>
    <row r="284" spans="1:12" x14ac:dyDescent="0.35">
      <c r="A284" s="5" t="s">
        <v>720</v>
      </c>
      <c r="B284" s="22">
        <v>1905</v>
      </c>
      <c r="C284" s="10">
        <v>28.119</v>
      </c>
      <c r="D284" s="23">
        <f t="shared" si="27"/>
        <v>3.4237555965235711E-3</v>
      </c>
      <c r="E284" s="11">
        <f t="shared" si="28"/>
        <v>5.86657127526387E-3</v>
      </c>
      <c r="F284" s="24">
        <f>(B284-$B$2)/$B$2</f>
        <v>0.24664616190039926</v>
      </c>
      <c r="G284" s="11">
        <f t="shared" si="29"/>
        <v>0.55818463925523665</v>
      </c>
      <c r="H284" s="25">
        <f t="shared" si="24"/>
        <v>67.747786194388141</v>
      </c>
      <c r="I284" s="26">
        <f>MAX($B$2:B284)</f>
        <v>2069.4</v>
      </c>
      <c r="J284" s="27">
        <f t="shared" si="25"/>
        <v>-7.9443316903450314E-2</v>
      </c>
      <c r="K284" s="10">
        <f>MAX($C$2:C284)</f>
        <v>29.440999999999999</v>
      </c>
      <c r="L284" s="11">
        <f t="shared" si="26"/>
        <v>-4.4903366054142156E-2</v>
      </c>
    </row>
    <row r="285" spans="1:12" x14ac:dyDescent="0.35">
      <c r="A285" s="5" t="s">
        <v>721</v>
      </c>
      <c r="B285" s="22">
        <v>1909.9</v>
      </c>
      <c r="C285" s="10">
        <v>28.22</v>
      </c>
      <c r="D285" s="23">
        <f t="shared" si="27"/>
        <v>2.5721784776903366E-3</v>
      </c>
      <c r="E285" s="11">
        <f t="shared" si="28"/>
        <v>3.5918773782851131E-3</v>
      </c>
      <c r="F285" s="24">
        <f>(B285-$B$2)/$B$2</f>
        <v>0.24985275832733472</v>
      </c>
      <c r="G285" s="11">
        <f t="shared" si="29"/>
        <v>0.56378144741216885</v>
      </c>
      <c r="H285" s="25">
        <f t="shared" si="24"/>
        <v>67.678951098511703</v>
      </c>
      <c r="I285" s="26">
        <f>MAX($B$2:B285)</f>
        <v>2069.4</v>
      </c>
      <c r="J285" s="27">
        <f t="shared" si="25"/>
        <v>-7.7075480815695374E-2</v>
      </c>
      <c r="K285" s="10">
        <f>MAX($C$2:C285)</f>
        <v>29.440999999999999</v>
      </c>
      <c r="L285" s="11">
        <f t="shared" si="26"/>
        <v>-4.1472776060595774E-2</v>
      </c>
    </row>
    <row r="286" spans="1:12" x14ac:dyDescent="0.35">
      <c r="A286" s="5" t="s">
        <v>723</v>
      </c>
      <c r="B286" s="22">
        <v>1873.3</v>
      </c>
      <c r="C286" s="10">
        <v>27.492000000000001</v>
      </c>
      <c r="D286" s="23">
        <f t="shared" si="27"/>
        <v>-1.9163306979423075E-2</v>
      </c>
      <c r="E286" s="11">
        <f t="shared" si="28"/>
        <v>-2.5797306874556981E-2</v>
      </c>
      <c r="F286" s="24">
        <f>(B286-$B$2)/$B$2</f>
        <v>0.22590144624042932</v>
      </c>
      <c r="G286" s="11">
        <f t="shared" si="29"/>
        <v>0.52344009752853826</v>
      </c>
      <c r="H286" s="25">
        <f t="shared" si="24"/>
        <v>68.139822493816382</v>
      </c>
      <c r="I286" s="26">
        <f>MAX($B$2:B286)</f>
        <v>2069.4</v>
      </c>
      <c r="J286" s="27">
        <f t="shared" si="25"/>
        <v>-9.4761766695660637E-2</v>
      </c>
      <c r="K286" s="10">
        <f>MAX($C$2:C286)</f>
        <v>29.440999999999999</v>
      </c>
      <c r="L286" s="11">
        <f t="shared" si="26"/>
        <v>-6.6200197004177785E-2</v>
      </c>
    </row>
    <row r="287" spans="1:12" x14ac:dyDescent="0.35">
      <c r="A287" s="5" t="s">
        <v>727</v>
      </c>
      <c r="B287" s="22">
        <v>1898.8</v>
      </c>
      <c r="C287" s="10">
        <v>28.033000000000001</v>
      </c>
      <c r="D287" s="23">
        <f t="shared" si="27"/>
        <v>1.3612341856616667E-2</v>
      </c>
      <c r="E287" s="11">
        <f t="shared" si="28"/>
        <v>1.9678451913283879E-2</v>
      </c>
      <c r="F287" s="24">
        <f>(B287-$B$2)/$B$2</f>
        <v>0.24258883580917484</v>
      </c>
      <c r="G287" s="11">
        <f t="shared" si="29"/>
        <v>0.55341904023052213</v>
      </c>
      <c r="H287" s="25">
        <f t="shared" si="24"/>
        <v>67.734455819926509</v>
      </c>
      <c r="I287" s="26">
        <f>MAX($B$2:B287)</f>
        <v>2069.4</v>
      </c>
      <c r="J287" s="27">
        <f t="shared" si="25"/>
        <v>-8.243935440224226E-2</v>
      </c>
      <c r="K287" s="10">
        <f>MAX($C$2:C287)</f>
        <v>29.440999999999999</v>
      </c>
      <c r="L287" s="11">
        <f t="shared" si="26"/>
        <v>-4.7824462484290536E-2</v>
      </c>
    </row>
    <row r="288" spans="1:12" x14ac:dyDescent="0.35">
      <c r="A288" s="5" t="s">
        <v>729</v>
      </c>
      <c r="B288" s="22">
        <v>1894.4</v>
      </c>
      <c r="C288" s="10">
        <v>27.747</v>
      </c>
      <c r="D288" s="23">
        <f t="shared" si="27"/>
        <v>-2.3172530018958624E-3</v>
      </c>
      <c r="E288" s="11">
        <f t="shared" si="28"/>
        <v>-1.0202261620233345E-2</v>
      </c>
      <c r="F288" s="24">
        <f>(B288-$B$2)/$B$2</f>
        <v>0.23970944309927375</v>
      </c>
      <c r="G288" s="11">
        <f t="shared" si="29"/>
        <v>0.5375706527762385</v>
      </c>
      <c r="H288" s="25">
        <f t="shared" si="24"/>
        <v>68.274047644790429</v>
      </c>
      <c r="I288" s="26">
        <f>MAX($B$2:B288)</f>
        <v>2069.4</v>
      </c>
      <c r="J288" s="27">
        <f t="shared" si="25"/>
        <v>-8.4565574562675161E-2</v>
      </c>
      <c r="K288" s="10">
        <f>MAX($C$2:C288)</f>
        <v>29.440999999999999</v>
      </c>
      <c r="L288" s="11">
        <f t="shared" si="26"/>
        <v>-5.7538806426412119E-2</v>
      </c>
    </row>
    <row r="289" spans="1:12" x14ac:dyDescent="0.35">
      <c r="A289" s="5" t="s">
        <v>731</v>
      </c>
      <c r="B289" s="22">
        <v>1895.5</v>
      </c>
      <c r="C289" s="10">
        <v>28.016999999999999</v>
      </c>
      <c r="D289" s="23">
        <f t="shared" si="27"/>
        <v>5.8065878378373579E-4</v>
      </c>
      <c r="E289" s="11">
        <f t="shared" si="28"/>
        <v>9.7307817061303772E-3</v>
      </c>
      <c r="F289" s="24">
        <f>(B289-$B$2)/$B$2</f>
        <v>0.24042929127674897</v>
      </c>
      <c r="G289" s="11">
        <f t="shared" si="29"/>
        <v>0.55253241715615653</v>
      </c>
      <c r="H289" s="25">
        <f t="shared" si="24"/>
        <v>67.655352107648923</v>
      </c>
      <c r="I289" s="26">
        <f>MAX($B$2:B289)</f>
        <v>2069.4</v>
      </c>
      <c r="J289" s="27">
        <f t="shared" si="25"/>
        <v>-8.4034019522566963E-2</v>
      </c>
      <c r="K289" s="10">
        <f>MAX($C$2:C289)</f>
        <v>29.440999999999999</v>
      </c>
      <c r="L289" s="11">
        <f t="shared" si="26"/>
        <v>-4.8367922285248451E-2</v>
      </c>
    </row>
    <row r="290" spans="1:12" x14ac:dyDescent="0.35">
      <c r="A290" s="5" t="s">
        <v>733</v>
      </c>
      <c r="B290" s="22">
        <v>1896.4</v>
      </c>
      <c r="C290" s="10">
        <v>28.047000000000001</v>
      </c>
      <c r="D290" s="23">
        <f t="shared" si="27"/>
        <v>4.7480875758379898E-4</v>
      </c>
      <c r="E290" s="11">
        <f t="shared" si="28"/>
        <v>1.0707784559375072E-3</v>
      </c>
      <c r="F290" s="24">
        <f>(B290-$B$2)/$B$2</f>
        <v>0.24101825796741064</v>
      </c>
      <c r="G290" s="11">
        <f t="shared" si="29"/>
        <v>0.55419483542059189</v>
      </c>
      <c r="H290" s="25">
        <f t="shared" si="24"/>
        <v>67.615074696045923</v>
      </c>
      <c r="I290" s="26">
        <f>MAX($B$2:B290)</f>
        <v>2069.4</v>
      </c>
      <c r="J290" s="27">
        <f t="shared" si="25"/>
        <v>-8.3599110853387448E-2</v>
      </c>
      <c r="K290" s="10">
        <f>MAX($C$2:C290)</f>
        <v>29.440999999999999</v>
      </c>
      <c r="L290" s="11">
        <f t="shared" si="26"/>
        <v>-4.7348935158452447E-2</v>
      </c>
    </row>
    <row r="291" spans="1:12" x14ac:dyDescent="0.35">
      <c r="A291" s="5" t="s">
        <v>737</v>
      </c>
      <c r="B291" s="22">
        <v>1865.9</v>
      </c>
      <c r="C291" s="10">
        <v>28.053999999999998</v>
      </c>
      <c r="D291" s="23">
        <f t="shared" si="27"/>
        <v>-1.6083104830204597E-2</v>
      </c>
      <c r="E291" s="11">
        <f t="shared" si="28"/>
        <v>2.4958106036288718E-4</v>
      </c>
      <c r="F291" s="24">
        <f>(B291-$B$2)/$B$2</f>
        <v>0.2210588312283229</v>
      </c>
      <c r="G291" s="11">
        <f t="shared" si="29"/>
        <v>0.55458273301562666</v>
      </c>
      <c r="H291" s="25">
        <f t="shared" si="24"/>
        <v>66.511014472089542</v>
      </c>
      <c r="I291" s="26">
        <f>MAX($B$2:B291)</f>
        <v>2069.4</v>
      </c>
      <c r="J291" s="27">
        <f t="shared" si="25"/>
        <v>-9.8337682420025121E-2</v>
      </c>
      <c r="K291" s="10">
        <f>MAX($C$2:C291)</f>
        <v>29.440999999999999</v>
      </c>
      <c r="L291" s="11">
        <f t="shared" si="26"/>
        <v>-4.7111171495533455E-2</v>
      </c>
    </row>
    <row r="292" spans="1:12" x14ac:dyDescent="0.35">
      <c r="A292" s="5" t="s">
        <v>739</v>
      </c>
      <c r="B292" s="22">
        <v>1856.4</v>
      </c>
      <c r="C292" s="10">
        <v>27.71</v>
      </c>
      <c r="D292" s="23">
        <f t="shared" si="27"/>
        <v>-5.091376815477785E-3</v>
      </c>
      <c r="E292" s="11">
        <f t="shared" si="28"/>
        <v>-1.2262066015541372E-2</v>
      </c>
      <c r="F292" s="24">
        <f>(B292-$B$2)/$B$2</f>
        <v>0.21484196060467259</v>
      </c>
      <c r="G292" s="11">
        <f t="shared" si="29"/>
        <v>0.53552033691676837</v>
      </c>
      <c r="H292" s="25">
        <f t="shared" si="24"/>
        <v>66.993865030674854</v>
      </c>
      <c r="I292" s="26">
        <f>MAX($B$2:B292)</f>
        <v>2069.4</v>
      </c>
      <c r="J292" s="27">
        <f t="shared" si="25"/>
        <v>-0.10292838503914177</v>
      </c>
      <c r="K292" s="10">
        <f>MAX($C$2:C292)</f>
        <v>29.440999999999999</v>
      </c>
      <c r="L292" s="11">
        <f t="shared" si="26"/>
        <v>-5.8795557216127108E-2</v>
      </c>
    </row>
    <row r="293" spans="1:12" x14ac:dyDescent="0.35">
      <c r="A293" s="5" t="s">
        <v>741</v>
      </c>
      <c r="B293" s="22">
        <v>1861.4</v>
      </c>
      <c r="C293" s="10">
        <v>27.827999999999999</v>
      </c>
      <c r="D293" s="23">
        <f t="shared" si="27"/>
        <v>2.6933850463262228E-3</v>
      </c>
      <c r="E293" s="11">
        <f t="shared" si="28"/>
        <v>4.2583904727534665E-3</v>
      </c>
      <c r="F293" s="24">
        <f>(B293-$B$2)/$B$2</f>
        <v>0.21811399777501486</v>
      </c>
      <c r="G293" s="11">
        <f t="shared" si="29"/>
        <v>0.54205918209021386</v>
      </c>
      <c r="H293" s="25">
        <f t="shared" si="24"/>
        <v>66.889463849360368</v>
      </c>
      <c r="I293" s="26">
        <f>MAX($B$2:B293)</f>
        <v>2069.4</v>
      </c>
      <c r="J293" s="27">
        <f t="shared" si="25"/>
        <v>-0.10051222576592249</v>
      </c>
      <c r="K293" s="10">
        <f>MAX($C$2:C293)</f>
        <v>29.440999999999999</v>
      </c>
      <c r="L293" s="11">
        <f t="shared" si="26"/>
        <v>-5.4787541184063031E-2</v>
      </c>
    </row>
    <row r="294" spans="1:12" x14ac:dyDescent="0.35">
      <c r="A294" s="5" t="s">
        <v>743</v>
      </c>
      <c r="B294" s="22">
        <v>1774.8</v>
      </c>
      <c r="C294" s="10">
        <v>25.873000000000001</v>
      </c>
      <c r="D294" s="23">
        <f t="shared" si="27"/>
        <v>-4.652412162888156E-2</v>
      </c>
      <c r="E294" s="11">
        <f t="shared" si="28"/>
        <v>-7.0252982607445683E-2</v>
      </c>
      <c r="F294" s="24">
        <f>(B294-$B$2)/$B$2</f>
        <v>0.16144231398468689</v>
      </c>
      <c r="G294" s="11">
        <f t="shared" si="29"/>
        <v>0.43372492519117822</v>
      </c>
      <c r="H294" s="25">
        <f t="shared" si="24"/>
        <v>68.596606500985573</v>
      </c>
      <c r="I294" s="26">
        <f>MAX($B$2:B294)</f>
        <v>2069.4</v>
      </c>
      <c r="J294" s="27">
        <f t="shared" si="25"/>
        <v>-0.14236010437808067</v>
      </c>
      <c r="K294" s="10">
        <f>MAX($C$2:C294)</f>
        <v>29.440999999999999</v>
      </c>
      <c r="L294" s="11">
        <f t="shared" si="26"/>
        <v>-0.12119153561360001</v>
      </c>
    </row>
    <row r="295" spans="1:12" x14ac:dyDescent="0.35">
      <c r="A295" s="5" t="s">
        <v>747</v>
      </c>
      <c r="B295" s="22">
        <v>1782.9</v>
      </c>
      <c r="C295" s="10">
        <v>26.042999999999999</v>
      </c>
      <c r="D295" s="23">
        <f t="shared" si="27"/>
        <v>4.5638945233266491E-3</v>
      </c>
      <c r="E295" s="11">
        <f t="shared" si="28"/>
        <v>6.5705561782552525E-3</v>
      </c>
      <c r="F295" s="24">
        <f>(B295-$B$2)/$B$2</f>
        <v>0.16674301420064144</v>
      </c>
      <c r="G295" s="11">
        <f t="shared" si="29"/>
        <v>0.44314529535631164</v>
      </c>
      <c r="H295" s="25">
        <f t="shared" si="24"/>
        <v>68.459854855431402</v>
      </c>
      <c r="I295" s="26">
        <f>MAX($B$2:B295)</f>
        <v>2069.4</v>
      </c>
      <c r="J295" s="27">
        <f t="shared" si="25"/>
        <v>-0.13844592635546535</v>
      </c>
      <c r="K295" s="10">
        <f>MAX($C$2:C295)</f>
        <v>29.440999999999999</v>
      </c>
      <c r="L295" s="11">
        <f t="shared" si="26"/>
        <v>-0.11541727522842295</v>
      </c>
    </row>
    <row r="296" spans="1:12" x14ac:dyDescent="0.35">
      <c r="A296" s="5" t="s">
        <v>749</v>
      </c>
      <c r="B296" s="22">
        <v>1777.4</v>
      </c>
      <c r="C296" s="10">
        <v>25.876000000000001</v>
      </c>
      <c r="D296" s="23">
        <f t="shared" si="27"/>
        <v>-3.0848617421055584E-3</v>
      </c>
      <c r="E296" s="11">
        <f t="shared" si="28"/>
        <v>-6.4124716814498344E-3</v>
      </c>
      <c r="F296" s="24">
        <f>(B296-$B$2)/$B$2</f>
        <v>0.16314377331326496</v>
      </c>
      <c r="G296" s="11">
        <f t="shared" si="29"/>
        <v>0.43389116701762176</v>
      </c>
      <c r="H296" s="25">
        <f t="shared" si="24"/>
        <v>68.689132787138661</v>
      </c>
      <c r="I296" s="26">
        <f>MAX($B$2:B296)</f>
        <v>2069.4</v>
      </c>
      <c r="J296" s="27">
        <f t="shared" si="25"/>
        <v>-0.14110370155600657</v>
      </c>
      <c r="K296" s="10">
        <f>MAX($C$2:C296)</f>
        <v>29.440999999999999</v>
      </c>
      <c r="L296" s="11">
        <f t="shared" si="26"/>
        <v>-0.12108963690092041</v>
      </c>
    </row>
    <row r="297" spans="1:12" x14ac:dyDescent="0.35">
      <c r="A297" s="5" t="s">
        <v>751</v>
      </c>
      <c r="B297" s="22">
        <v>1783.4</v>
      </c>
      <c r="C297" s="10">
        <v>26.132000000000001</v>
      </c>
      <c r="D297" s="23">
        <f t="shared" si="27"/>
        <v>3.375717339934736E-3</v>
      </c>
      <c r="E297" s="11">
        <f t="shared" si="28"/>
        <v>9.8933374555572814E-3</v>
      </c>
      <c r="F297" s="24">
        <f>(B297-$B$2)/$B$2</f>
        <v>0.16707021791767568</v>
      </c>
      <c r="G297" s="11">
        <f t="shared" si="29"/>
        <v>0.44807713620746992</v>
      </c>
      <c r="H297" s="25">
        <f t="shared" si="24"/>
        <v>68.245828868819842</v>
      </c>
      <c r="I297" s="26">
        <f>MAX($B$2:B297)</f>
        <v>2069.4</v>
      </c>
      <c r="J297" s="27">
        <f t="shared" si="25"/>
        <v>-0.13820431042814341</v>
      </c>
      <c r="K297" s="10">
        <f>MAX($C$2:C297)</f>
        <v>29.440999999999999</v>
      </c>
      <c r="L297" s="11">
        <f t="shared" si="26"/>
        <v>-0.11239428008559484</v>
      </c>
    </row>
    <row r="298" spans="1:12" x14ac:dyDescent="0.35">
      <c r="A298" s="5" t="s">
        <v>753</v>
      </c>
      <c r="B298" s="22">
        <v>1776.7</v>
      </c>
      <c r="C298" s="10">
        <v>26.068999999999999</v>
      </c>
      <c r="D298" s="23">
        <f t="shared" si="27"/>
        <v>-3.7568689020971431E-3</v>
      </c>
      <c r="E298" s="11">
        <f t="shared" si="28"/>
        <v>-2.4108372876168065E-3</v>
      </c>
      <c r="F298" s="24">
        <f>(B298-$B$2)/$B$2</f>
        <v>0.16268568810941703</v>
      </c>
      <c r="G298" s="11">
        <f t="shared" si="29"/>
        <v>0.4445860578521556</v>
      </c>
      <c r="H298" s="25">
        <f t="shared" si="24"/>
        <v>68.153745828378533</v>
      </c>
      <c r="I298" s="26">
        <f>MAX($B$2:B298)</f>
        <v>2069.4</v>
      </c>
      <c r="J298" s="27">
        <f t="shared" si="25"/>
        <v>-0.14144196385425728</v>
      </c>
      <c r="K298" s="10">
        <f>MAX($C$2:C298)</f>
        <v>29.440999999999999</v>
      </c>
      <c r="L298" s="11">
        <f t="shared" si="26"/>
        <v>-0.11453415305186644</v>
      </c>
    </row>
    <row r="299" spans="1:12" x14ac:dyDescent="0.35">
      <c r="A299" s="5" t="s">
        <v>757</v>
      </c>
      <c r="B299" s="22">
        <v>1780.7</v>
      </c>
      <c r="C299" s="10">
        <v>26.239000000000001</v>
      </c>
      <c r="D299" s="23">
        <f t="shared" si="27"/>
        <v>2.2513648899645409E-3</v>
      </c>
      <c r="E299" s="11">
        <f t="shared" si="28"/>
        <v>6.521155395297162E-3</v>
      </c>
      <c r="F299" s="24">
        <f>(B299-$B$2)/$B$2</f>
        <v>0.16530331784569083</v>
      </c>
      <c r="G299" s="11">
        <f t="shared" si="29"/>
        <v>0.45400642801728924</v>
      </c>
      <c r="H299" s="25">
        <f t="shared" si="24"/>
        <v>67.864628987385188</v>
      </c>
      <c r="I299" s="26">
        <f>MAX($B$2:B299)</f>
        <v>2069.4</v>
      </c>
      <c r="J299" s="27">
        <f t="shared" si="25"/>
        <v>-0.13950903643568185</v>
      </c>
      <c r="K299" s="10">
        <f>MAX($C$2:C299)</f>
        <v>29.440999999999999</v>
      </c>
      <c r="L299" s="11">
        <f t="shared" si="26"/>
        <v>-0.10875989266668926</v>
      </c>
    </row>
    <row r="300" spans="1:12" x14ac:dyDescent="0.35">
      <c r="A300" s="5" t="s">
        <v>759</v>
      </c>
      <c r="B300" s="22">
        <v>1763.6</v>
      </c>
      <c r="C300" s="10">
        <v>25.901</v>
      </c>
      <c r="D300" s="23">
        <f t="shared" si="27"/>
        <v>-9.6029651260740919E-3</v>
      </c>
      <c r="E300" s="11">
        <f t="shared" si="28"/>
        <v>-1.2881588475170585E-2</v>
      </c>
      <c r="F300" s="24">
        <f>(B300-$B$2)/$B$2</f>
        <v>0.15411295072312023</v>
      </c>
      <c r="G300" s="11">
        <f t="shared" si="29"/>
        <v>0.4352765155713178</v>
      </c>
      <c r="H300" s="25">
        <f t="shared" si="24"/>
        <v>68.090035133778613</v>
      </c>
      <c r="I300" s="26">
        <f>MAX($B$2:B300)</f>
        <v>2069.4</v>
      </c>
      <c r="J300" s="27">
        <f t="shared" si="25"/>
        <v>-0.14777230115009191</v>
      </c>
      <c r="K300" s="10">
        <f>MAX($C$2:C300)</f>
        <v>29.440999999999999</v>
      </c>
      <c r="L300" s="11">
        <f t="shared" si="26"/>
        <v>-0.12024048096192383</v>
      </c>
    </row>
    <row r="301" spans="1:12" x14ac:dyDescent="0.35">
      <c r="A301" s="5" t="s">
        <v>761</v>
      </c>
      <c r="B301" s="22">
        <v>1771.6</v>
      </c>
      <c r="C301" s="10">
        <v>26.193999999999999</v>
      </c>
      <c r="D301" s="23">
        <f t="shared" si="27"/>
        <v>4.5361760036289412E-3</v>
      </c>
      <c r="E301" s="11">
        <f t="shared" si="28"/>
        <v>1.1312304544226064E-2</v>
      </c>
      <c r="F301" s="24">
        <f>(B301-$B$2)/$B$2</f>
        <v>0.15934821019566783</v>
      </c>
      <c r="G301" s="11">
        <f t="shared" si="29"/>
        <v>0.45151280062063615</v>
      </c>
      <c r="H301" s="25">
        <f t="shared" si="24"/>
        <v>67.633809269298311</v>
      </c>
      <c r="I301" s="26">
        <f>MAX($B$2:B301)</f>
        <v>2069.4</v>
      </c>
      <c r="J301" s="27">
        <f t="shared" si="25"/>
        <v>-0.14390644631294103</v>
      </c>
      <c r="K301" s="10">
        <f>MAX($C$2:C301)</f>
        <v>29.440999999999999</v>
      </c>
      <c r="L301" s="11">
        <f t="shared" si="26"/>
        <v>-0.11028837335688325</v>
      </c>
    </row>
    <row r="302" spans="1:12" x14ac:dyDescent="0.35">
      <c r="A302" s="5" t="s">
        <v>763</v>
      </c>
      <c r="B302" s="22">
        <v>1776.8</v>
      </c>
      <c r="C302" s="10">
        <v>26.1</v>
      </c>
      <c r="D302" s="23">
        <f t="shared" si="27"/>
        <v>2.9351998193723446E-3</v>
      </c>
      <c r="E302" s="11">
        <f t="shared" si="28"/>
        <v>-3.588608078185754E-3</v>
      </c>
      <c r="F302" s="24">
        <f>(B302-$B$2)/$B$2</f>
        <v>0.16275112885282381</v>
      </c>
      <c r="G302" s="11">
        <f t="shared" si="29"/>
        <v>0.44630389005873888</v>
      </c>
      <c r="H302" s="25">
        <f t="shared" si="24"/>
        <v>68.076628352490417</v>
      </c>
      <c r="I302" s="26">
        <f>MAX($B$2:B302)</f>
        <v>2069.4</v>
      </c>
      <c r="J302" s="27">
        <f t="shared" si="25"/>
        <v>-0.14139364066879295</v>
      </c>
      <c r="K302" s="10">
        <f>MAX($C$2:C302)</f>
        <v>29.440999999999999</v>
      </c>
      <c r="L302" s="11">
        <f t="shared" si="26"/>
        <v>-0.11348119968751054</v>
      </c>
    </row>
    <row r="303" spans="1:12" x14ac:dyDescent="0.35">
      <c r="A303" s="5" t="s">
        <v>769</v>
      </c>
      <c r="B303" s="22">
        <v>1794.2</v>
      </c>
      <c r="C303" s="10">
        <v>26.173999999999999</v>
      </c>
      <c r="D303" s="23">
        <f t="shared" si="27"/>
        <v>9.7928860873480929E-3</v>
      </c>
      <c r="E303" s="11">
        <f t="shared" si="28"/>
        <v>2.8352490421455195E-3</v>
      </c>
      <c r="F303" s="24">
        <f>(B303-$B$2)/$B$2</f>
        <v>0.17413781820561491</v>
      </c>
      <c r="G303" s="11">
        <f t="shared" si="29"/>
        <v>0.45040452177767931</v>
      </c>
      <c r="H303" s="25">
        <f t="shared" si="24"/>
        <v>68.548941697868116</v>
      </c>
      <c r="I303" s="26">
        <f>MAX($B$2:B303)</f>
        <v>2069.4</v>
      </c>
      <c r="J303" s="27">
        <f t="shared" si="25"/>
        <v>-0.13298540639798978</v>
      </c>
      <c r="K303" s="10">
        <f>MAX($C$2:C303)</f>
        <v>29.440999999999999</v>
      </c>
      <c r="L303" s="11">
        <f t="shared" si="26"/>
        <v>-0.11096769810808055</v>
      </c>
    </row>
    <row r="304" spans="1:12" x14ac:dyDescent="0.35">
      <c r="A304" s="5" t="s">
        <v>770</v>
      </c>
      <c r="B304" s="22">
        <v>1802.1</v>
      </c>
      <c r="C304" s="10">
        <v>26.129000000000001</v>
      </c>
      <c r="D304" s="23">
        <f t="shared" si="27"/>
        <v>4.4030765800913297E-3</v>
      </c>
      <c r="E304" s="11">
        <f t="shared" si="28"/>
        <v>-1.7192633911514538E-3</v>
      </c>
      <c r="F304" s="24">
        <f>(B304-$B$2)/$B$2</f>
        <v>0.1793076369347556</v>
      </c>
      <c r="G304" s="11">
        <f t="shared" si="29"/>
        <v>0.44791089438102638</v>
      </c>
      <c r="H304" s="25">
        <f t="shared" si="24"/>
        <v>68.969344406598026</v>
      </c>
      <c r="I304" s="26">
        <f>MAX($B$2:B304)</f>
        <v>2069.4</v>
      </c>
      <c r="J304" s="27">
        <f t="shared" si="25"/>
        <v>-0.12916787474630337</v>
      </c>
      <c r="K304" s="10">
        <f>MAX($C$2:C304)</f>
        <v>29.440999999999999</v>
      </c>
      <c r="L304" s="11">
        <f t="shared" si="26"/>
        <v>-0.11249617879827443</v>
      </c>
    </row>
    <row r="305" spans="1:12" x14ac:dyDescent="0.35">
      <c r="A305" s="5" t="s">
        <v>772</v>
      </c>
      <c r="B305" s="22">
        <v>1800.2</v>
      </c>
      <c r="C305" s="10">
        <v>25.986999999999998</v>
      </c>
      <c r="D305" s="23">
        <f t="shared" si="27"/>
        <v>-1.0543255091281637E-3</v>
      </c>
      <c r="E305" s="11">
        <f t="shared" si="28"/>
        <v>-5.4345746105860541E-3</v>
      </c>
      <c r="F305" s="24">
        <f>(B305-$B$2)/$B$2</f>
        <v>0.17806426281002563</v>
      </c>
      <c r="G305" s="11">
        <f t="shared" si="29"/>
        <v>0.44004211459603232</v>
      </c>
      <c r="H305" s="25">
        <f t="shared" si="24"/>
        <v>69.273098087505304</v>
      </c>
      <c r="I305" s="26">
        <f>MAX($B$2:B305)</f>
        <v>2069.4</v>
      </c>
      <c r="J305" s="27">
        <f t="shared" si="25"/>
        <v>-0.13008601527012661</v>
      </c>
      <c r="K305" s="10">
        <f>MAX($C$2:C305)</f>
        <v>29.440999999999999</v>
      </c>
      <c r="L305" s="11">
        <f t="shared" si="26"/>
        <v>-0.11731938453177544</v>
      </c>
    </row>
    <row r="306" spans="1:12" x14ac:dyDescent="0.35">
      <c r="A306" s="5" t="s">
        <v>776</v>
      </c>
      <c r="B306" s="22">
        <v>1805.9</v>
      </c>
      <c r="C306" s="10">
        <v>26.239000000000001</v>
      </c>
      <c r="D306" s="23">
        <f t="shared" si="27"/>
        <v>3.166314853905147E-3</v>
      </c>
      <c r="E306" s="11">
        <f t="shared" si="28"/>
        <v>9.6971562704430084E-3</v>
      </c>
      <c r="F306" s="24">
        <f>(B306-$B$2)/$B$2</f>
        <v>0.18179438518421581</v>
      </c>
      <c r="G306" s="11">
        <f t="shared" si="29"/>
        <v>0.45400642801728924</v>
      </c>
      <c r="H306" s="25">
        <f t="shared" si="24"/>
        <v>68.825031441747015</v>
      </c>
      <c r="I306" s="26">
        <f>MAX($B$2:B306)</f>
        <v>2069.4</v>
      </c>
      <c r="J306" s="27">
        <f t="shared" si="25"/>
        <v>-0.1273315936986566</v>
      </c>
      <c r="K306" s="10">
        <f>MAX($C$2:C306)</f>
        <v>29.440999999999999</v>
      </c>
      <c r="L306" s="11">
        <f t="shared" si="26"/>
        <v>-0.10875989266668926</v>
      </c>
    </row>
    <row r="307" spans="1:12" x14ac:dyDescent="0.35">
      <c r="A307" s="5" t="s">
        <v>778</v>
      </c>
      <c r="B307" s="22">
        <v>1809.9</v>
      </c>
      <c r="C307" s="10">
        <v>26.14</v>
      </c>
      <c r="D307" s="23">
        <f t="shared" si="27"/>
        <v>2.214962068774572E-3</v>
      </c>
      <c r="E307" s="11">
        <f t="shared" si="28"/>
        <v>-3.7730096421357594E-3</v>
      </c>
      <c r="F307" s="24">
        <f>(B307-$B$2)/$B$2</f>
        <v>0.18441201492048961</v>
      </c>
      <c r="G307" s="11">
        <f t="shared" si="29"/>
        <v>0.44852044774465266</v>
      </c>
      <c r="H307" s="25">
        <f t="shared" si="24"/>
        <v>69.238714613618981</v>
      </c>
      <c r="I307" s="26">
        <f>MAX($B$2:B307)</f>
        <v>2069.4</v>
      </c>
      <c r="J307" s="27">
        <f t="shared" si="25"/>
        <v>-0.12539866628008117</v>
      </c>
      <c r="K307" s="10">
        <f>MAX($C$2:C307)</f>
        <v>29.440999999999999</v>
      </c>
      <c r="L307" s="11">
        <f t="shared" si="26"/>
        <v>-0.11212255018511594</v>
      </c>
    </row>
    <row r="308" spans="1:12" x14ac:dyDescent="0.35">
      <c r="A308" s="5" t="s">
        <v>780</v>
      </c>
      <c r="B308" s="22">
        <v>1825</v>
      </c>
      <c r="C308" s="10">
        <v>26.271000000000001</v>
      </c>
      <c r="D308" s="23">
        <f t="shared" si="27"/>
        <v>8.3430023758218185E-3</v>
      </c>
      <c r="E308" s="11">
        <f t="shared" si="28"/>
        <v>5.0114766641163053E-3</v>
      </c>
      <c r="F308" s="24">
        <f>(B308-$B$2)/$B$2</f>
        <v>0.19429356717492319</v>
      </c>
      <c r="G308" s="11">
        <f t="shared" si="29"/>
        <v>0.45577967416602028</v>
      </c>
      <c r="H308" s="25">
        <f t="shared" si="24"/>
        <v>69.468234935860835</v>
      </c>
      <c r="I308" s="26">
        <f>MAX($B$2:B308)</f>
        <v>2069.4</v>
      </c>
      <c r="J308" s="27">
        <f t="shared" si="25"/>
        <v>-0.11810186527495896</v>
      </c>
      <c r="K308" s="10">
        <f>MAX($C$2:C308)</f>
        <v>29.440999999999999</v>
      </c>
      <c r="L308" s="11">
        <f t="shared" si="26"/>
        <v>-0.10767297306477355</v>
      </c>
    </row>
    <row r="309" spans="1:12" x14ac:dyDescent="0.35">
      <c r="A309" s="5" t="s">
        <v>782</v>
      </c>
      <c r="B309" s="22">
        <v>1829</v>
      </c>
      <c r="C309" s="10">
        <v>26.393999999999998</v>
      </c>
      <c r="D309" s="23">
        <f t="shared" si="27"/>
        <v>2.1917808219178081E-3</v>
      </c>
      <c r="E309" s="11">
        <f t="shared" si="28"/>
        <v>4.681968710745596E-3</v>
      </c>
      <c r="F309" s="24">
        <f>(B309-$B$2)/$B$2</f>
        <v>0.19691119691119699</v>
      </c>
      <c r="G309" s="11">
        <f t="shared" si="29"/>
        <v>0.46259558905020498</v>
      </c>
      <c r="H309" s="25">
        <f t="shared" si="24"/>
        <v>69.296052133060542</v>
      </c>
      <c r="I309" s="26">
        <f>MAX($B$2:B309)</f>
        <v>2069.4</v>
      </c>
      <c r="J309" s="27">
        <f t="shared" si="25"/>
        <v>-0.11616893785638353</v>
      </c>
      <c r="K309" s="10">
        <f>MAX($C$2:C309)</f>
        <v>29.440999999999999</v>
      </c>
      <c r="L309" s="11">
        <f t="shared" si="26"/>
        <v>-0.10349512584491018</v>
      </c>
    </row>
    <row r="310" spans="1:12" x14ac:dyDescent="0.35">
      <c r="A310" s="5" t="s">
        <v>786</v>
      </c>
      <c r="B310" s="22">
        <v>1809.2</v>
      </c>
      <c r="C310" s="10">
        <v>25.143999999999998</v>
      </c>
      <c r="D310" s="23">
        <f t="shared" si="27"/>
        <v>-1.0825587752870396E-2</v>
      </c>
      <c r="E310" s="11">
        <f t="shared" si="28"/>
        <v>-4.7359248314010761E-2</v>
      </c>
      <c r="F310" s="24">
        <f>(B310-$B$2)/$B$2</f>
        <v>0.18395392971664168</v>
      </c>
      <c r="G310" s="11">
        <f t="shared" si="29"/>
        <v>0.3933281613653995</v>
      </c>
      <c r="H310" s="25">
        <f t="shared" si="24"/>
        <v>71.953547566019736</v>
      </c>
      <c r="I310" s="26">
        <f>MAX($B$2:B310)</f>
        <v>2069.4</v>
      </c>
      <c r="J310" s="27">
        <f t="shared" si="25"/>
        <v>-0.12573692857833191</v>
      </c>
      <c r="K310" s="10">
        <f>MAX($C$2:C310)</f>
        <v>29.440999999999999</v>
      </c>
      <c r="L310" s="11">
        <f t="shared" si="26"/>
        <v>-0.14595292279474206</v>
      </c>
    </row>
    <row r="311" spans="1:12" x14ac:dyDescent="0.35">
      <c r="A311" s="5" t="s">
        <v>788</v>
      </c>
      <c r="B311" s="22">
        <v>1811.4</v>
      </c>
      <c r="C311" s="10">
        <v>24.995000000000001</v>
      </c>
      <c r="D311" s="23">
        <f t="shared" si="27"/>
        <v>1.2160070749502793E-3</v>
      </c>
      <c r="E311" s="11">
        <f t="shared" si="28"/>
        <v>-5.9258670060450746E-3</v>
      </c>
      <c r="F311" s="24">
        <f>(B311-$B$2)/$B$2</f>
        <v>0.18539362607159229</v>
      </c>
      <c r="G311" s="11">
        <f t="shared" si="29"/>
        <v>0.38507148398537083</v>
      </c>
      <c r="H311" s="25">
        <f t="shared" si="24"/>
        <v>72.470494098819771</v>
      </c>
      <c r="I311" s="26">
        <f>MAX($B$2:B311)</f>
        <v>2069.4</v>
      </c>
      <c r="J311" s="27">
        <f t="shared" si="25"/>
        <v>-0.12467381849811539</v>
      </c>
      <c r="K311" s="10">
        <f>MAX($C$2:C311)</f>
        <v>29.440999999999999</v>
      </c>
      <c r="L311" s="11">
        <f t="shared" si="26"/>
        <v>-0.15101389219116193</v>
      </c>
    </row>
    <row r="312" spans="1:12" x14ac:dyDescent="0.35">
      <c r="A312" s="5" t="s">
        <v>790</v>
      </c>
      <c r="B312" s="22">
        <v>1803.4</v>
      </c>
      <c r="C312" s="10">
        <v>25.254999999999999</v>
      </c>
      <c r="D312" s="23">
        <f t="shared" si="27"/>
        <v>-4.4164734459534059E-3</v>
      </c>
      <c r="E312" s="11">
        <f t="shared" si="28"/>
        <v>1.0402080416083136E-2</v>
      </c>
      <c r="F312" s="24">
        <f>(B312-$B$2)/$B$2</f>
        <v>0.18015836659904469</v>
      </c>
      <c r="G312" s="11">
        <f t="shared" si="29"/>
        <v>0.39947910894381028</v>
      </c>
      <c r="H312" s="25">
        <f t="shared" si="24"/>
        <v>71.407642051078994</v>
      </c>
      <c r="I312" s="26">
        <f>MAX($B$2:B312)</f>
        <v>2069.4</v>
      </c>
      <c r="J312" s="27">
        <f t="shared" si="25"/>
        <v>-0.12853967333526625</v>
      </c>
      <c r="K312" s="10">
        <f>MAX($C$2:C312)</f>
        <v>29.440999999999999</v>
      </c>
      <c r="L312" s="11">
        <f t="shared" si="26"/>
        <v>-0.14218267042559696</v>
      </c>
    </row>
    <row r="313" spans="1:12" x14ac:dyDescent="0.35">
      <c r="A313" s="5" t="s">
        <v>792</v>
      </c>
      <c r="B313" s="22">
        <v>1805.4</v>
      </c>
      <c r="C313" s="10">
        <v>25.381</v>
      </c>
      <c r="D313" s="23">
        <f t="shared" si="27"/>
        <v>1.1090163025396472E-3</v>
      </c>
      <c r="E313" s="11">
        <f t="shared" si="28"/>
        <v>4.9891110671154712E-3</v>
      </c>
      <c r="F313" s="24">
        <f>(B313-$B$2)/$B$2</f>
        <v>0.1814671814671816</v>
      </c>
      <c r="G313" s="11">
        <f t="shared" si="29"/>
        <v>0.40646126565443874</v>
      </c>
      <c r="H313" s="25">
        <f t="shared" si="24"/>
        <v>71.131949095780314</v>
      </c>
      <c r="I313" s="26">
        <f>MAX($B$2:B313)</f>
        <v>2069.4</v>
      </c>
      <c r="J313" s="27">
        <f t="shared" si="25"/>
        <v>-0.12757320962597854</v>
      </c>
      <c r="K313" s="10">
        <f>MAX($C$2:C313)</f>
        <v>29.440999999999999</v>
      </c>
      <c r="L313" s="11">
        <f t="shared" si="26"/>
        <v>-0.13790292449305386</v>
      </c>
    </row>
    <row r="314" spans="1:12" x14ac:dyDescent="0.35">
      <c r="A314" s="5" t="s">
        <v>796</v>
      </c>
      <c r="B314" s="22">
        <v>1799.2</v>
      </c>
      <c r="C314" s="10">
        <v>25.318000000000001</v>
      </c>
      <c r="D314" s="23">
        <f t="shared" si="27"/>
        <v>-3.4341420183893016E-3</v>
      </c>
      <c r="E314" s="11">
        <f t="shared" si="28"/>
        <v>-2.4821717032425372E-3</v>
      </c>
      <c r="F314" s="24">
        <f>(B314-$B$2)/$B$2</f>
        <v>0.17740985537595716</v>
      </c>
      <c r="G314" s="11">
        <f t="shared" si="29"/>
        <v>0.40297018729912459</v>
      </c>
      <c r="H314" s="25">
        <f t="shared" si="24"/>
        <v>71.064065092029381</v>
      </c>
      <c r="I314" s="26">
        <f>MAX($B$2:B314)</f>
        <v>2069.4</v>
      </c>
      <c r="J314" s="27">
        <f t="shared" si="25"/>
        <v>-0.13056924712477047</v>
      </c>
      <c r="K314" s="10">
        <f>MAX($C$2:C314)</f>
        <v>29.440999999999999</v>
      </c>
      <c r="L314" s="11">
        <f t="shared" si="26"/>
        <v>-0.14004279745932535</v>
      </c>
    </row>
    <row r="315" spans="1:12" x14ac:dyDescent="0.35">
      <c r="A315" s="5" t="s">
        <v>798</v>
      </c>
      <c r="B315" s="22">
        <v>1799.8</v>
      </c>
      <c r="C315" s="10">
        <v>24.649000000000001</v>
      </c>
      <c r="D315" s="23">
        <f t="shared" si="27"/>
        <v>3.3348154735432918E-4</v>
      </c>
      <c r="E315" s="11">
        <f t="shared" si="28"/>
        <v>-2.6423888142823305E-2</v>
      </c>
      <c r="F315" s="24">
        <f>(B315-$B$2)/$B$2</f>
        <v>0.17780249983639818</v>
      </c>
      <c r="G315" s="11">
        <f t="shared" si="29"/>
        <v>0.36589826000221665</v>
      </c>
      <c r="H315" s="25">
        <f t="shared" si="24"/>
        <v>73.017160939591861</v>
      </c>
      <c r="I315" s="26">
        <f>MAX($B$2:B315)</f>
        <v>2069.4</v>
      </c>
      <c r="J315" s="27">
        <f t="shared" si="25"/>
        <v>-0.1302793080119842</v>
      </c>
      <c r="K315" s="10">
        <f>MAX($C$2:C315)</f>
        <v>29.440999999999999</v>
      </c>
      <c r="L315" s="11">
        <f t="shared" si="26"/>
        <v>-0.16276621038687539</v>
      </c>
    </row>
    <row r="316" spans="1:12" x14ac:dyDescent="0.35">
      <c r="A316" s="5" t="s">
        <v>800</v>
      </c>
      <c r="B316" s="22">
        <v>1799.7</v>
      </c>
      <c r="C316" s="10">
        <v>24.876999999999999</v>
      </c>
      <c r="D316" s="23">
        <f t="shared" si="27"/>
        <v>-5.5561729080958467E-5</v>
      </c>
      <c r="E316" s="11">
        <f t="shared" si="28"/>
        <v>9.2498681488092007E-3</v>
      </c>
      <c r="F316" s="24">
        <f>(B316-$B$2)/$B$2</f>
        <v>0.1777370590929914</v>
      </c>
      <c r="G316" s="11">
        <f t="shared" si="29"/>
        <v>0.37853263881192506</v>
      </c>
      <c r="H316" s="25">
        <f t="shared" si="24"/>
        <v>72.343932146159105</v>
      </c>
      <c r="I316" s="26">
        <f>MAX($B$2:B316)</f>
        <v>2069.4</v>
      </c>
      <c r="J316" s="27">
        <f t="shared" si="25"/>
        <v>-0.13032763119744856</v>
      </c>
      <c r="K316" s="10">
        <f>MAX($C$2:C316)</f>
        <v>29.440999999999999</v>
      </c>
      <c r="L316" s="11">
        <f t="shared" si="26"/>
        <v>-0.15502190822322612</v>
      </c>
    </row>
    <row r="317" spans="1:12" x14ac:dyDescent="0.35">
      <c r="A317" s="5" t="s">
        <v>802</v>
      </c>
      <c r="B317" s="22">
        <v>1835.8</v>
      </c>
      <c r="C317" s="10">
        <v>25.798999999999999</v>
      </c>
      <c r="D317" s="23">
        <f t="shared" si="27"/>
        <v>2.0058898705339726E-2</v>
      </c>
      <c r="E317" s="11">
        <f t="shared" si="28"/>
        <v>3.70623467459903E-2</v>
      </c>
      <c r="F317" s="24">
        <f>(B317-$B$2)/$B$2</f>
        <v>0.20136116746286242</v>
      </c>
      <c r="G317" s="11">
        <f t="shared" si="29"/>
        <v>0.42962429347223763</v>
      </c>
      <c r="H317" s="25">
        <f t="shared" si="24"/>
        <v>71.157796813829989</v>
      </c>
      <c r="I317" s="26">
        <f>MAX($B$2:B317)</f>
        <v>2069.4</v>
      </c>
      <c r="J317" s="27">
        <f t="shared" si="25"/>
        <v>-0.11288296124480532</v>
      </c>
      <c r="K317" s="10">
        <f>MAX($C$2:C317)</f>
        <v>29.440999999999999</v>
      </c>
      <c r="L317" s="11">
        <f t="shared" si="26"/>
        <v>-0.12370503719303011</v>
      </c>
    </row>
    <row r="318" spans="1:12" x14ac:dyDescent="0.35">
      <c r="A318" s="5" t="s">
        <v>806</v>
      </c>
      <c r="B318" s="22">
        <v>1822.2</v>
      </c>
      <c r="C318" s="10">
        <v>25.59</v>
      </c>
      <c r="D318" s="23">
        <f t="shared" si="27"/>
        <v>-7.4082144024403039E-3</v>
      </c>
      <c r="E318" s="11">
        <f t="shared" si="28"/>
        <v>-8.1010891895034551E-3</v>
      </c>
      <c r="F318" s="24">
        <f>(B318-$B$2)/$B$2</f>
        <v>0.19246122635953156</v>
      </c>
      <c r="G318" s="11">
        <f t="shared" si="29"/>
        <v>0.41804277956333818</v>
      </c>
      <c r="H318" s="25">
        <f t="shared" si="24"/>
        <v>71.207502930832362</v>
      </c>
      <c r="I318" s="26">
        <f>MAX($B$2:B318)</f>
        <v>2069.4</v>
      </c>
      <c r="J318" s="27">
        <f t="shared" si="25"/>
        <v>-0.11945491446796175</v>
      </c>
      <c r="K318" s="10">
        <f>MAX($C$2:C318)</f>
        <v>29.440999999999999</v>
      </c>
      <c r="L318" s="11">
        <f t="shared" si="26"/>
        <v>-0.13080398084304198</v>
      </c>
    </row>
    <row r="319" spans="1:12" x14ac:dyDescent="0.35">
      <c r="A319" s="5" t="s">
        <v>808</v>
      </c>
      <c r="B319" s="22">
        <v>1814.1</v>
      </c>
      <c r="C319" s="10">
        <v>25.594999999999999</v>
      </c>
      <c r="D319" s="23">
        <f t="shared" si="27"/>
        <v>-4.4451761606849613E-3</v>
      </c>
      <c r="E319" s="11">
        <f t="shared" si="28"/>
        <v>1.9538882375924209E-4</v>
      </c>
      <c r="F319" s="24">
        <f>(B319-$B$2)/$B$2</f>
        <v>0.18716052614357701</v>
      </c>
      <c r="G319" s="11">
        <f t="shared" si="29"/>
        <v>0.41831984927407734</v>
      </c>
      <c r="H319" s="25">
        <f t="shared" si="24"/>
        <v>70.877124438366863</v>
      </c>
      <c r="I319" s="26">
        <f>MAX($B$2:B319)</f>
        <v>2069.4</v>
      </c>
      <c r="J319" s="27">
        <f t="shared" si="25"/>
        <v>-0.12336909249057706</v>
      </c>
      <c r="K319" s="10">
        <f>MAX($C$2:C319)</f>
        <v>29.440999999999999</v>
      </c>
      <c r="L319" s="11">
        <f t="shared" si="26"/>
        <v>-0.1306341496552427</v>
      </c>
    </row>
    <row r="320" spans="1:12" x14ac:dyDescent="0.35">
      <c r="A320" s="5" t="s">
        <v>810</v>
      </c>
      <c r="B320" s="22">
        <v>1814.5</v>
      </c>
      <c r="C320" s="10">
        <v>25.474</v>
      </c>
      <c r="D320" s="23">
        <f t="shared" si="27"/>
        <v>2.2049501130041947E-4</v>
      </c>
      <c r="E320" s="11">
        <f t="shared" si="28"/>
        <v>-4.727485837077502E-3</v>
      </c>
      <c r="F320" s="24">
        <f>(B320-$B$2)/$B$2</f>
        <v>0.18742228911720443</v>
      </c>
      <c r="G320" s="11">
        <f t="shared" si="29"/>
        <v>0.41161476227418825</v>
      </c>
      <c r="H320" s="25">
        <f t="shared" si="24"/>
        <v>71.22948889063359</v>
      </c>
      <c r="I320" s="26">
        <f>MAX($B$2:B320)</f>
        <v>2069.4</v>
      </c>
      <c r="J320" s="27">
        <f t="shared" si="25"/>
        <v>-0.12317579974871948</v>
      </c>
      <c r="K320" s="10">
        <f>MAX($C$2:C320)</f>
        <v>29.440999999999999</v>
      </c>
      <c r="L320" s="11">
        <f t="shared" si="26"/>
        <v>-0.13474406439998637</v>
      </c>
    </row>
    <row r="321" spans="1:12" x14ac:dyDescent="0.35">
      <c r="A321" s="5" t="s">
        <v>812</v>
      </c>
      <c r="B321" s="22">
        <v>1808.9</v>
      </c>
      <c r="C321" s="10">
        <v>25.303000000000001</v>
      </c>
      <c r="D321" s="23">
        <f t="shared" si="27"/>
        <v>-3.0862496555524436E-3</v>
      </c>
      <c r="E321" s="11">
        <f t="shared" si="28"/>
        <v>-6.7127267017350776E-3</v>
      </c>
      <c r="F321" s="24">
        <f>(B321-$B$2)/$B$2</f>
        <v>0.18375760748642117</v>
      </c>
      <c r="G321" s="11">
        <f t="shared" si="29"/>
        <v>0.40213897816690691</v>
      </c>
      <c r="H321" s="25">
        <f t="shared" si="24"/>
        <v>71.489546694067897</v>
      </c>
      <c r="I321" s="26">
        <f>MAX($B$2:B321)</f>
        <v>2069.4</v>
      </c>
      <c r="J321" s="27">
        <f t="shared" si="25"/>
        <v>-0.12588189813472503</v>
      </c>
      <c r="K321" s="10">
        <f>MAX($C$2:C321)</f>
        <v>29.440999999999999</v>
      </c>
      <c r="L321" s="11">
        <f t="shared" si="26"/>
        <v>-0.14055229102272335</v>
      </c>
    </row>
    <row r="322" spans="1:12" x14ac:dyDescent="0.35">
      <c r="A322" s="5" t="s">
        <v>816</v>
      </c>
      <c r="B322" s="22">
        <v>1726.5</v>
      </c>
      <c r="C322" s="10">
        <v>23.279</v>
      </c>
      <c r="D322" s="23">
        <f t="shared" si="27"/>
        <v>-4.5552545746033547E-2</v>
      </c>
      <c r="E322" s="11">
        <f t="shared" si="28"/>
        <v>-7.9990514958700576E-2</v>
      </c>
      <c r="F322" s="24">
        <f>(B322-$B$2)/$B$2</f>
        <v>0.12983443491918076</v>
      </c>
      <c r="G322" s="11">
        <f t="shared" si="29"/>
        <v>0.28998115925966977</v>
      </c>
      <c r="H322" s="25">
        <f t="shared" si="24"/>
        <v>74.16555693973109</v>
      </c>
      <c r="I322" s="26">
        <f>MAX($B$2:B322)</f>
        <v>2069.4</v>
      </c>
      <c r="J322" s="27">
        <f t="shared" si="25"/>
        <v>-0.165700202957379</v>
      </c>
      <c r="K322" s="10">
        <f>MAX($C$2:C322)</f>
        <v>29.440999999999999</v>
      </c>
      <c r="L322" s="11">
        <f t="shared" si="26"/>
        <v>-0.20929995584389113</v>
      </c>
    </row>
    <row r="323" spans="1:12" x14ac:dyDescent="0.35">
      <c r="A323" s="5" t="s">
        <v>818</v>
      </c>
      <c r="B323" s="22">
        <v>1731.7</v>
      </c>
      <c r="C323" s="10">
        <v>23.402000000000001</v>
      </c>
      <c r="D323" s="23">
        <f t="shared" si="27"/>
        <v>3.0118737329858356E-3</v>
      </c>
      <c r="E323" s="11">
        <f t="shared" si="28"/>
        <v>5.2837321190773272E-3</v>
      </c>
      <c r="F323" s="24">
        <f>(B323-$B$2)/$B$2</f>
        <v>0.13323735357633673</v>
      </c>
      <c r="G323" s="11">
        <f t="shared" si="29"/>
        <v>0.2967970741438547</v>
      </c>
      <c r="H323" s="25">
        <f t="shared" ref="H323:H386" si="30">B323/C323</f>
        <v>73.997948893256989</v>
      </c>
      <c r="I323" s="26">
        <f>MAX($B$2:B323)</f>
        <v>2069.4</v>
      </c>
      <c r="J323" s="27">
        <f t="shared" ref="J323:J386" si="31">(B323-I323)/I323</f>
        <v>-0.1631873973132309</v>
      </c>
      <c r="K323" s="10">
        <f>MAX($C$2:C323)</f>
        <v>29.440999999999999</v>
      </c>
      <c r="L323" s="11">
        <f t="shared" ref="L323:L386" si="32">(C323-K323)/K323</f>
        <v>-0.20512210862402766</v>
      </c>
    </row>
    <row r="324" spans="1:12" x14ac:dyDescent="0.35">
      <c r="A324" s="5" t="s">
        <v>820</v>
      </c>
      <c r="B324" s="22">
        <v>1753.3</v>
      </c>
      <c r="C324" s="10">
        <v>23.495999999999999</v>
      </c>
      <c r="D324" s="23">
        <f t="shared" ref="D324:D387" si="33">(B324-B323)/B323</f>
        <v>1.2473292140670965E-2</v>
      </c>
      <c r="E324" s="11">
        <f t="shared" ref="E324:E387" si="34">(C324-C323)/C323</f>
        <v>4.0167507050678421E-3</v>
      </c>
      <c r="F324" s="24">
        <f>(B324-$B$2)/$B$2</f>
        <v>0.1473725541522152</v>
      </c>
      <c r="G324" s="11">
        <f t="shared" ref="G324:G387" si="35">(C324-$C$2)/$C$2</f>
        <v>0.30200598470575196</v>
      </c>
      <c r="H324" s="25">
        <f t="shared" si="30"/>
        <v>74.621212121212125</v>
      </c>
      <c r="I324" s="26">
        <f>MAX($B$2:B324)</f>
        <v>2069.4</v>
      </c>
      <c r="J324" s="27">
        <f t="shared" si="31"/>
        <v>-0.15274958925292362</v>
      </c>
      <c r="K324" s="10">
        <f>MAX($C$2:C324)</f>
        <v>29.440999999999999</v>
      </c>
      <c r="L324" s="11">
        <f t="shared" si="32"/>
        <v>-0.20192928229340038</v>
      </c>
    </row>
    <row r="325" spans="1:12" x14ac:dyDescent="0.35">
      <c r="A325" s="5" t="s">
        <v>822</v>
      </c>
      <c r="B325" s="22">
        <v>1751.8</v>
      </c>
      <c r="C325" s="10">
        <v>23.122</v>
      </c>
      <c r="D325" s="23">
        <f t="shared" si="33"/>
        <v>-8.5552957280556671E-4</v>
      </c>
      <c r="E325" s="11">
        <f t="shared" si="34"/>
        <v>-1.591760299625463E-2</v>
      </c>
      <c r="F325" s="24">
        <f>(B325-$B$2)/$B$2</f>
        <v>0.14639094300111252</v>
      </c>
      <c r="G325" s="11">
        <f t="shared" si="35"/>
        <v>0.2812811703424582</v>
      </c>
      <c r="H325" s="25">
        <f t="shared" si="30"/>
        <v>75.763342271429806</v>
      </c>
      <c r="I325" s="26">
        <f>MAX($B$2:B325)</f>
        <v>2069.4</v>
      </c>
      <c r="J325" s="27">
        <f t="shared" si="31"/>
        <v>-0.15347443703488939</v>
      </c>
      <c r="K325" s="10">
        <f>MAX($C$2:C325)</f>
        <v>29.440999999999999</v>
      </c>
      <c r="L325" s="11">
        <f t="shared" si="32"/>
        <v>-0.21463265514079002</v>
      </c>
    </row>
    <row r="326" spans="1:12" x14ac:dyDescent="0.35">
      <c r="A326" s="5" t="s">
        <v>826</v>
      </c>
      <c r="B326" s="22">
        <v>1789.8</v>
      </c>
      <c r="C326" s="10">
        <v>23.798999999999999</v>
      </c>
      <c r="D326" s="23">
        <f t="shared" si="33"/>
        <v>2.1691973969631236E-2</v>
      </c>
      <c r="E326" s="11">
        <f t="shared" si="34"/>
        <v>2.9279474093936494E-2</v>
      </c>
      <c r="F326" s="24">
        <f>(B326-$B$2)/$B$2</f>
        <v>0.17125842549571368</v>
      </c>
      <c r="G326" s="11">
        <f t="shared" si="35"/>
        <v>0.31879640917654883</v>
      </c>
      <c r="H326" s="25">
        <f t="shared" si="30"/>
        <v>75.204840539518472</v>
      </c>
      <c r="I326" s="26">
        <f>MAX($B$2:B326)</f>
        <v>2069.4</v>
      </c>
      <c r="J326" s="27">
        <f t="shared" si="31"/>
        <v>-0.13511162655842279</v>
      </c>
      <c r="K326" s="10">
        <f>MAX($C$2:C326)</f>
        <v>29.440999999999999</v>
      </c>
      <c r="L326" s="11">
        <f t="shared" si="32"/>
        <v>-0.1916375123127611</v>
      </c>
    </row>
    <row r="327" spans="1:12" x14ac:dyDescent="0.35">
      <c r="A327" s="5" t="s">
        <v>828</v>
      </c>
      <c r="B327" s="22">
        <v>1787.8</v>
      </c>
      <c r="C327" s="10">
        <v>23.666</v>
      </c>
      <c r="D327" s="23">
        <f t="shared" si="33"/>
        <v>-1.117443289753045E-3</v>
      </c>
      <c r="E327" s="11">
        <f t="shared" si="34"/>
        <v>-5.5884701037858366E-3</v>
      </c>
      <c r="F327" s="24">
        <f>(B327-$B$2)/$B$2</f>
        <v>0.16994961062757677</v>
      </c>
      <c r="G327" s="11">
        <f t="shared" si="35"/>
        <v>0.3114263548708856</v>
      </c>
      <c r="H327" s="25">
        <f t="shared" si="30"/>
        <v>75.542973041494122</v>
      </c>
      <c r="I327" s="26">
        <f>MAX($B$2:B327)</f>
        <v>2069.4</v>
      </c>
      <c r="J327" s="27">
        <f t="shared" si="31"/>
        <v>-0.13607809026771051</v>
      </c>
      <c r="K327" s="10">
        <f>MAX($C$2:C327)</f>
        <v>29.440999999999999</v>
      </c>
      <c r="L327" s="11">
        <f t="shared" si="32"/>
        <v>-0.19615502190822318</v>
      </c>
    </row>
    <row r="328" spans="1:12" x14ac:dyDescent="0.35">
      <c r="A328" s="5" t="s">
        <v>830</v>
      </c>
      <c r="B328" s="22">
        <v>1784.4</v>
      </c>
      <c r="C328" s="10">
        <v>23.43</v>
      </c>
      <c r="D328" s="23">
        <f t="shared" si="33"/>
        <v>-1.9017787224520997E-3</v>
      </c>
      <c r="E328" s="11">
        <f t="shared" si="34"/>
        <v>-9.9721118904758151E-3</v>
      </c>
      <c r="F328" s="24">
        <f>(B328-$B$2)/$B$2</f>
        <v>0.16772462535174412</v>
      </c>
      <c r="G328" s="11">
        <f t="shared" si="35"/>
        <v>0.29834866452399428</v>
      </c>
      <c r="H328" s="25">
        <f t="shared" si="30"/>
        <v>76.15877080665814</v>
      </c>
      <c r="I328" s="26">
        <f>MAX($B$2:B328)</f>
        <v>2069.4</v>
      </c>
      <c r="J328" s="27">
        <f t="shared" si="31"/>
        <v>-0.13772107857349955</v>
      </c>
      <c r="K328" s="10">
        <f>MAX($C$2:C328)</f>
        <v>29.440999999999999</v>
      </c>
      <c r="L328" s="11">
        <f t="shared" si="32"/>
        <v>-0.20417105397235147</v>
      </c>
    </row>
    <row r="329" spans="1:12" x14ac:dyDescent="0.35">
      <c r="A329" s="5" t="s">
        <v>832</v>
      </c>
      <c r="B329" s="22">
        <v>1783.1</v>
      </c>
      <c r="C329" s="10">
        <v>23.239000000000001</v>
      </c>
      <c r="D329" s="23">
        <f t="shared" si="33"/>
        <v>-7.2853620264524868E-4</v>
      </c>
      <c r="E329" s="11">
        <f t="shared" si="34"/>
        <v>-8.1519419547588113E-3</v>
      </c>
      <c r="F329" s="24">
        <f>(B329-$B$2)/$B$2</f>
        <v>0.16687389568745503</v>
      </c>
      <c r="G329" s="11">
        <f t="shared" si="35"/>
        <v>0.28776460157375605</v>
      </c>
      <c r="H329" s="25">
        <f t="shared" si="30"/>
        <v>76.728774904255772</v>
      </c>
      <c r="I329" s="26">
        <f>MAX($B$2:B329)</f>
        <v>2069.4</v>
      </c>
      <c r="J329" s="27">
        <f t="shared" si="31"/>
        <v>-0.13834927998453667</v>
      </c>
      <c r="K329" s="10">
        <f>MAX($C$2:C329)</f>
        <v>29.440999999999999</v>
      </c>
      <c r="L329" s="11">
        <f t="shared" si="32"/>
        <v>-0.21065860534628575</v>
      </c>
    </row>
    <row r="330" spans="1:12" x14ac:dyDescent="0.35">
      <c r="A330" s="5" t="s">
        <v>836</v>
      </c>
      <c r="B330" s="22">
        <v>1806.3</v>
      </c>
      <c r="C330" s="10">
        <v>23.666</v>
      </c>
      <c r="D330" s="23">
        <f t="shared" si="33"/>
        <v>1.3011048174527534E-2</v>
      </c>
      <c r="E330" s="11">
        <f t="shared" si="34"/>
        <v>1.83742846077714E-2</v>
      </c>
      <c r="F330" s="24">
        <f>(B330-$B$2)/$B$2</f>
        <v>0.1820561481578431</v>
      </c>
      <c r="G330" s="11">
        <f t="shared" si="35"/>
        <v>0.3114263548708856</v>
      </c>
      <c r="H330" s="25">
        <f t="shared" si="30"/>
        <v>76.324685202400062</v>
      </c>
      <c r="I330" s="26">
        <f>MAX($B$2:B330)</f>
        <v>2069.4</v>
      </c>
      <c r="J330" s="27">
        <f t="shared" si="31"/>
        <v>-0.12713830095679912</v>
      </c>
      <c r="K330" s="10">
        <f>MAX($C$2:C330)</f>
        <v>29.440999999999999</v>
      </c>
      <c r="L330" s="11">
        <f t="shared" si="32"/>
        <v>-0.19615502190822318</v>
      </c>
    </row>
    <row r="331" spans="1:12" x14ac:dyDescent="0.35">
      <c r="A331" s="5" t="s">
        <v>838</v>
      </c>
      <c r="B331" s="22">
        <v>1808.5</v>
      </c>
      <c r="C331" s="10">
        <v>23.908999999999999</v>
      </c>
      <c r="D331" s="23">
        <f t="shared" si="33"/>
        <v>1.2179593644466842E-3</v>
      </c>
      <c r="E331" s="11">
        <f t="shared" si="34"/>
        <v>1.0267894870277974E-2</v>
      </c>
      <c r="F331" s="24">
        <f>(B331-$B$2)/$B$2</f>
        <v>0.18349584451279374</v>
      </c>
      <c r="G331" s="11">
        <f t="shared" si="35"/>
        <v>0.3248919428128117</v>
      </c>
      <c r="H331" s="25">
        <f t="shared" si="30"/>
        <v>75.640972018905018</v>
      </c>
      <c r="I331" s="26">
        <f>MAX($B$2:B331)</f>
        <v>2069.4</v>
      </c>
      <c r="J331" s="27">
        <f t="shared" si="31"/>
        <v>-0.12607519087658262</v>
      </c>
      <c r="K331" s="10">
        <f>MAX($C$2:C331)</f>
        <v>29.440999999999999</v>
      </c>
      <c r="L331" s="11">
        <f t="shared" si="32"/>
        <v>-0.18790122618117591</v>
      </c>
    </row>
    <row r="332" spans="1:12" x14ac:dyDescent="0.35">
      <c r="A332" s="5" t="s">
        <v>840</v>
      </c>
      <c r="B332" s="22">
        <v>1791</v>
      </c>
      <c r="C332" s="10">
        <v>23.795000000000002</v>
      </c>
      <c r="D332" s="23">
        <f t="shared" si="33"/>
        <v>-9.6765275089853477E-3</v>
      </c>
      <c r="E332" s="11">
        <f t="shared" si="34"/>
        <v>-4.7680789660796028E-3</v>
      </c>
      <c r="F332" s="24">
        <f>(B332-$B$2)/$B$2</f>
        <v>0.17204371441659586</v>
      </c>
      <c r="G332" s="11">
        <f t="shared" si="35"/>
        <v>0.3185747534079576</v>
      </c>
      <c r="H332" s="25">
        <f t="shared" si="30"/>
        <v>75.267913427190578</v>
      </c>
      <c r="I332" s="26">
        <f>MAX($B$2:B332)</f>
        <v>2069.4</v>
      </c>
      <c r="J332" s="27">
        <f t="shared" si="31"/>
        <v>-0.13453174833285014</v>
      </c>
      <c r="K332" s="10">
        <f>MAX($C$2:C332)</f>
        <v>29.440999999999999</v>
      </c>
      <c r="L332" s="11">
        <f t="shared" si="32"/>
        <v>-0.19177337726300048</v>
      </c>
    </row>
    <row r="333" spans="1:12" x14ac:dyDescent="0.35">
      <c r="A333" s="5" t="s">
        <v>842</v>
      </c>
      <c r="B333" s="22">
        <v>1795.2</v>
      </c>
      <c r="C333" s="10">
        <v>23.567</v>
      </c>
      <c r="D333" s="23">
        <f t="shared" si="33"/>
        <v>2.3450586264656872E-3</v>
      </c>
      <c r="E333" s="11">
        <f t="shared" si="34"/>
        <v>-9.5818449254045611E-3</v>
      </c>
      <c r="F333" s="24">
        <f>(B333-$B$2)/$B$2</f>
        <v>0.17479222563968336</v>
      </c>
      <c r="G333" s="11">
        <f t="shared" si="35"/>
        <v>0.30594037459824897</v>
      </c>
      <c r="H333" s="25">
        <f t="shared" si="30"/>
        <v>76.174311537319127</v>
      </c>
      <c r="I333" s="26">
        <f>MAX($B$2:B333)</f>
        <v>2069.4</v>
      </c>
      <c r="J333" s="27">
        <f t="shared" si="31"/>
        <v>-0.13250217454334592</v>
      </c>
      <c r="K333" s="10">
        <f>MAX($C$2:C333)</f>
        <v>29.440999999999999</v>
      </c>
      <c r="L333" s="11">
        <f t="shared" si="32"/>
        <v>-0.19951767942664989</v>
      </c>
    </row>
    <row r="334" spans="1:12" x14ac:dyDescent="0.35">
      <c r="A334" s="5" t="s">
        <v>846</v>
      </c>
      <c r="B334" s="22">
        <v>1812.2</v>
      </c>
      <c r="C334" s="10">
        <v>23.992000000000001</v>
      </c>
      <c r="D334" s="23">
        <f t="shared" si="33"/>
        <v>9.46969696969697E-3</v>
      </c>
      <c r="E334" s="11">
        <f t="shared" si="34"/>
        <v>1.8033691178342626E-2</v>
      </c>
      <c r="F334" s="24">
        <f>(B334-$B$2)/$B$2</f>
        <v>0.18591715201884704</v>
      </c>
      <c r="G334" s="11">
        <f t="shared" si="35"/>
        <v>0.3294913000110829</v>
      </c>
      <c r="H334" s="25">
        <f t="shared" si="30"/>
        <v>75.533511170390128</v>
      </c>
      <c r="I334" s="26">
        <f>MAX($B$2:B334)</f>
        <v>2069.4</v>
      </c>
      <c r="J334" s="27">
        <f t="shared" si="31"/>
        <v>-0.12428723301440033</v>
      </c>
      <c r="K334" s="10">
        <f>MAX($C$2:C334)</f>
        <v>29.440999999999999</v>
      </c>
      <c r="L334" s="11">
        <f t="shared" si="32"/>
        <v>-0.18508202846370703</v>
      </c>
    </row>
    <row r="335" spans="1:12" x14ac:dyDescent="0.35">
      <c r="A335" s="5" t="s">
        <v>848</v>
      </c>
      <c r="B335" s="22">
        <v>1818.1</v>
      </c>
      <c r="C335" s="10">
        <v>23.991</v>
      </c>
      <c r="D335" s="23">
        <f t="shared" si="33"/>
        <v>3.2557112901445001E-3</v>
      </c>
      <c r="E335" s="11">
        <f t="shared" si="34"/>
        <v>-4.1680560186779844E-5</v>
      </c>
      <c r="F335" s="24">
        <f>(B335-$B$2)/$B$2</f>
        <v>0.18977815587985081</v>
      </c>
      <c r="G335" s="11">
        <f t="shared" si="35"/>
        <v>0.32943588606893498</v>
      </c>
      <c r="H335" s="25">
        <f t="shared" si="30"/>
        <v>75.782585136092692</v>
      </c>
      <c r="I335" s="26">
        <f>MAX($B$2:B335)</f>
        <v>2069.4</v>
      </c>
      <c r="J335" s="27">
        <f t="shared" si="31"/>
        <v>-0.12143616507200163</v>
      </c>
      <c r="K335" s="10">
        <f>MAX($C$2:C335)</f>
        <v>29.440999999999999</v>
      </c>
      <c r="L335" s="11">
        <f t="shared" si="32"/>
        <v>-0.18511599470126691</v>
      </c>
    </row>
    <row r="336" spans="1:12" x14ac:dyDescent="0.35">
      <c r="A336" s="5" t="s">
        <v>850</v>
      </c>
      <c r="B336" s="22">
        <v>1816</v>
      </c>
      <c r="C336" s="10">
        <v>24.201000000000001</v>
      </c>
      <c r="D336" s="23">
        <f t="shared" si="33"/>
        <v>-1.1550519773389303E-3</v>
      </c>
      <c r="E336" s="11">
        <f t="shared" si="34"/>
        <v>8.7532824809303852E-3</v>
      </c>
      <c r="F336" s="24">
        <f>(B336-$B$2)/$B$2</f>
        <v>0.18840390026830711</v>
      </c>
      <c r="G336" s="11">
        <f t="shared" si="35"/>
        <v>0.34107281391998234</v>
      </c>
      <c r="H336" s="25">
        <f t="shared" si="30"/>
        <v>75.038221561092513</v>
      </c>
      <c r="I336" s="26">
        <f>MAX($B$2:B336)</f>
        <v>2069.4</v>
      </c>
      <c r="J336" s="27">
        <f t="shared" si="31"/>
        <v>-0.12245095196675369</v>
      </c>
      <c r="K336" s="10">
        <f>MAX($C$2:C336)</f>
        <v>29.440999999999999</v>
      </c>
      <c r="L336" s="11">
        <f t="shared" si="32"/>
        <v>-0.17798308481369515</v>
      </c>
    </row>
    <row r="337" spans="1:12" x14ac:dyDescent="0.35">
      <c r="A337" s="5" t="s">
        <v>852</v>
      </c>
      <c r="B337" s="22">
        <v>1811.5</v>
      </c>
      <c r="C337" s="10">
        <v>23.9</v>
      </c>
      <c r="D337" s="23">
        <f t="shared" si="33"/>
        <v>-2.4779735682819385E-3</v>
      </c>
      <c r="E337" s="11">
        <f t="shared" si="34"/>
        <v>-1.2437502582537991E-2</v>
      </c>
      <c r="F337" s="24">
        <f>(B337-$B$2)/$B$2</f>
        <v>0.1854590668149991</v>
      </c>
      <c r="G337" s="11">
        <f t="shared" si="35"/>
        <v>0.32439321733348109</v>
      </c>
      <c r="H337" s="25">
        <f t="shared" si="30"/>
        <v>75.794979079497907</v>
      </c>
      <c r="I337" s="26">
        <f>MAX($B$2:B337)</f>
        <v>2069.4</v>
      </c>
      <c r="J337" s="27">
        <f t="shared" si="31"/>
        <v>-0.12462549531265105</v>
      </c>
      <c r="K337" s="10">
        <f>MAX($C$2:C337)</f>
        <v>29.440999999999999</v>
      </c>
      <c r="L337" s="11">
        <f t="shared" si="32"/>
        <v>-0.18820692231921471</v>
      </c>
    </row>
    <row r="338" spans="1:12" x14ac:dyDescent="0.35">
      <c r="A338" s="5" t="s">
        <v>858</v>
      </c>
      <c r="B338" s="22">
        <v>1798.5</v>
      </c>
      <c r="C338" s="10">
        <v>24.356999999999999</v>
      </c>
      <c r="D338" s="23">
        <f t="shared" si="33"/>
        <v>-7.1763731714049135E-3</v>
      </c>
      <c r="E338" s="11">
        <f t="shared" si="34"/>
        <v>1.9121338912133922E-2</v>
      </c>
      <c r="F338" s="24">
        <f>(B338-$B$2)/$B$2</f>
        <v>0.17695177017210922</v>
      </c>
      <c r="G338" s="11">
        <f t="shared" si="35"/>
        <v>0.349717388895046</v>
      </c>
      <c r="H338" s="25">
        <f t="shared" si="30"/>
        <v>73.839142751570392</v>
      </c>
      <c r="I338" s="26">
        <f>MAX($B$2:B338)</f>
        <v>2069.4</v>
      </c>
      <c r="J338" s="27">
        <f t="shared" si="31"/>
        <v>-0.13090750942302121</v>
      </c>
      <c r="K338" s="10">
        <f>MAX($C$2:C338)</f>
        <v>29.440999999999999</v>
      </c>
      <c r="L338" s="11">
        <f t="shared" si="32"/>
        <v>-0.17268435175435617</v>
      </c>
    </row>
    <row r="339" spans="1:12" x14ac:dyDescent="0.35">
      <c r="A339" s="5" t="s">
        <v>859</v>
      </c>
      <c r="B339" s="22">
        <v>1793.5</v>
      </c>
      <c r="C339" s="10">
        <v>24.036000000000001</v>
      </c>
      <c r="D339" s="23">
        <f t="shared" si="33"/>
        <v>-2.7800945232137894E-3</v>
      </c>
      <c r="E339" s="11">
        <f t="shared" si="34"/>
        <v>-1.3178962926468694E-2</v>
      </c>
      <c r="F339" s="24">
        <f>(B339-$B$2)/$B$2</f>
        <v>0.17367973300176698</v>
      </c>
      <c r="G339" s="11">
        <f t="shared" si="35"/>
        <v>0.33192951346558808</v>
      </c>
      <c r="H339" s="25">
        <f t="shared" si="30"/>
        <v>74.617240805458479</v>
      </c>
      <c r="I339" s="26">
        <f>MAX($B$2:B339)</f>
        <v>2069.4</v>
      </c>
      <c r="J339" s="27">
        <f t="shared" si="31"/>
        <v>-0.13332366869624049</v>
      </c>
      <c r="K339" s="10">
        <f>MAX($C$2:C339)</f>
        <v>29.440999999999999</v>
      </c>
      <c r="L339" s="11">
        <f t="shared" si="32"/>
        <v>-0.18358751401107293</v>
      </c>
    </row>
    <row r="340" spans="1:12" x14ac:dyDescent="0.35">
      <c r="A340" s="5" t="s">
        <v>861</v>
      </c>
      <c r="B340" s="22">
        <v>1800</v>
      </c>
      <c r="C340" s="10">
        <v>24.155999999999999</v>
      </c>
      <c r="D340" s="23">
        <f t="shared" si="33"/>
        <v>3.6241984945637024E-3</v>
      </c>
      <c r="E340" s="11">
        <f t="shared" si="34"/>
        <v>4.9925112331501683E-3</v>
      </c>
      <c r="F340" s="24">
        <f>(B340-$B$2)/$B$2</f>
        <v>0.1779333813232119</v>
      </c>
      <c r="G340" s="11">
        <f t="shared" si="35"/>
        <v>0.33857918652332925</v>
      </c>
      <c r="H340" s="25">
        <f t="shared" si="30"/>
        <v>74.515648286140092</v>
      </c>
      <c r="I340" s="26">
        <f>MAX($B$2:B340)</f>
        <v>2069.4</v>
      </c>
      <c r="J340" s="27">
        <f t="shared" si="31"/>
        <v>-0.13018266164105541</v>
      </c>
      <c r="K340" s="10">
        <f>MAX($C$2:C340)</f>
        <v>29.440999999999999</v>
      </c>
      <c r="L340" s="11">
        <f t="shared" si="32"/>
        <v>-0.17951156550388914</v>
      </c>
    </row>
    <row r="341" spans="1:12" x14ac:dyDescent="0.35">
      <c r="A341" s="5" t="s">
        <v>865</v>
      </c>
      <c r="B341" s="22">
        <v>1794.4</v>
      </c>
      <c r="C341" s="10">
        <v>23.774999999999999</v>
      </c>
      <c r="D341" s="23">
        <f t="shared" si="33"/>
        <v>-3.1111111111110606E-3</v>
      </c>
      <c r="E341" s="11">
        <f t="shared" si="34"/>
        <v>-1.5772478887232995E-2</v>
      </c>
      <c r="F341" s="24">
        <f>(B341-$B$2)/$B$2</f>
        <v>0.17426869969242864</v>
      </c>
      <c r="G341" s="11">
        <f t="shared" si="35"/>
        <v>0.31746647456500054</v>
      </c>
      <c r="H341" s="25">
        <f t="shared" si="30"/>
        <v>75.474237644584662</v>
      </c>
      <c r="I341" s="26">
        <f>MAX($B$2:B341)</f>
        <v>2069.4</v>
      </c>
      <c r="J341" s="27">
        <f t="shared" si="31"/>
        <v>-0.13288876002706099</v>
      </c>
      <c r="K341" s="10">
        <f>MAX($C$2:C341)</f>
        <v>29.440999999999999</v>
      </c>
      <c r="L341" s="11">
        <f t="shared" si="32"/>
        <v>-0.1924527020141979</v>
      </c>
    </row>
    <row r="342" spans="1:12" x14ac:dyDescent="0.35">
      <c r="A342" s="5" t="s">
        <v>867</v>
      </c>
      <c r="B342" s="22">
        <v>1807.1</v>
      </c>
      <c r="C342" s="10">
        <v>23.863</v>
      </c>
      <c r="D342" s="23">
        <f t="shared" si="33"/>
        <v>7.0775746767720782E-3</v>
      </c>
      <c r="E342" s="11">
        <f t="shared" si="34"/>
        <v>3.7013669821241209E-3</v>
      </c>
      <c r="F342" s="24">
        <f>(B342-$B$2)/$B$2</f>
        <v>0.18257967410509784</v>
      </c>
      <c r="G342" s="11">
        <f t="shared" si="35"/>
        <v>0.3223429014740109</v>
      </c>
      <c r="H342" s="25">
        <f t="shared" si="30"/>
        <v>75.728114654486021</v>
      </c>
      <c r="I342" s="26">
        <f>MAX($B$2:B342)</f>
        <v>2069.4</v>
      </c>
      <c r="J342" s="27">
        <f t="shared" si="31"/>
        <v>-0.12675171547308406</v>
      </c>
      <c r="K342" s="10">
        <f>MAX($C$2:C342)</f>
        <v>29.440999999999999</v>
      </c>
      <c r="L342" s="11">
        <f t="shared" si="32"/>
        <v>-0.1894636731089297</v>
      </c>
    </row>
    <row r="343" spans="1:12" x14ac:dyDescent="0.35">
      <c r="A343" s="5" t="s">
        <v>869</v>
      </c>
      <c r="B343" s="22">
        <v>1794.8</v>
      </c>
      <c r="C343" s="10">
        <v>23.779</v>
      </c>
      <c r="D343" s="23">
        <f t="shared" si="33"/>
        <v>-6.8064855293010649E-3</v>
      </c>
      <c r="E343" s="11">
        <f t="shared" si="34"/>
        <v>-3.5200938691698292E-3</v>
      </c>
      <c r="F343" s="24">
        <f>(B343-$B$2)/$B$2</f>
        <v>0.17453046266605593</v>
      </c>
      <c r="G343" s="11">
        <f t="shared" si="35"/>
        <v>0.317688130333592</v>
      </c>
      <c r="H343" s="25">
        <f t="shared" si="30"/>
        <v>75.478363261701503</v>
      </c>
      <c r="I343" s="26">
        <f>MAX($B$2:B343)</f>
        <v>2069.4</v>
      </c>
      <c r="J343" s="27">
        <f t="shared" si="31"/>
        <v>-0.13269546728520351</v>
      </c>
      <c r="K343" s="10">
        <f>MAX($C$2:C343)</f>
        <v>29.440999999999999</v>
      </c>
      <c r="L343" s="11">
        <f t="shared" si="32"/>
        <v>-0.19231683706395841</v>
      </c>
    </row>
    <row r="344" spans="1:12" x14ac:dyDescent="0.35">
      <c r="A344" s="5" t="s">
        <v>871</v>
      </c>
      <c r="B344" s="22">
        <v>1756.7</v>
      </c>
      <c r="C344" s="10">
        <v>22.774000000000001</v>
      </c>
      <c r="D344" s="23">
        <f t="shared" si="33"/>
        <v>-2.1227991976821878E-2</v>
      </c>
      <c r="E344" s="11">
        <f t="shared" si="34"/>
        <v>-4.2264182682198538E-2</v>
      </c>
      <c r="F344" s="24">
        <f>(B344-$B$2)/$B$2</f>
        <v>0.14959753942804799</v>
      </c>
      <c r="G344" s="11">
        <f t="shared" si="35"/>
        <v>0.26199711847500839</v>
      </c>
      <c r="H344" s="25">
        <f t="shared" si="30"/>
        <v>77.136207956441552</v>
      </c>
      <c r="I344" s="26">
        <f>MAX($B$2:B344)</f>
        <v>2069.4</v>
      </c>
      <c r="J344" s="27">
        <f t="shared" si="31"/>
        <v>-0.15110660094713446</v>
      </c>
      <c r="K344" s="10">
        <f>MAX($C$2:C344)</f>
        <v>29.440999999999999</v>
      </c>
      <c r="L344" s="11">
        <f t="shared" si="32"/>
        <v>-0.2264529058116232</v>
      </c>
    </row>
    <row r="345" spans="1:12" x14ac:dyDescent="0.35">
      <c r="A345" s="5" t="s">
        <v>875</v>
      </c>
      <c r="B345" s="22">
        <v>1763.8</v>
      </c>
      <c r="C345" s="10">
        <v>22.184999999999999</v>
      </c>
      <c r="D345" s="23">
        <f t="shared" si="33"/>
        <v>4.0416690385381166E-3</v>
      </c>
      <c r="E345" s="11">
        <f t="shared" si="34"/>
        <v>-2.5862826029683067E-2</v>
      </c>
      <c r="F345" s="24">
        <f>(B345-$B$2)/$B$2</f>
        <v>0.15424383220993396</v>
      </c>
      <c r="G345" s="11">
        <f t="shared" si="35"/>
        <v>0.22935830654992792</v>
      </c>
      <c r="H345" s="25">
        <f t="shared" si="30"/>
        <v>79.504169483885505</v>
      </c>
      <c r="I345" s="26">
        <f>MAX($B$2:B345)</f>
        <v>2069.4</v>
      </c>
      <c r="J345" s="27">
        <f t="shared" si="31"/>
        <v>-0.14767565477916311</v>
      </c>
      <c r="K345" s="10">
        <f>MAX($C$2:C345)</f>
        <v>29.440999999999999</v>
      </c>
      <c r="L345" s="11">
        <f t="shared" si="32"/>
        <v>-0.24645901973438403</v>
      </c>
    </row>
    <row r="346" spans="1:12" x14ac:dyDescent="0.35">
      <c r="A346" s="5" t="s">
        <v>877</v>
      </c>
      <c r="B346" s="22">
        <v>1778.2</v>
      </c>
      <c r="C346" s="10">
        <v>22.593</v>
      </c>
      <c r="D346" s="23">
        <f t="shared" si="33"/>
        <v>8.1641909513550815E-3</v>
      </c>
      <c r="E346" s="11">
        <f t="shared" si="34"/>
        <v>1.8390804597701208E-2</v>
      </c>
      <c r="F346" s="24">
        <f>(B346-$B$2)/$B$2</f>
        <v>0.16366729926051971</v>
      </c>
      <c r="G346" s="11">
        <f t="shared" si="35"/>
        <v>0.25196719494624853</v>
      </c>
      <c r="H346" s="25">
        <f t="shared" si="30"/>
        <v>78.705793829947325</v>
      </c>
      <c r="I346" s="26">
        <f>MAX($B$2:B346)</f>
        <v>2069.4</v>
      </c>
      <c r="J346" s="27">
        <f t="shared" si="31"/>
        <v>-0.14071711607229151</v>
      </c>
      <c r="K346" s="10">
        <f>MAX($C$2:C346)</f>
        <v>29.440999999999999</v>
      </c>
      <c r="L346" s="11">
        <f t="shared" si="32"/>
        <v>-0.23260079480995888</v>
      </c>
    </row>
    <row r="347" spans="1:12" x14ac:dyDescent="0.35">
      <c r="A347" s="5" t="s">
        <v>879</v>
      </c>
      <c r="B347" s="22">
        <v>1778.8</v>
      </c>
      <c r="C347" s="10">
        <v>22.89</v>
      </c>
      <c r="D347" s="23">
        <f t="shared" si="33"/>
        <v>3.37419862782538E-4</v>
      </c>
      <c r="E347" s="11">
        <f t="shared" si="34"/>
        <v>1.3145664586376338E-2</v>
      </c>
      <c r="F347" s="24">
        <f>(B347-$B$2)/$B$2</f>
        <v>0.16405994372096072</v>
      </c>
      <c r="G347" s="11">
        <f t="shared" si="35"/>
        <v>0.26842513576415833</v>
      </c>
      <c r="H347" s="25">
        <f t="shared" si="30"/>
        <v>77.710790738313676</v>
      </c>
      <c r="I347" s="26">
        <f>MAX($B$2:B347)</f>
        <v>2069.4</v>
      </c>
      <c r="J347" s="27">
        <f t="shared" si="31"/>
        <v>-0.14042717695950524</v>
      </c>
      <c r="K347" s="10">
        <f>MAX($C$2:C347)</f>
        <v>29.440999999999999</v>
      </c>
      <c r="L347" s="11">
        <f t="shared" si="32"/>
        <v>-0.2225128222546788</v>
      </c>
    </row>
    <row r="348" spans="1:12" x14ac:dyDescent="0.35">
      <c r="A348" s="5" t="s">
        <v>881</v>
      </c>
      <c r="B348" s="22">
        <v>1749.8</v>
      </c>
      <c r="C348" s="10">
        <v>22.663</v>
      </c>
      <c r="D348" s="23">
        <f t="shared" si="33"/>
        <v>-1.6303125702720935E-2</v>
      </c>
      <c r="E348" s="11">
        <f t="shared" si="34"/>
        <v>-9.9169943206640597E-3</v>
      </c>
      <c r="F348" s="24">
        <f>(B348-$B$2)/$B$2</f>
        <v>0.14508212813297564</v>
      </c>
      <c r="G348" s="11">
        <f t="shared" si="35"/>
        <v>0.25584617089659767</v>
      </c>
      <c r="H348" s="25">
        <f t="shared" si="30"/>
        <v>77.209548603450557</v>
      </c>
      <c r="I348" s="26">
        <f>MAX($B$2:B348)</f>
        <v>2069.4</v>
      </c>
      <c r="J348" s="27">
        <f t="shared" si="31"/>
        <v>-0.15444090074417713</v>
      </c>
      <c r="K348" s="10">
        <f>MAX($C$2:C348)</f>
        <v>29.440999999999999</v>
      </c>
      <c r="L348" s="11">
        <f t="shared" si="32"/>
        <v>-0.23022315818076827</v>
      </c>
    </row>
    <row r="349" spans="1:12" x14ac:dyDescent="0.35">
      <c r="A349" s="5" t="s">
        <v>885</v>
      </c>
      <c r="B349" s="22">
        <v>1752</v>
      </c>
      <c r="C349" s="10">
        <v>22.684999999999999</v>
      </c>
      <c r="D349" s="23">
        <f t="shared" si="33"/>
        <v>1.2572865470339728E-3</v>
      </c>
      <c r="E349" s="11">
        <f t="shared" si="34"/>
        <v>9.7074526761675261E-4</v>
      </c>
      <c r="F349" s="24">
        <f>(B349-$B$2)/$B$2</f>
        <v>0.14652182448792625</v>
      </c>
      <c r="G349" s="11">
        <f t="shared" si="35"/>
        <v>0.25706527762385012</v>
      </c>
      <c r="H349" s="25">
        <f t="shared" si="30"/>
        <v>77.231650870619362</v>
      </c>
      <c r="I349" s="26">
        <f>MAX($B$2:B349)</f>
        <v>2069.4</v>
      </c>
      <c r="J349" s="27">
        <f t="shared" si="31"/>
        <v>-0.15337779066396059</v>
      </c>
      <c r="K349" s="10">
        <f>MAX($C$2:C349)</f>
        <v>29.440999999999999</v>
      </c>
      <c r="L349" s="11">
        <f t="shared" si="32"/>
        <v>-0.22947590095445128</v>
      </c>
    </row>
    <row r="350" spans="1:12" x14ac:dyDescent="0.35">
      <c r="A350" s="5" t="s">
        <v>887</v>
      </c>
      <c r="B350" s="22">
        <v>1737.5</v>
      </c>
      <c r="C350" s="10">
        <v>22.46</v>
      </c>
      <c r="D350" s="23">
        <f t="shared" si="33"/>
        <v>-8.2762557077625566E-3</v>
      </c>
      <c r="E350" s="11">
        <f t="shared" si="34"/>
        <v>-9.9184483138636936E-3</v>
      </c>
      <c r="F350" s="24">
        <f>(B350-$B$2)/$B$2</f>
        <v>0.13703291669393372</v>
      </c>
      <c r="G350" s="11">
        <f t="shared" si="35"/>
        <v>0.24459714064058527</v>
      </c>
      <c r="H350" s="25">
        <f t="shared" si="30"/>
        <v>77.359750667853959</v>
      </c>
      <c r="I350" s="26">
        <f>MAX($B$2:B350)</f>
        <v>2069.4</v>
      </c>
      <c r="J350" s="27">
        <f t="shared" si="31"/>
        <v>-0.16038465255629655</v>
      </c>
      <c r="K350" s="10">
        <f>MAX($C$2:C350)</f>
        <v>29.440999999999999</v>
      </c>
      <c r="L350" s="11">
        <f t="shared" si="32"/>
        <v>-0.23711830440542095</v>
      </c>
    </row>
    <row r="351" spans="1:12" x14ac:dyDescent="0.35">
      <c r="A351" s="5" t="s">
        <v>889</v>
      </c>
      <c r="B351" s="22">
        <v>1722.9</v>
      </c>
      <c r="C351" s="10">
        <v>21.484999999999999</v>
      </c>
      <c r="D351" s="23">
        <f t="shared" si="33"/>
        <v>-8.4028776978416746E-3</v>
      </c>
      <c r="E351" s="11">
        <f t="shared" si="34"/>
        <v>-4.3410507569011637E-2</v>
      </c>
      <c r="F351" s="24">
        <f>(B351-$B$2)/$B$2</f>
        <v>0.12747856815653438</v>
      </c>
      <c r="G351" s="11">
        <f t="shared" si="35"/>
        <v>0.19056854704643689</v>
      </c>
      <c r="H351" s="25">
        <f t="shared" si="30"/>
        <v>80.190830812194562</v>
      </c>
      <c r="I351" s="26">
        <f>MAX($B$2:B351)</f>
        <v>2069.4</v>
      </c>
      <c r="J351" s="27">
        <f t="shared" si="31"/>
        <v>-0.16743983763409684</v>
      </c>
      <c r="K351" s="10">
        <f>MAX($C$2:C351)</f>
        <v>29.440999999999999</v>
      </c>
      <c r="L351" s="11">
        <f t="shared" si="32"/>
        <v>-0.27023538602628988</v>
      </c>
    </row>
    <row r="352" spans="1:12" x14ac:dyDescent="0.35">
      <c r="A352" s="5" t="s">
        <v>891</v>
      </c>
      <c r="B352" s="22">
        <v>1757</v>
      </c>
      <c r="C352" s="10">
        <v>22.047000000000001</v>
      </c>
      <c r="D352" s="23">
        <f t="shared" si="33"/>
        <v>1.9792210807359632E-2</v>
      </c>
      <c r="E352" s="11">
        <f t="shared" si="34"/>
        <v>2.6157784500814577E-2</v>
      </c>
      <c r="F352" s="24">
        <f>(B352-$B$2)/$B$2</f>
        <v>0.1497938616582685</v>
      </c>
      <c r="G352" s="11">
        <f t="shared" si="35"/>
        <v>0.22171118253352551</v>
      </c>
      <c r="H352" s="25">
        <f t="shared" si="30"/>
        <v>79.693382319589958</v>
      </c>
      <c r="I352" s="26">
        <f>MAX($B$2:B352)</f>
        <v>2069.4</v>
      </c>
      <c r="J352" s="27">
        <f t="shared" si="31"/>
        <v>-0.15096163139074131</v>
      </c>
      <c r="K352" s="10">
        <f>MAX($C$2:C352)</f>
        <v>29.440999999999999</v>
      </c>
      <c r="L352" s="11">
        <f t="shared" si="32"/>
        <v>-0.25114636051764544</v>
      </c>
    </row>
    <row r="353" spans="1:12" x14ac:dyDescent="0.35">
      <c r="A353" s="5" t="s">
        <v>895</v>
      </c>
      <c r="B353" s="22">
        <v>1767.6</v>
      </c>
      <c r="C353" s="10">
        <v>22.643999999999998</v>
      </c>
      <c r="D353" s="23">
        <f t="shared" si="33"/>
        <v>6.0330108138872563E-3</v>
      </c>
      <c r="E353" s="11">
        <f t="shared" si="34"/>
        <v>2.707851408354868E-2</v>
      </c>
      <c r="F353" s="24">
        <f>(B353-$B$2)/$B$2</f>
        <v>0.15673058045939403</v>
      </c>
      <c r="G353" s="11">
        <f t="shared" si="35"/>
        <v>0.25479330599578848</v>
      </c>
      <c r="H353" s="25">
        <f t="shared" si="30"/>
        <v>78.060413354531008</v>
      </c>
      <c r="I353" s="26">
        <f>MAX($B$2:B353)</f>
        <v>2069.4</v>
      </c>
      <c r="J353" s="27">
        <f t="shared" si="31"/>
        <v>-0.14583937373151645</v>
      </c>
      <c r="K353" s="10">
        <f>MAX($C$2:C353)</f>
        <v>29.440999999999999</v>
      </c>
      <c r="L353" s="11">
        <f t="shared" si="32"/>
        <v>-0.23086851669440578</v>
      </c>
    </row>
    <row r="354" spans="1:12" x14ac:dyDescent="0.35">
      <c r="A354" s="5" t="s">
        <v>897</v>
      </c>
      <c r="B354" s="22">
        <v>1760.9</v>
      </c>
      <c r="C354" s="10">
        <v>22.608000000000001</v>
      </c>
      <c r="D354" s="23">
        <f t="shared" si="33"/>
        <v>-3.7904503281284332E-3</v>
      </c>
      <c r="E354" s="11">
        <f t="shared" si="34"/>
        <v>-1.5898251192367873E-3</v>
      </c>
      <c r="F354" s="24">
        <f>(B354-$B$2)/$B$2</f>
        <v>0.15234605065113552</v>
      </c>
      <c r="G354" s="11">
        <f t="shared" si="35"/>
        <v>0.25279840407846621</v>
      </c>
      <c r="H354" s="25">
        <f t="shared" si="30"/>
        <v>77.888358103326254</v>
      </c>
      <c r="I354" s="26">
        <f>MAX($B$2:B354)</f>
        <v>2069.4</v>
      </c>
      <c r="J354" s="27">
        <f t="shared" si="31"/>
        <v>-0.14907702715763022</v>
      </c>
      <c r="K354" s="10">
        <f>MAX($C$2:C354)</f>
        <v>29.440999999999999</v>
      </c>
      <c r="L354" s="11">
        <f t="shared" si="32"/>
        <v>-0.23209130124656088</v>
      </c>
    </row>
    <row r="355" spans="1:12" x14ac:dyDescent="0.35">
      <c r="A355" s="5" t="s">
        <v>899</v>
      </c>
      <c r="B355" s="22">
        <v>1761.8</v>
      </c>
      <c r="C355" s="10">
        <v>22.532</v>
      </c>
      <c r="D355" s="23">
        <f t="shared" si="33"/>
        <v>5.111022772445133E-4</v>
      </c>
      <c r="E355" s="11">
        <f t="shared" si="34"/>
        <v>-3.3616418966737663E-3</v>
      </c>
      <c r="F355" s="24">
        <f>(B355-$B$2)/$B$2</f>
        <v>0.15293501734179704</v>
      </c>
      <c r="G355" s="11">
        <f t="shared" si="35"/>
        <v>0.24858694447523003</v>
      </c>
      <c r="H355" s="25">
        <f t="shared" si="30"/>
        <v>78.191017219953835</v>
      </c>
      <c r="I355" s="26">
        <f>MAX($B$2:B355)</f>
        <v>2069.4</v>
      </c>
      <c r="J355" s="27">
        <f t="shared" si="31"/>
        <v>-0.14864211848845083</v>
      </c>
      <c r="K355" s="10">
        <f>MAX($C$2:C355)</f>
        <v>29.440999999999999</v>
      </c>
      <c r="L355" s="11">
        <f t="shared" si="32"/>
        <v>-0.23467273530111066</v>
      </c>
    </row>
    <row r="356" spans="1:12" x14ac:dyDescent="0.35">
      <c r="A356" s="5" t="s">
        <v>901</v>
      </c>
      <c r="B356" s="22">
        <v>1759.2</v>
      </c>
      <c r="C356" s="10">
        <v>22.658000000000001</v>
      </c>
      <c r="D356" s="23">
        <f t="shared" si="33"/>
        <v>-1.4757634237710915E-3</v>
      </c>
      <c r="E356" s="11">
        <f t="shared" si="34"/>
        <v>5.592046866678556E-3</v>
      </c>
      <c r="F356" s="24">
        <f>(B356-$B$2)/$B$2</f>
        <v>0.15123355801321914</v>
      </c>
      <c r="G356" s="11">
        <f t="shared" si="35"/>
        <v>0.25556910118585846</v>
      </c>
      <c r="H356" s="25">
        <f t="shared" si="30"/>
        <v>77.641451143084112</v>
      </c>
      <c r="I356" s="26">
        <f>MAX($B$2:B356)</f>
        <v>2069.4</v>
      </c>
      <c r="J356" s="27">
        <f t="shared" si="31"/>
        <v>-0.14989852131052481</v>
      </c>
      <c r="K356" s="10">
        <f>MAX($C$2:C356)</f>
        <v>29.440999999999999</v>
      </c>
      <c r="L356" s="11">
        <f t="shared" si="32"/>
        <v>-0.23039298936856759</v>
      </c>
    </row>
    <row r="357" spans="1:12" x14ac:dyDescent="0.35">
      <c r="A357" s="5" t="s">
        <v>905</v>
      </c>
      <c r="B357" s="22">
        <v>1755.7</v>
      </c>
      <c r="C357" s="10">
        <v>22.664999999999999</v>
      </c>
      <c r="D357" s="23">
        <f t="shared" si="33"/>
        <v>-1.9895407003183265E-3</v>
      </c>
      <c r="E357" s="11">
        <f t="shared" si="34"/>
        <v>3.0894165416179257E-4</v>
      </c>
      <c r="F357" s="24">
        <f>(B357-$B$2)/$B$2</f>
        <v>0.14894313199397954</v>
      </c>
      <c r="G357" s="11">
        <f t="shared" si="35"/>
        <v>0.25595699878089329</v>
      </c>
      <c r="H357" s="25">
        <f t="shared" si="30"/>
        <v>77.463048753584829</v>
      </c>
      <c r="I357" s="26">
        <f>MAX($B$2:B357)</f>
        <v>2069.4</v>
      </c>
      <c r="J357" s="27">
        <f t="shared" si="31"/>
        <v>-0.15158983280177832</v>
      </c>
      <c r="K357" s="10">
        <f>MAX($C$2:C357)</f>
        <v>29.440999999999999</v>
      </c>
      <c r="L357" s="11">
        <f t="shared" si="32"/>
        <v>-0.23015522570564859</v>
      </c>
    </row>
    <row r="358" spans="1:12" x14ac:dyDescent="0.35">
      <c r="A358" s="5" t="s">
        <v>907</v>
      </c>
      <c r="B358" s="22">
        <v>1759.3</v>
      </c>
      <c r="C358" s="10">
        <v>22.513999999999999</v>
      </c>
      <c r="D358" s="23">
        <f t="shared" si="33"/>
        <v>2.0504642023124161E-3</v>
      </c>
      <c r="E358" s="11">
        <f t="shared" si="34"/>
        <v>-6.6622545775424577E-3</v>
      </c>
      <c r="F358" s="24">
        <f>(B358-$B$2)/$B$2</f>
        <v>0.15129899875662592</v>
      </c>
      <c r="G358" s="11">
        <f t="shared" si="35"/>
        <v>0.24758949351656878</v>
      </c>
      <c r="H358" s="25">
        <f t="shared" si="30"/>
        <v>78.142489117882207</v>
      </c>
      <c r="I358" s="26">
        <f>MAX($B$2:B358)</f>
        <v>2069.4</v>
      </c>
      <c r="J358" s="27">
        <f t="shared" si="31"/>
        <v>-0.14985019812506045</v>
      </c>
      <c r="K358" s="10">
        <f>MAX($C$2:C358)</f>
        <v>29.440999999999999</v>
      </c>
      <c r="L358" s="11">
        <f t="shared" si="32"/>
        <v>-0.23528412757718828</v>
      </c>
    </row>
    <row r="359" spans="1:12" x14ac:dyDescent="0.35">
      <c r="A359" s="5" t="s">
        <v>909</v>
      </c>
      <c r="B359" s="22">
        <v>1794.7</v>
      </c>
      <c r="C359" s="10">
        <v>23.17</v>
      </c>
      <c r="D359" s="23">
        <f t="shared" si="33"/>
        <v>2.0121639288353376E-2</v>
      </c>
      <c r="E359" s="11">
        <f t="shared" si="34"/>
        <v>2.9137425601847844E-2</v>
      </c>
      <c r="F359" s="24">
        <f>(B359-$B$2)/$B$2</f>
        <v>0.17446502192264915</v>
      </c>
      <c r="G359" s="11">
        <f t="shared" si="35"/>
        <v>0.28394103956555483</v>
      </c>
      <c r="H359" s="25">
        <f t="shared" si="30"/>
        <v>77.457919723780748</v>
      </c>
      <c r="I359" s="26">
        <f>MAX($B$2:B359)</f>
        <v>2069.4</v>
      </c>
      <c r="J359" s="27">
        <f t="shared" si="31"/>
        <v>-0.13274379047066784</v>
      </c>
      <c r="K359" s="10">
        <f>MAX($C$2:C359)</f>
        <v>29.440999999999999</v>
      </c>
      <c r="L359" s="11">
        <f t="shared" si="32"/>
        <v>-0.21300227573791641</v>
      </c>
    </row>
    <row r="360" spans="1:12" x14ac:dyDescent="0.35">
      <c r="A360" s="5" t="s">
        <v>911</v>
      </c>
      <c r="B360" s="22">
        <v>1797.9</v>
      </c>
      <c r="C360" s="10">
        <v>23.477</v>
      </c>
      <c r="D360" s="23">
        <f t="shared" si="33"/>
        <v>1.7830278040898452E-3</v>
      </c>
      <c r="E360" s="11">
        <f t="shared" si="34"/>
        <v>1.3249892101855787E-2</v>
      </c>
      <c r="F360" s="24">
        <f>(B360-$B$2)/$B$2</f>
        <v>0.17655912571166821</v>
      </c>
      <c r="G360" s="11">
        <f t="shared" si="35"/>
        <v>0.30095311980494299</v>
      </c>
      <c r="H360" s="25">
        <f t="shared" si="30"/>
        <v>76.581334923542187</v>
      </c>
      <c r="I360" s="26">
        <f>MAX($B$2:B360)</f>
        <v>2069.4</v>
      </c>
      <c r="J360" s="27">
        <f t="shared" si="31"/>
        <v>-0.13119744853580748</v>
      </c>
      <c r="K360" s="10">
        <f>MAX($C$2:C360)</f>
        <v>29.440999999999999</v>
      </c>
      <c r="L360" s="11">
        <f t="shared" si="32"/>
        <v>-0.20257464080703777</v>
      </c>
    </row>
    <row r="361" spans="1:12" x14ac:dyDescent="0.35">
      <c r="A361" s="5" t="s">
        <v>915</v>
      </c>
      <c r="B361" s="22">
        <v>1765.7</v>
      </c>
      <c r="C361" s="10">
        <v>23.263999999999999</v>
      </c>
      <c r="D361" s="23">
        <f t="shared" si="33"/>
        <v>-1.7909783636464789E-2</v>
      </c>
      <c r="E361" s="11">
        <f t="shared" si="34"/>
        <v>-9.07270946032291E-3</v>
      </c>
      <c r="F361" s="24">
        <f>(B361-$B$2)/$B$2</f>
        <v>0.15548720633466406</v>
      </c>
      <c r="G361" s="11">
        <f t="shared" si="35"/>
        <v>0.28914995012745209</v>
      </c>
      <c r="H361" s="25">
        <f t="shared" si="30"/>
        <v>75.898383768913348</v>
      </c>
      <c r="I361" s="26">
        <f>MAX($B$2:B361)</f>
        <v>2069.4</v>
      </c>
      <c r="J361" s="27">
        <f t="shared" si="31"/>
        <v>-0.14675751425533973</v>
      </c>
      <c r="K361" s="10">
        <f>MAX($C$2:C361)</f>
        <v>29.440999999999999</v>
      </c>
      <c r="L361" s="11">
        <f t="shared" si="32"/>
        <v>-0.20980944940728916</v>
      </c>
    </row>
    <row r="362" spans="1:12" x14ac:dyDescent="0.35">
      <c r="A362" s="5" t="s">
        <v>917</v>
      </c>
      <c r="B362" s="22">
        <v>1770.5</v>
      </c>
      <c r="C362" s="10">
        <v>23.882999999999999</v>
      </c>
      <c r="D362" s="23">
        <f t="shared" si="33"/>
        <v>2.7184685960242139E-3</v>
      </c>
      <c r="E362" s="11">
        <f t="shared" si="34"/>
        <v>2.6607634112792287E-2</v>
      </c>
      <c r="F362" s="24">
        <f>(B362-$B$2)/$B$2</f>
        <v>0.15862836201819261</v>
      </c>
      <c r="G362" s="11">
        <f t="shared" si="35"/>
        <v>0.32345118031696773</v>
      </c>
      <c r="H362" s="25">
        <f t="shared" si="30"/>
        <v>74.132227944563084</v>
      </c>
      <c r="I362" s="26">
        <f>MAX($B$2:B362)</f>
        <v>2069.4</v>
      </c>
      <c r="J362" s="27">
        <f t="shared" si="31"/>
        <v>-0.14443800135304924</v>
      </c>
      <c r="K362" s="10">
        <f>MAX($C$2:C362)</f>
        <v>29.440999999999999</v>
      </c>
      <c r="L362" s="11">
        <f t="shared" si="32"/>
        <v>-0.18878434835773242</v>
      </c>
    </row>
    <row r="363" spans="1:12" x14ac:dyDescent="0.35">
      <c r="A363" s="5" t="s">
        <v>919</v>
      </c>
      <c r="B363" s="22">
        <v>1784.9</v>
      </c>
      <c r="C363" s="10">
        <v>24.445</v>
      </c>
      <c r="D363" s="23">
        <f t="shared" si="33"/>
        <v>8.1332956791867212E-3</v>
      </c>
      <c r="E363" s="11">
        <f t="shared" si="34"/>
        <v>2.3531382154670735E-2</v>
      </c>
      <c r="F363" s="24">
        <f>(B363-$B$2)/$B$2</f>
        <v>0.16805182906877836</v>
      </c>
      <c r="G363" s="11">
        <f t="shared" si="35"/>
        <v>0.35459381580405636</v>
      </c>
      <c r="H363" s="25">
        <f t="shared" si="30"/>
        <v>73.016976886888941</v>
      </c>
      <c r="I363" s="26">
        <f>MAX($B$2:B363)</f>
        <v>2069.4</v>
      </c>
      <c r="J363" s="27">
        <f t="shared" si="31"/>
        <v>-0.13747946264617764</v>
      </c>
      <c r="K363" s="10">
        <f>MAX($C$2:C363)</f>
        <v>29.440999999999999</v>
      </c>
      <c r="L363" s="11">
        <f t="shared" si="32"/>
        <v>-0.16969532284908798</v>
      </c>
    </row>
    <row r="364" spans="1:12" x14ac:dyDescent="0.35">
      <c r="A364" s="5" t="s">
        <v>921</v>
      </c>
      <c r="B364" s="22">
        <v>1781.9</v>
      </c>
      <c r="C364" s="10">
        <v>24.17</v>
      </c>
      <c r="D364" s="23">
        <f t="shared" si="33"/>
        <v>-1.6807664294918481E-3</v>
      </c>
      <c r="E364" s="11">
        <f t="shared" si="34"/>
        <v>-1.1249744323992578E-2</v>
      </c>
      <c r="F364" s="24">
        <f>(B364-$B$2)/$B$2</f>
        <v>0.166088606766573</v>
      </c>
      <c r="G364" s="11">
        <f t="shared" si="35"/>
        <v>0.33935498171339923</v>
      </c>
      <c r="H364" s="25">
        <f t="shared" si="30"/>
        <v>73.723624327678934</v>
      </c>
      <c r="I364" s="26">
        <f>MAX($B$2:B364)</f>
        <v>2069.4</v>
      </c>
      <c r="J364" s="27">
        <f t="shared" si="31"/>
        <v>-0.1389291582101092</v>
      </c>
      <c r="K364" s="10">
        <f>MAX($C$2:C364)</f>
        <v>29.440999999999999</v>
      </c>
      <c r="L364" s="11">
        <f t="shared" si="32"/>
        <v>-0.17903603817805094</v>
      </c>
    </row>
    <row r="365" spans="1:12" x14ac:dyDescent="0.35">
      <c r="A365" s="5" t="s">
        <v>925</v>
      </c>
      <c r="B365" s="22">
        <v>1806.8</v>
      </c>
      <c r="C365" s="10">
        <v>24.591999999999999</v>
      </c>
      <c r="D365" s="23">
        <f t="shared" si="33"/>
        <v>1.3973848139626164E-2</v>
      </c>
      <c r="E365" s="11">
        <f t="shared" si="34"/>
        <v>1.7459660736450021E-2</v>
      </c>
      <c r="F365" s="24">
        <f>(B365-$B$2)/$B$2</f>
        <v>0.18238335187487734</v>
      </c>
      <c r="G365" s="11">
        <f t="shared" si="35"/>
        <v>0.3627396652997894</v>
      </c>
      <c r="H365" s="25">
        <f t="shared" si="30"/>
        <v>73.471047495120359</v>
      </c>
      <c r="I365" s="26">
        <f>MAX($B$2:B365)</f>
        <v>2069.4</v>
      </c>
      <c r="J365" s="27">
        <f t="shared" si="31"/>
        <v>-0.12689668502947721</v>
      </c>
      <c r="K365" s="10">
        <f>MAX($C$2:C365)</f>
        <v>29.440999999999999</v>
      </c>
      <c r="L365" s="11">
        <f t="shared" si="32"/>
        <v>-0.16470228592778779</v>
      </c>
    </row>
    <row r="366" spans="1:12" x14ac:dyDescent="0.35">
      <c r="A366" s="5" t="s">
        <v>927</v>
      </c>
      <c r="B366" s="22">
        <v>1793.4</v>
      </c>
      <c r="C366" s="10">
        <v>24.088000000000001</v>
      </c>
      <c r="D366" s="23">
        <f t="shared" si="33"/>
        <v>-7.4164268319680451E-3</v>
      </c>
      <c r="E366" s="11">
        <f t="shared" si="34"/>
        <v>-2.0494469746258858E-2</v>
      </c>
      <c r="F366" s="24">
        <f>(B366-$B$2)/$B$2</f>
        <v>0.1736142922583602</v>
      </c>
      <c r="G366" s="11">
        <f t="shared" si="35"/>
        <v>0.33481103845727594</v>
      </c>
      <c r="H366" s="25">
        <f t="shared" si="30"/>
        <v>74.452009299236138</v>
      </c>
      <c r="I366" s="26">
        <f>MAX($B$2:B366)</f>
        <v>2069.4</v>
      </c>
      <c r="J366" s="27">
        <f t="shared" si="31"/>
        <v>-0.13337199188170484</v>
      </c>
      <c r="K366" s="10">
        <f>MAX($C$2:C366)</f>
        <v>29.440999999999999</v>
      </c>
      <c r="L366" s="11">
        <f t="shared" si="32"/>
        <v>-0.18182126965795992</v>
      </c>
    </row>
    <row r="367" spans="1:12" x14ac:dyDescent="0.35">
      <c r="A367" s="5" t="s">
        <v>929</v>
      </c>
      <c r="B367" s="22">
        <v>1798.8</v>
      </c>
      <c r="C367" s="10">
        <v>24.190999999999999</v>
      </c>
      <c r="D367" s="23">
        <f t="shared" si="33"/>
        <v>3.0110404817664011E-3</v>
      </c>
      <c r="E367" s="11">
        <f t="shared" si="34"/>
        <v>4.2759880438391724E-3</v>
      </c>
      <c r="F367" s="24">
        <f>(B367-$B$2)/$B$2</f>
        <v>0.17714809240232973</v>
      </c>
      <c r="G367" s="11">
        <f t="shared" si="35"/>
        <v>0.34051867449850381</v>
      </c>
      <c r="H367" s="25">
        <f t="shared" si="30"/>
        <v>74.358232400479523</v>
      </c>
      <c r="I367" s="26">
        <f>MAX($B$2:B367)</f>
        <v>2069.4</v>
      </c>
      <c r="J367" s="27">
        <f t="shared" si="31"/>
        <v>-0.13076253986662806</v>
      </c>
      <c r="K367" s="10">
        <f>MAX($C$2:C367)</f>
        <v>29.440999999999999</v>
      </c>
      <c r="L367" s="11">
        <f t="shared" si="32"/>
        <v>-0.17832274718929386</v>
      </c>
    </row>
    <row r="368" spans="1:12" x14ac:dyDescent="0.35">
      <c r="A368" s="5" t="s">
        <v>931</v>
      </c>
      <c r="B368" s="22">
        <v>1802.6</v>
      </c>
      <c r="C368" s="10">
        <v>24.138999999999999</v>
      </c>
      <c r="D368" s="23">
        <f t="shared" si="33"/>
        <v>2.1125194574160297E-3</v>
      </c>
      <c r="E368" s="11">
        <f t="shared" si="34"/>
        <v>-2.1495597536273659E-3</v>
      </c>
      <c r="F368" s="24">
        <f>(B368-$B$2)/$B$2</f>
        <v>0.17963484065178981</v>
      </c>
      <c r="G368" s="11">
        <f t="shared" si="35"/>
        <v>0.33763714950681595</v>
      </c>
      <c r="H368" s="25">
        <f t="shared" si="30"/>
        <v>74.675835784415256</v>
      </c>
      <c r="I368" s="26">
        <f>MAX($B$2:B368)</f>
        <v>2069.4</v>
      </c>
      <c r="J368" s="27">
        <f t="shared" si="31"/>
        <v>-0.12892625881898143</v>
      </c>
      <c r="K368" s="10">
        <f>MAX($C$2:C368)</f>
        <v>29.440999999999999</v>
      </c>
      <c r="L368" s="11">
        <f t="shared" si="32"/>
        <v>-0.18008899154240685</v>
      </c>
    </row>
    <row r="369" spans="1:12" x14ac:dyDescent="0.35">
      <c r="A369" s="5" t="s">
        <v>935</v>
      </c>
      <c r="B369" s="22">
        <v>1795.8</v>
      </c>
      <c r="C369" s="10">
        <v>24.091000000000001</v>
      </c>
      <c r="D369" s="23">
        <f t="shared" si="33"/>
        <v>-3.7723288583157411E-3</v>
      </c>
      <c r="E369" s="11">
        <f t="shared" si="34"/>
        <v>-1.9884833671650966E-3</v>
      </c>
      <c r="F369" s="24">
        <f>(B369-$B$2)/$B$2</f>
        <v>0.17518487010012437</v>
      </c>
      <c r="G369" s="11">
        <f t="shared" si="35"/>
        <v>0.33497728028371948</v>
      </c>
      <c r="H369" s="25">
        <f t="shared" si="30"/>
        <v>74.542360217508602</v>
      </c>
      <c r="I369" s="26">
        <f>MAX($B$2:B369)</f>
        <v>2069.4</v>
      </c>
      <c r="J369" s="27">
        <f t="shared" si="31"/>
        <v>-0.13221223543055965</v>
      </c>
      <c r="K369" s="10">
        <f>MAX($C$2:C369)</f>
        <v>29.440999999999999</v>
      </c>
      <c r="L369" s="11">
        <f t="shared" si="32"/>
        <v>-0.18171937094528032</v>
      </c>
    </row>
    <row r="370" spans="1:12" x14ac:dyDescent="0.35">
      <c r="A370" s="5" t="s">
        <v>937</v>
      </c>
      <c r="B370" s="22">
        <v>1789.4</v>
      </c>
      <c r="C370" s="10">
        <v>23.524000000000001</v>
      </c>
      <c r="D370" s="23">
        <f t="shared" si="33"/>
        <v>-3.5638712551508316E-3</v>
      </c>
      <c r="E370" s="11">
        <f t="shared" si="34"/>
        <v>-2.3535760242414185E-2</v>
      </c>
      <c r="F370" s="24">
        <f>(B370-$B$2)/$B$2</f>
        <v>0.17099666252208637</v>
      </c>
      <c r="G370" s="11">
        <f t="shared" si="35"/>
        <v>0.30355757508589171</v>
      </c>
      <c r="H370" s="25">
        <f t="shared" si="30"/>
        <v>76.066995408944052</v>
      </c>
      <c r="I370" s="26">
        <f>MAX($B$2:B370)</f>
        <v>2069.4</v>
      </c>
      <c r="J370" s="27">
        <f t="shared" si="31"/>
        <v>-0.13530491930028027</v>
      </c>
      <c r="K370" s="10">
        <f>MAX($C$2:C370)</f>
        <v>29.440999999999999</v>
      </c>
      <c r="L370" s="11">
        <f t="shared" si="32"/>
        <v>-0.20097822764172407</v>
      </c>
    </row>
    <row r="371" spans="1:12" x14ac:dyDescent="0.35">
      <c r="A371" s="5" t="s">
        <v>939</v>
      </c>
      <c r="B371" s="22">
        <v>1763.9</v>
      </c>
      <c r="C371" s="10">
        <v>23.251000000000001</v>
      </c>
      <c r="D371" s="23">
        <f t="shared" si="33"/>
        <v>-1.4250586788867776E-2</v>
      </c>
      <c r="E371" s="11">
        <f t="shared" si="34"/>
        <v>-1.1605169188913435E-2</v>
      </c>
      <c r="F371" s="24">
        <f>(B371-$B$2)/$B$2</f>
        <v>0.15430927295334088</v>
      </c>
      <c r="G371" s="11">
        <f t="shared" si="35"/>
        <v>0.2884295688795302</v>
      </c>
      <c r="H371" s="25">
        <f t="shared" si="30"/>
        <v>75.863403724570986</v>
      </c>
      <c r="I371" s="26">
        <f>MAX($B$2:B371)</f>
        <v>2069.4</v>
      </c>
      <c r="J371" s="27">
        <f t="shared" si="31"/>
        <v>-0.14762733159369865</v>
      </c>
      <c r="K371" s="10">
        <f>MAX($C$2:C371)</f>
        <v>29.440999999999999</v>
      </c>
      <c r="L371" s="11">
        <f t="shared" si="32"/>
        <v>-0.21025101049556733</v>
      </c>
    </row>
    <row r="372" spans="1:12" x14ac:dyDescent="0.35">
      <c r="A372" s="5" t="s">
        <v>941</v>
      </c>
      <c r="B372" s="22">
        <v>1793.5</v>
      </c>
      <c r="C372" s="10">
        <v>23.93</v>
      </c>
      <c r="D372" s="23">
        <f t="shared" si="33"/>
        <v>1.6780996655139126E-2</v>
      </c>
      <c r="E372" s="11">
        <f t="shared" si="34"/>
        <v>2.9203045030321211E-2</v>
      </c>
      <c r="F372" s="24">
        <f>(B372-$B$2)/$B$2</f>
        <v>0.17367973300176698</v>
      </c>
      <c r="G372" s="11">
        <f t="shared" si="35"/>
        <v>0.32605563559791645</v>
      </c>
      <c r="H372" s="25">
        <f t="shared" si="30"/>
        <v>74.947764312578357</v>
      </c>
      <c r="I372" s="26">
        <f>MAX($B$2:B372)</f>
        <v>2069.4</v>
      </c>
      <c r="J372" s="27">
        <f t="shared" si="31"/>
        <v>-0.13332366869624049</v>
      </c>
      <c r="K372" s="10">
        <f>MAX($C$2:C372)</f>
        <v>29.440999999999999</v>
      </c>
      <c r="L372" s="11">
        <f t="shared" si="32"/>
        <v>-0.18718793519241872</v>
      </c>
    </row>
    <row r="373" spans="1:12" x14ac:dyDescent="0.35">
      <c r="A373" s="5" t="s">
        <v>945</v>
      </c>
      <c r="B373" s="22">
        <v>1828</v>
      </c>
      <c r="C373" s="10">
        <v>24.561</v>
      </c>
      <c r="D373" s="23">
        <f t="shared" si="33"/>
        <v>1.9236130471145804E-2</v>
      </c>
      <c r="E373" s="11">
        <f t="shared" si="34"/>
        <v>2.6368575010447148E-2</v>
      </c>
      <c r="F373" s="24">
        <f>(B373-$B$2)/$B$2</f>
        <v>0.19625678947712852</v>
      </c>
      <c r="G373" s="11">
        <f t="shared" si="35"/>
        <v>0.36102183309320629</v>
      </c>
      <c r="H373" s="25">
        <f t="shared" si="30"/>
        <v>74.42693701396523</v>
      </c>
      <c r="I373" s="26">
        <f>MAX($B$2:B373)</f>
        <v>2069.4</v>
      </c>
      <c r="J373" s="27">
        <f t="shared" si="31"/>
        <v>-0.11665216971102739</v>
      </c>
      <c r="K373" s="10">
        <f>MAX($C$2:C373)</f>
        <v>29.440999999999999</v>
      </c>
      <c r="L373" s="11">
        <f t="shared" si="32"/>
        <v>-0.16575523929214359</v>
      </c>
    </row>
    <row r="374" spans="1:12" x14ac:dyDescent="0.35">
      <c r="A374" s="5" t="s">
        <v>947</v>
      </c>
      <c r="B374" s="22">
        <v>1830.8</v>
      </c>
      <c r="C374" s="10">
        <v>24.337</v>
      </c>
      <c r="D374" s="23">
        <f t="shared" si="33"/>
        <v>1.5317286652078526E-3</v>
      </c>
      <c r="E374" s="11">
        <f t="shared" si="34"/>
        <v>-9.1201498310329466E-3</v>
      </c>
      <c r="F374" s="24">
        <f>(B374-$B$2)/$B$2</f>
        <v>0.19808913029252018</v>
      </c>
      <c r="G374" s="11">
        <f t="shared" si="35"/>
        <v>0.34860911005208911</v>
      </c>
      <c r="H374" s="25">
        <f t="shared" si="30"/>
        <v>75.227020585939101</v>
      </c>
      <c r="I374" s="26">
        <f>MAX($B$2:B374)</f>
        <v>2069.4</v>
      </c>
      <c r="J374" s="27">
        <f t="shared" si="31"/>
        <v>-0.11529912051802461</v>
      </c>
      <c r="K374" s="10">
        <f>MAX($C$2:C374)</f>
        <v>29.440999999999999</v>
      </c>
      <c r="L374" s="11">
        <f t="shared" si="32"/>
        <v>-0.17336367650555345</v>
      </c>
    </row>
    <row r="375" spans="1:12" x14ac:dyDescent="0.35">
      <c r="A375" s="5" t="s">
        <v>949</v>
      </c>
      <c r="B375" s="22">
        <v>1848.3</v>
      </c>
      <c r="C375" s="10">
        <v>24.791</v>
      </c>
      <c r="D375" s="23">
        <f t="shared" si="33"/>
        <v>9.558662879615468E-3</v>
      </c>
      <c r="E375" s="11">
        <f t="shared" si="34"/>
        <v>1.8654723260878525E-2</v>
      </c>
      <c r="F375" s="24">
        <f>(B375-$B$2)/$B$2</f>
        <v>0.20954126038871806</v>
      </c>
      <c r="G375" s="11">
        <f t="shared" si="35"/>
        <v>0.37376703978721054</v>
      </c>
      <c r="H375" s="25">
        <f t="shared" si="30"/>
        <v>74.555282158847973</v>
      </c>
      <c r="I375" s="26">
        <f>MAX($B$2:B375)</f>
        <v>2069.4</v>
      </c>
      <c r="J375" s="27">
        <f t="shared" si="31"/>
        <v>-0.10684256306175709</v>
      </c>
      <c r="K375" s="10">
        <f>MAX($C$2:C375)</f>
        <v>29.440999999999999</v>
      </c>
      <c r="L375" s="11">
        <f t="shared" si="32"/>
        <v>-0.15794300465337449</v>
      </c>
    </row>
    <row r="376" spans="1:12" x14ac:dyDescent="0.35">
      <c r="A376" s="5" t="s">
        <v>951</v>
      </c>
      <c r="B376" s="22">
        <v>1863.9</v>
      </c>
      <c r="C376" s="10">
        <v>25.32</v>
      </c>
      <c r="D376" s="23">
        <f t="shared" si="33"/>
        <v>8.4401882811232683E-3</v>
      </c>
      <c r="E376" s="11">
        <f t="shared" si="34"/>
        <v>2.133838893146706E-2</v>
      </c>
      <c r="F376" s="24">
        <f>(B376-$B$2)/$B$2</f>
        <v>0.21975001636018598</v>
      </c>
      <c r="G376" s="11">
        <f t="shared" si="35"/>
        <v>0.40308101518342021</v>
      </c>
      <c r="H376" s="25">
        <f t="shared" si="30"/>
        <v>73.613744075829388</v>
      </c>
      <c r="I376" s="26">
        <f>MAX($B$2:B376)</f>
        <v>2069.4</v>
      </c>
      <c r="J376" s="27">
        <f t="shared" si="31"/>
        <v>-9.9304146129312834E-2</v>
      </c>
      <c r="K376" s="10">
        <f>MAX($C$2:C376)</f>
        <v>29.440999999999999</v>
      </c>
      <c r="L376" s="11">
        <f t="shared" si="32"/>
        <v>-0.13997486498420567</v>
      </c>
    </row>
    <row r="377" spans="1:12" x14ac:dyDescent="0.35">
      <c r="A377" s="5" t="s">
        <v>955</v>
      </c>
      <c r="B377" s="22">
        <v>1866.6</v>
      </c>
      <c r="C377" s="10">
        <v>25.123999999999999</v>
      </c>
      <c r="D377" s="23">
        <f t="shared" si="33"/>
        <v>1.4485755673586662E-3</v>
      </c>
      <c r="E377" s="11">
        <f t="shared" si="34"/>
        <v>-7.7409162717220186E-3</v>
      </c>
      <c r="F377" s="24">
        <f>(B377-$B$2)/$B$2</f>
        <v>0.2215169164321707</v>
      </c>
      <c r="G377" s="11">
        <f t="shared" si="35"/>
        <v>0.39221988252244261</v>
      </c>
      <c r="H377" s="25">
        <f t="shared" si="30"/>
        <v>74.295494348033756</v>
      </c>
      <c r="I377" s="26">
        <f>MAX($B$2:B377)</f>
        <v>2069.4</v>
      </c>
      <c r="J377" s="27">
        <f t="shared" si="31"/>
        <v>-9.7999420121774511E-2</v>
      </c>
      <c r="K377" s="10">
        <f>MAX($C$2:C377)</f>
        <v>29.440999999999999</v>
      </c>
      <c r="L377" s="11">
        <f t="shared" si="32"/>
        <v>-0.14663224754593934</v>
      </c>
    </row>
    <row r="378" spans="1:12" x14ac:dyDescent="0.35">
      <c r="A378" s="5" t="s">
        <v>957</v>
      </c>
      <c r="B378" s="22">
        <v>1854.1</v>
      </c>
      <c r="C378" s="10">
        <v>24.963000000000001</v>
      </c>
      <c r="D378" s="23">
        <f t="shared" si="33"/>
        <v>-6.6966677381335047E-3</v>
      </c>
      <c r="E378" s="11">
        <f t="shared" si="34"/>
        <v>-6.4082152523482656E-3</v>
      </c>
      <c r="F378" s="24">
        <f>(B378-$B$2)/$B$2</f>
        <v>0.21333682350631505</v>
      </c>
      <c r="G378" s="11">
        <f t="shared" si="35"/>
        <v>0.3832982378366398</v>
      </c>
      <c r="H378" s="25">
        <f t="shared" si="30"/>
        <v>74.273925409606207</v>
      </c>
      <c r="I378" s="26">
        <f>MAX($B$2:B378)</f>
        <v>2069.4</v>
      </c>
      <c r="J378" s="27">
        <f t="shared" si="31"/>
        <v>-0.10403981830482274</v>
      </c>
      <c r="K378" s="10">
        <f>MAX($C$2:C378)</f>
        <v>29.440999999999999</v>
      </c>
      <c r="L378" s="11">
        <f t="shared" si="32"/>
        <v>-0.15210081179307761</v>
      </c>
    </row>
    <row r="379" spans="1:12" x14ac:dyDescent="0.35">
      <c r="A379" s="5" t="s">
        <v>959</v>
      </c>
      <c r="B379" s="22">
        <v>1870.2</v>
      </c>
      <c r="C379" s="10">
        <v>25.184999999999999</v>
      </c>
      <c r="D379" s="23">
        <f t="shared" si="33"/>
        <v>8.6834582816461559E-3</v>
      </c>
      <c r="E379" s="11">
        <f t="shared" si="34"/>
        <v>8.8931618795816906E-3</v>
      </c>
      <c r="F379" s="24">
        <f>(B379-$B$2)/$B$2</f>
        <v>0.22387278319481718</v>
      </c>
      <c r="G379" s="11">
        <f t="shared" si="35"/>
        <v>0.39560013299346114</v>
      </c>
      <c r="H379" s="25">
        <f t="shared" si="30"/>
        <v>74.258487194758786</v>
      </c>
      <c r="I379" s="26">
        <f>MAX($B$2:B379)</f>
        <v>2069.4</v>
      </c>
      <c r="J379" s="27">
        <f t="shared" si="31"/>
        <v>-9.6259785445056562E-2</v>
      </c>
      <c r="K379" s="10">
        <f>MAX($C$2:C379)</f>
        <v>29.440999999999999</v>
      </c>
      <c r="L379" s="11">
        <f t="shared" si="32"/>
        <v>-0.14456030705478756</v>
      </c>
    </row>
    <row r="380" spans="1:12" x14ac:dyDescent="0.35">
      <c r="A380" s="5" t="s">
        <v>961</v>
      </c>
      <c r="B380" s="22">
        <v>1861.4</v>
      </c>
      <c r="C380" s="10">
        <v>24.919</v>
      </c>
      <c r="D380" s="23">
        <f t="shared" si="33"/>
        <v>-4.7053791038391369E-3</v>
      </c>
      <c r="E380" s="11">
        <f t="shared" si="34"/>
        <v>-1.056184236648792E-2</v>
      </c>
      <c r="F380" s="24">
        <f>(B380-$B$2)/$B$2</f>
        <v>0.21811399777501486</v>
      </c>
      <c r="G380" s="11">
        <f t="shared" si="35"/>
        <v>0.38086002438213462</v>
      </c>
      <c r="H380" s="25">
        <f t="shared" si="30"/>
        <v>74.698021589951452</v>
      </c>
      <c r="I380" s="26">
        <f>MAX($B$2:B380)</f>
        <v>2069.4</v>
      </c>
      <c r="J380" s="27">
        <f t="shared" si="31"/>
        <v>-0.10051222576592249</v>
      </c>
      <c r="K380" s="10">
        <f>MAX($C$2:C380)</f>
        <v>29.440999999999999</v>
      </c>
      <c r="L380" s="11">
        <f t="shared" si="32"/>
        <v>-0.15359532624571171</v>
      </c>
    </row>
    <row r="381" spans="1:12" x14ac:dyDescent="0.35">
      <c r="A381" s="5" t="s">
        <v>965</v>
      </c>
      <c r="B381" s="22">
        <v>1806.3</v>
      </c>
      <c r="C381" s="10">
        <v>24.318000000000001</v>
      </c>
      <c r="D381" s="23">
        <f t="shared" si="33"/>
        <v>-2.9601375308907347E-2</v>
      </c>
      <c r="E381" s="11">
        <f t="shared" si="34"/>
        <v>-2.4118142782615638E-2</v>
      </c>
      <c r="F381" s="24">
        <f>(B381-$B$2)/$B$2</f>
        <v>0.1820561481578431</v>
      </c>
      <c r="G381" s="11">
        <f t="shared" si="35"/>
        <v>0.3475562451512802</v>
      </c>
      <c r="H381" s="25">
        <f t="shared" si="30"/>
        <v>74.278312361213906</v>
      </c>
      <c r="I381" s="26">
        <f>MAX($B$2:B381)</f>
        <v>2069.4</v>
      </c>
      <c r="J381" s="27">
        <f t="shared" si="31"/>
        <v>-0.12713830095679912</v>
      </c>
      <c r="K381" s="10">
        <f>MAX($C$2:C381)</f>
        <v>29.440999999999999</v>
      </c>
      <c r="L381" s="11">
        <f t="shared" si="32"/>
        <v>-0.17400903501919085</v>
      </c>
    </row>
    <row r="382" spans="1:12" x14ac:dyDescent="0.35">
      <c r="A382" s="5" t="s">
        <v>967</v>
      </c>
      <c r="B382" s="22">
        <v>1783.8</v>
      </c>
      <c r="C382" s="10">
        <v>23.452000000000002</v>
      </c>
      <c r="D382" s="23">
        <f t="shared" si="33"/>
        <v>-1.2456402590931739E-2</v>
      </c>
      <c r="E382" s="11">
        <f t="shared" si="34"/>
        <v>-3.5611481207336114E-2</v>
      </c>
      <c r="F382" s="24">
        <f>(B382-$B$2)/$B$2</f>
        <v>0.16733198089130297</v>
      </c>
      <c r="G382" s="11">
        <f t="shared" si="35"/>
        <v>0.29956777125124695</v>
      </c>
      <c r="H382" s="25">
        <f t="shared" si="30"/>
        <v>76.061743134913854</v>
      </c>
      <c r="I382" s="26">
        <f>MAX($B$2:B382)</f>
        <v>2069.4</v>
      </c>
      <c r="J382" s="27">
        <f t="shared" si="31"/>
        <v>-0.13801101768628593</v>
      </c>
      <c r="K382" s="10">
        <f>MAX($C$2:C382)</f>
        <v>29.440999999999999</v>
      </c>
      <c r="L382" s="11">
        <f t="shared" si="32"/>
        <v>-0.20342379674603436</v>
      </c>
    </row>
    <row r="383" spans="1:12" x14ac:dyDescent="0.35">
      <c r="A383" s="5" t="s">
        <v>969</v>
      </c>
      <c r="B383" s="22">
        <v>1784.3</v>
      </c>
      <c r="C383" s="10">
        <v>23.513999999999999</v>
      </c>
      <c r="D383" s="23">
        <f t="shared" si="33"/>
        <v>2.8030048211682924E-4</v>
      </c>
      <c r="E383" s="11">
        <f t="shared" si="34"/>
        <v>2.6436977656488832E-3</v>
      </c>
      <c r="F383" s="24">
        <f>(B383-$B$2)/$B$2</f>
        <v>0.1676591846083372</v>
      </c>
      <c r="G383" s="11">
        <f t="shared" si="35"/>
        <v>0.30300343566441318</v>
      </c>
      <c r="H383" s="25">
        <f t="shared" si="30"/>
        <v>75.882453006719402</v>
      </c>
      <c r="I383" s="26">
        <f>MAX($B$2:B383)</f>
        <v>2069.4</v>
      </c>
      <c r="J383" s="27">
        <f t="shared" si="31"/>
        <v>-0.13776940175896402</v>
      </c>
      <c r="K383" s="10">
        <f>MAX($C$2:C383)</f>
        <v>29.440999999999999</v>
      </c>
      <c r="L383" s="11">
        <f t="shared" si="32"/>
        <v>-0.20131789001732278</v>
      </c>
    </row>
    <row r="384" spans="1:12" x14ac:dyDescent="0.35">
      <c r="A384" s="5" t="s">
        <v>974</v>
      </c>
      <c r="B384" s="22">
        <v>1785.2</v>
      </c>
      <c r="C384" s="10">
        <v>22.835999999999999</v>
      </c>
      <c r="D384" s="23">
        <f t="shared" si="33"/>
        <v>5.0439948439168919E-4</v>
      </c>
      <c r="E384" s="11">
        <f t="shared" si="34"/>
        <v>-2.8833886195458062E-2</v>
      </c>
      <c r="F384" s="24">
        <f>(B384-$B$2)/$B$2</f>
        <v>0.16824815129899887</v>
      </c>
      <c r="G384" s="11">
        <f t="shared" si="35"/>
        <v>0.26543278288817462</v>
      </c>
      <c r="H384" s="25">
        <f t="shared" si="30"/>
        <v>78.17481170082327</v>
      </c>
      <c r="I384" s="26">
        <f>MAX($B$2:B384)</f>
        <v>2069.4</v>
      </c>
      <c r="J384" s="27">
        <f t="shared" si="31"/>
        <v>-0.13733449308978449</v>
      </c>
      <c r="K384" s="10">
        <f>MAX($C$2:C384)</f>
        <v>29.440999999999999</v>
      </c>
      <c r="L384" s="11">
        <f t="shared" si="32"/>
        <v>-0.22434699908291161</v>
      </c>
    </row>
    <row r="385" spans="1:12" x14ac:dyDescent="0.35">
      <c r="A385" s="5" t="s">
        <v>976</v>
      </c>
      <c r="B385" s="22">
        <v>1776.5</v>
      </c>
      <c r="C385" s="10">
        <v>22.798999999999999</v>
      </c>
      <c r="D385" s="23">
        <f t="shared" si="33"/>
        <v>-4.8734035402196087E-3</v>
      </c>
      <c r="E385" s="11">
        <f t="shared" si="34"/>
        <v>-1.6202487300752775E-3</v>
      </c>
      <c r="F385" s="24">
        <f>(B385-$B$2)/$B$2</f>
        <v>0.1625548066226033</v>
      </c>
      <c r="G385" s="11">
        <f t="shared" si="35"/>
        <v>0.26338246702870444</v>
      </c>
      <c r="H385" s="25">
        <f t="shared" si="30"/>
        <v>77.920084214219926</v>
      </c>
      <c r="I385" s="26">
        <f>MAX($B$2:B385)</f>
        <v>2069.4</v>
      </c>
      <c r="J385" s="27">
        <f t="shared" si="31"/>
        <v>-0.14153861022518607</v>
      </c>
      <c r="K385" s="10">
        <f>MAX($C$2:C385)</f>
        <v>29.440999999999999</v>
      </c>
      <c r="L385" s="11">
        <f t="shared" si="32"/>
        <v>-0.2256037498726266</v>
      </c>
    </row>
    <row r="386" spans="1:12" x14ac:dyDescent="0.35">
      <c r="A386" s="5" t="s">
        <v>978</v>
      </c>
      <c r="B386" s="22">
        <v>1784.3</v>
      </c>
      <c r="C386" s="10">
        <v>22.324000000000002</v>
      </c>
      <c r="D386" s="23">
        <f t="shared" si="33"/>
        <v>4.3906557838446127E-3</v>
      </c>
      <c r="E386" s="11">
        <f t="shared" si="34"/>
        <v>-2.083424711610149E-2</v>
      </c>
      <c r="F386" s="24">
        <f>(B386-$B$2)/$B$2</f>
        <v>0.1676591846083372</v>
      </c>
      <c r="G386" s="11">
        <f t="shared" si="35"/>
        <v>0.23706084450847847</v>
      </c>
      <c r="H386" s="25">
        <f t="shared" si="30"/>
        <v>79.927432359792149</v>
      </c>
      <c r="I386" s="26">
        <f>MAX($B$2:B386)</f>
        <v>2069.4</v>
      </c>
      <c r="J386" s="27">
        <f t="shared" si="31"/>
        <v>-0.13776940175896402</v>
      </c>
      <c r="K386" s="10">
        <f>MAX($C$2:C386)</f>
        <v>29.440999999999999</v>
      </c>
      <c r="L386" s="11">
        <f t="shared" si="32"/>
        <v>-0.24173771271356265</v>
      </c>
    </row>
    <row r="387" spans="1:12" x14ac:dyDescent="0.35">
      <c r="A387" s="5" t="s">
        <v>980</v>
      </c>
      <c r="B387" s="22">
        <v>1762.7</v>
      </c>
      <c r="C387" s="10">
        <v>22.303999999999998</v>
      </c>
      <c r="D387" s="23">
        <f t="shared" si="33"/>
        <v>-1.2105587625399266E-2</v>
      </c>
      <c r="E387" s="11">
        <f t="shared" si="34"/>
        <v>-8.9589679268962214E-4</v>
      </c>
      <c r="F387" s="24">
        <f>(B387-$B$2)/$B$2</f>
        <v>0.1535239840324587</v>
      </c>
      <c r="G387" s="11">
        <f t="shared" si="35"/>
        <v>0.23595256566552139</v>
      </c>
      <c r="H387" s="25">
        <f t="shared" ref="H387:H450" si="36">B387/C387</f>
        <v>79.030667144906744</v>
      </c>
      <c r="I387" s="26">
        <f>MAX($B$2:B387)</f>
        <v>2069.4</v>
      </c>
      <c r="J387" s="27">
        <f t="shared" ref="J387:J450" si="37">(B387-I387)/I387</f>
        <v>-0.1482072098192713</v>
      </c>
      <c r="K387" s="10">
        <f>MAX($C$2:C387)</f>
        <v>29.440999999999999</v>
      </c>
      <c r="L387" s="11">
        <f t="shared" ref="L387:L450" si="38">(C387-K387)/K387</f>
        <v>-0.24241703746476007</v>
      </c>
    </row>
    <row r="388" spans="1:12" x14ac:dyDescent="0.35">
      <c r="A388" s="5" t="s">
        <v>984</v>
      </c>
      <c r="B388" s="22">
        <v>1779.5</v>
      </c>
      <c r="C388" s="10">
        <v>22.251999999999999</v>
      </c>
      <c r="D388" s="23">
        <f t="shared" ref="D388:D451" si="39">(B388-B387)/B387</f>
        <v>9.530833380609267E-3</v>
      </c>
      <c r="E388" s="11">
        <f t="shared" ref="E388:E451" si="40">(C388-C387)/C387</f>
        <v>-2.3314203730272422E-3</v>
      </c>
      <c r="F388" s="24">
        <f>(B388-$B$2)/$B$2</f>
        <v>0.16451802892480866</v>
      </c>
      <c r="G388" s="11">
        <f t="shared" ref="G388:G451" si="41">(C388-$C$2)/$C$2</f>
        <v>0.23307104067383352</v>
      </c>
      <c r="H388" s="25">
        <f t="shared" si="36"/>
        <v>79.970339744742049</v>
      </c>
      <c r="I388" s="26">
        <f>MAX($B$2:B388)</f>
        <v>2069.4</v>
      </c>
      <c r="J388" s="27">
        <f t="shared" si="37"/>
        <v>-0.1400889146612545</v>
      </c>
      <c r="K388" s="10">
        <f>MAX($C$2:C388)</f>
        <v>29.440999999999999</v>
      </c>
      <c r="L388" s="11">
        <f t="shared" si="38"/>
        <v>-0.24418328181787305</v>
      </c>
    </row>
    <row r="389" spans="1:12" x14ac:dyDescent="0.35">
      <c r="A389" s="5" t="s">
        <v>986</v>
      </c>
      <c r="B389" s="22">
        <v>1784.7</v>
      </c>
      <c r="C389" s="10">
        <v>22.512</v>
      </c>
      <c r="D389" s="23">
        <f t="shared" si="39"/>
        <v>2.9221691486372831E-3</v>
      </c>
      <c r="E389" s="11">
        <f t="shared" si="40"/>
        <v>1.1684342980406326E-2</v>
      </c>
      <c r="F389" s="24">
        <f>(B389-$B$2)/$B$2</f>
        <v>0.16792094758196463</v>
      </c>
      <c r="G389" s="11">
        <f t="shared" si="41"/>
        <v>0.24747866563227314</v>
      </c>
      <c r="H389" s="25">
        <f t="shared" si="36"/>
        <v>79.277718550106613</v>
      </c>
      <c r="I389" s="26">
        <f>MAX($B$2:B389)</f>
        <v>2069.4</v>
      </c>
      <c r="J389" s="27">
        <f t="shared" si="37"/>
        <v>-0.13757610901710643</v>
      </c>
      <c r="K389" s="10">
        <f>MAX($C$2:C389)</f>
        <v>29.440999999999999</v>
      </c>
      <c r="L389" s="11">
        <f t="shared" si="38"/>
        <v>-0.23535206005230797</v>
      </c>
    </row>
    <row r="390" spans="1:12" x14ac:dyDescent="0.35">
      <c r="A390" s="5" t="s">
        <v>988</v>
      </c>
      <c r="B390" s="22">
        <v>1785.5</v>
      </c>
      <c r="C390" s="10">
        <v>22.422000000000001</v>
      </c>
      <c r="D390" s="23">
        <f t="shared" si="39"/>
        <v>4.4825460861766937E-4</v>
      </c>
      <c r="E390" s="11">
        <f t="shared" si="40"/>
        <v>-3.9978678038379463E-3</v>
      </c>
      <c r="F390" s="24">
        <f>(B390-$B$2)/$B$2</f>
        <v>0.16844447352921937</v>
      </c>
      <c r="G390" s="11">
        <f t="shared" si="41"/>
        <v>0.24249141083896716</v>
      </c>
      <c r="H390" s="25">
        <f t="shared" si="36"/>
        <v>79.631611809829636</v>
      </c>
      <c r="I390" s="26">
        <f>MAX($B$2:B390)</f>
        <v>2069.4</v>
      </c>
      <c r="J390" s="27">
        <f t="shared" si="37"/>
        <v>-0.13718952353339137</v>
      </c>
      <c r="K390" s="10">
        <f>MAX($C$2:C390)</f>
        <v>29.440999999999999</v>
      </c>
      <c r="L390" s="11">
        <f t="shared" si="38"/>
        <v>-0.23840902143269585</v>
      </c>
    </row>
    <row r="391" spans="1:12" x14ac:dyDescent="0.35">
      <c r="A391" s="5" t="s">
        <v>990</v>
      </c>
      <c r="B391" s="22">
        <v>1776.7</v>
      </c>
      <c r="C391" s="10">
        <v>22.001000000000001</v>
      </c>
      <c r="D391" s="23">
        <f t="shared" si="39"/>
        <v>-4.928591430971691E-3</v>
      </c>
      <c r="E391" s="11">
        <f t="shared" si="40"/>
        <v>-1.8776201944518747E-2</v>
      </c>
      <c r="F391" s="24">
        <f>(B391-$B$2)/$B$2</f>
        <v>0.16268568810941703</v>
      </c>
      <c r="G391" s="11">
        <f t="shared" si="41"/>
        <v>0.21916214119472471</v>
      </c>
      <c r="H391" s="25">
        <f t="shared" si="36"/>
        <v>80.755420208172353</v>
      </c>
      <c r="I391" s="26">
        <f>MAX($B$2:B391)</f>
        <v>2069.4</v>
      </c>
      <c r="J391" s="27">
        <f t="shared" si="37"/>
        <v>-0.14144196385425728</v>
      </c>
      <c r="K391" s="10">
        <f>MAX($C$2:C391)</f>
        <v>29.440999999999999</v>
      </c>
      <c r="L391" s="11">
        <f t="shared" si="38"/>
        <v>-0.2527088074453992</v>
      </c>
    </row>
    <row r="392" spans="1:12" x14ac:dyDescent="0.35">
      <c r="A392" s="5" t="s">
        <v>994</v>
      </c>
      <c r="B392" s="22">
        <v>1788.3</v>
      </c>
      <c r="C392" s="10">
        <v>22.315000000000001</v>
      </c>
      <c r="D392" s="23">
        <f t="shared" si="39"/>
        <v>6.5289581808971172E-3</v>
      </c>
      <c r="E392" s="11">
        <f t="shared" si="40"/>
        <v>1.4272078541884461E-2</v>
      </c>
      <c r="F392" s="24">
        <f>(B392-$B$2)/$B$2</f>
        <v>0.170276814344611</v>
      </c>
      <c r="G392" s="11">
        <f t="shared" si="41"/>
        <v>0.23656211902914784</v>
      </c>
      <c r="H392" s="25">
        <f t="shared" si="36"/>
        <v>80.138920008962572</v>
      </c>
      <c r="I392" s="26">
        <f>MAX($B$2:B392)</f>
        <v>2069.4</v>
      </c>
      <c r="J392" s="27">
        <f t="shared" si="37"/>
        <v>-0.13583647434038859</v>
      </c>
      <c r="K392" s="10">
        <f>MAX($C$2:C392)</f>
        <v>29.440999999999999</v>
      </c>
      <c r="L392" s="11">
        <f t="shared" si="38"/>
        <v>-0.24204340885160144</v>
      </c>
    </row>
    <row r="393" spans="1:12" x14ac:dyDescent="0.35">
      <c r="A393" s="5" t="s">
        <v>996</v>
      </c>
      <c r="B393" s="22">
        <v>1772.3</v>
      </c>
      <c r="C393" s="10">
        <v>21.908999999999999</v>
      </c>
      <c r="D393" s="23">
        <f t="shared" si="39"/>
        <v>-8.9470446793043674E-3</v>
      </c>
      <c r="E393" s="11">
        <f t="shared" si="40"/>
        <v>-1.819403988348655E-2</v>
      </c>
      <c r="F393" s="24">
        <f>(B393-$B$2)/$B$2</f>
        <v>0.15980629539951577</v>
      </c>
      <c r="G393" s="11">
        <f t="shared" si="41"/>
        <v>0.2140640585171229</v>
      </c>
      <c r="H393" s="25">
        <f t="shared" si="36"/>
        <v>80.893696654342961</v>
      </c>
      <c r="I393" s="26">
        <f>MAX($B$2:B393)</f>
        <v>2069.4</v>
      </c>
      <c r="J393" s="27">
        <f t="shared" si="37"/>
        <v>-0.14356818401469032</v>
      </c>
      <c r="K393" s="10">
        <f>MAX($C$2:C393)</f>
        <v>29.440999999999999</v>
      </c>
      <c r="L393" s="11">
        <f t="shared" si="38"/>
        <v>-0.25583370130090693</v>
      </c>
    </row>
    <row r="394" spans="1:12" x14ac:dyDescent="0.35">
      <c r="A394" s="5" t="s">
        <v>998</v>
      </c>
      <c r="B394" s="22">
        <v>1764.5</v>
      </c>
      <c r="C394" s="10">
        <v>21.53</v>
      </c>
      <c r="D394" s="23">
        <f t="shared" si="39"/>
        <v>-4.4010607684928935E-3</v>
      </c>
      <c r="E394" s="11">
        <f t="shared" si="40"/>
        <v>-1.7298826966086894E-2</v>
      </c>
      <c r="F394" s="24">
        <f>(B394-$B$2)/$B$2</f>
        <v>0.15470191741378189</v>
      </c>
      <c r="G394" s="11">
        <f t="shared" si="41"/>
        <v>0.19306217444308998</v>
      </c>
      <c r="H394" s="25">
        <f t="shared" si="36"/>
        <v>81.955411054342775</v>
      </c>
      <c r="I394" s="26">
        <f>MAX($B$2:B394)</f>
        <v>2069.4</v>
      </c>
      <c r="J394" s="27">
        <f t="shared" si="37"/>
        <v>-0.14733739248091238</v>
      </c>
      <c r="K394" s="10">
        <f>MAX($C$2:C394)</f>
        <v>29.440999999999999</v>
      </c>
      <c r="L394" s="11">
        <f t="shared" si="38"/>
        <v>-0.26870690533609587</v>
      </c>
    </row>
    <row r="395" spans="1:12" x14ac:dyDescent="0.35">
      <c r="A395" s="5" t="s">
        <v>1000</v>
      </c>
      <c r="B395" s="22">
        <v>1798.2</v>
      </c>
      <c r="C395" s="10">
        <v>22.471</v>
      </c>
      <c r="D395" s="23">
        <f t="shared" si="39"/>
        <v>1.9098894871068316E-2</v>
      </c>
      <c r="E395" s="11">
        <f t="shared" si="40"/>
        <v>4.3706456107756565E-2</v>
      </c>
      <c r="F395" s="24">
        <f>(B395-$B$2)/$B$2</f>
        <v>0.17675544794188872</v>
      </c>
      <c r="G395" s="11">
        <f t="shared" si="41"/>
        <v>0.2452066940042115</v>
      </c>
      <c r="H395" s="25">
        <f t="shared" si="36"/>
        <v>80.023140937207955</v>
      </c>
      <c r="I395" s="26">
        <f>MAX($B$2:B395)</f>
        <v>2069.4</v>
      </c>
      <c r="J395" s="27">
        <f t="shared" si="37"/>
        <v>-0.13105247897941433</v>
      </c>
      <c r="K395" s="10">
        <f>MAX($C$2:C395)</f>
        <v>29.440999999999999</v>
      </c>
      <c r="L395" s="11">
        <f t="shared" si="38"/>
        <v>-0.23674467579226247</v>
      </c>
    </row>
    <row r="396" spans="1:12" x14ac:dyDescent="0.35">
      <c r="A396" s="5" t="s">
        <v>1004</v>
      </c>
      <c r="B396" s="22">
        <v>1794.6</v>
      </c>
      <c r="C396" s="10">
        <v>22.280999999999999</v>
      </c>
      <c r="D396" s="23">
        <f t="shared" si="39"/>
        <v>-2.0020020020020779E-3</v>
      </c>
      <c r="E396" s="11">
        <f t="shared" si="40"/>
        <v>-8.4553424413689321E-3</v>
      </c>
      <c r="F396" s="24">
        <f>(B396-$B$2)/$B$2</f>
        <v>0.1743995811792422</v>
      </c>
      <c r="G396" s="11">
        <f t="shared" si="41"/>
        <v>0.23467804499612099</v>
      </c>
      <c r="H396" s="25">
        <f t="shared" si="36"/>
        <v>80.54396122256631</v>
      </c>
      <c r="I396" s="26">
        <f>MAX($B$2:B396)</f>
        <v>2069.4</v>
      </c>
      <c r="J396" s="27">
        <f t="shared" si="37"/>
        <v>-0.1327921136561323</v>
      </c>
      <c r="K396" s="10">
        <f>MAX($C$2:C396)</f>
        <v>29.440999999999999</v>
      </c>
      <c r="L396" s="11">
        <f t="shared" si="38"/>
        <v>-0.24319826092863694</v>
      </c>
    </row>
    <row r="397" spans="1:12" x14ac:dyDescent="0.35">
      <c r="A397" s="5" t="s">
        <v>1006</v>
      </c>
      <c r="B397" s="22">
        <v>1788.7</v>
      </c>
      <c r="C397" s="10">
        <v>22.513000000000002</v>
      </c>
      <c r="D397" s="23">
        <f t="shared" si="39"/>
        <v>-3.2876406998773341E-3</v>
      </c>
      <c r="E397" s="11">
        <f t="shared" si="40"/>
        <v>1.0412459045823925E-2</v>
      </c>
      <c r="F397" s="24">
        <f>(B397-$B$2)/$B$2</f>
        <v>0.17053857731823843</v>
      </c>
      <c r="G397" s="11">
        <f t="shared" si="41"/>
        <v>0.24753407957442106</v>
      </c>
      <c r="H397" s="25">
        <f t="shared" si="36"/>
        <v>79.451872251587972</v>
      </c>
      <c r="I397" s="26">
        <f>MAX($B$2:B397)</f>
        <v>2069.4</v>
      </c>
      <c r="J397" s="27">
        <f t="shared" si="37"/>
        <v>-0.135643181598531</v>
      </c>
      <c r="K397" s="10">
        <f>MAX($C$2:C397)</f>
        <v>29.440999999999999</v>
      </c>
      <c r="L397" s="11">
        <f t="shared" si="38"/>
        <v>-0.23531809381474805</v>
      </c>
    </row>
    <row r="398" spans="1:12" x14ac:dyDescent="0.35">
      <c r="A398" s="5" t="s">
        <v>1008</v>
      </c>
      <c r="B398" s="22">
        <v>1802.2</v>
      </c>
      <c r="C398" s="10">
        <v>22.803999999999998</v>
      </c>
      <c r="D398" s="23">
        <f t="shared" si="39"/>
        <v>7.5473807793369485E-3</v>
      </c>
      <c r="E398" s="11">
        <f t="shared" si="40"/>
        <v>1.2925865055745427E-2</v>
      </c>
      <c r="F398" s="24">
        <f>(B398-$B$2)/$B$2</f>
        <v>0.17937307767816252</v>
      </c>
      <c r="G398" s="11">
        <f t="shared" si="41"/>
        <v>0.26365953673944359</v>
      </c>
      <c r="H398" s="25">
        <f t="shared" si="36"/>
        <v>79.029994737765307</v>
      </c>
      <c r="I398" s="26">
        <f>MAX($B$2:B398)</f>
        <v>2069.4</v>
      </c>
      <c r="J398" s="27">
        <f t="shared" si="37"/>
        <v>-0.1291195515608389</v>
      </c>
      <c r="K398" s="10">
        <f>MAX($C$2:C398)</f>
        <v>29.440999999999999</v>
      </c>
      <c r="L398" s="11">
        <f t="shared" si="38"/>
        <v>-0.22543391868482732</v>
      </c>
    </row>
    <row r="399" spans="1:12" x14ac:dyDescent="0.35">
      <c r="A399" s="5" t="s">
        <v>1012</v>
      </c>
      <c r="B399" s="22">
        <v>1808.8</v>
      </c>
      <c r="C399" s="10">
        <v>22.981000000000002</v>
      </c>
      <c r="D399" s="23">
        <f t="shared" si="39"/>
        <v>3.6621906558650034E-3</v>
      </c>
      <c r="E399" s="11">
        <f t="shared" si="40"/>
        <v>7.7617961761095935E-3</v>
      </c>
      <c r="F399" s="24">
        <f>(B399-$B$2)/$B$2</f>
        <v>0.18369216674301425</v>
      </c>
      <c r="G399" s="11">
        <f t="shared" si="41"/>
        <v>0.27346780449961222</v>
      </c>
      <c r="H399" s="25">
        <f t="shared" si="36"/>
        <v>78.708498324703001</v>
      </c>
      <c r="I399" s="26">
        <f>MAX($B$2:B399)</f>
        <v>2069.4</v>
      </c>
      <c r="J399" s="27">
        <f t="shared" si="37"/>
        <v>-0.12593022132018949</v>
      </c>
      <c r="K399" s="10">
        <f>MAX($C$2:C399)</f>
        <v>29.440999999999999</v>
      </c>
      <c r="L399" s="11">
        <f t="shared" si="38"/>
        <v>-0.21942189463673101</v>
      </c>
    </row>
    <row r="400" spans="1:12" x14ac:dyDescent="0.35">
      <c r="A400" s="5" t="s">
        <v>1014</v>
      </c>
      <c r="B400" s="22">
        <v>1810.9</v>
      </c>
      <c r="C400" s="10">
        <v>23.113</v>
      </c>
      <c r="D400" s="23">
        <f t="shared" si="39"/>
        <v>1.1609907120743788E-3</v>
      </c>
      <c r="E400" s="11">
        <f t="shared" si="40"/>
        <v>5.743875375309947E-3</v>
      </c>
      <c r="F400" s="24">
        <f>(B400-$B$2)/$B$2</f>
        <v>0.18506642235455809</v>
      </c>
      <c r="G400" s="11">
        <f t="shared" si="41"/>
        <v>0.28078244486312759</v>
      </c>
      <c r="H400" s="25">
        <f t="shared" si="36"/>
        <v>78.349846406784067</v>
      </c>
      <c r="I400" s="26">
        <f>MAX($B$2:B400)</f>
        <v>2069.4</v>
      </c>
      <c r="J400" s="27">
        <f t="shared" si="37"/>
        <v>-0.12491543442543732</v>
      </c>
      <c r="K400" s="10">
        <f>MAX($C$2:C400)</f>
        <v>29.440999999999999</v>
      </c>
      <c r="L400" s="11">
        <f t="shared" si="38"/>
        <v>-0.21493835127882882</v>
      </c>
    </row>
    <row r="401" spans="1:12" x14ac:dyDescent="0.35">
      <c r="A401" s="5" t="s">
        <v>1016</v>
      </c>
      <c r="B401" s="22">
        <v>1805.8</v>
      </c>
      <c r="C401" s="10">
        <v>22.85</v>
      </c>
      <c r="D401" s="23">
        <f t="shared" si="39"/>
        <v>-2.8162791981888209E-3</v>
      </c>
      <c r="E401" s="11">
        <f t="shared" si="40"/>
        <v>-1.1378877687881197E-2</v>
      </c>
      <c r="F401" s="24">
        <f>(B401-$B$2)/$B$2</f>
        <v>0.18172894444080889</v>
      </c>
      <c r="G401" s="11">
        <f t="shared" si="41"/>
        <v>0.26620857807824461</v>
      </c>
      <c r="H401" s="25">
        <f t="shared" si="36"/>
        <v>79.028446389496708</v>
      </c>
      <c r="I401" s="26">
        <f>MAX($B$2:B401)</f>
        <v>2069.4</v>
      </c>
      <c r="J401" s="27">
        <f t="shared" si="37"/>
        <v>-0.12737991688412106</v>
      </c>
      <c r="K401" s="10">
        <f>MAX($C$2:C401)</f>
        <v>29.440999999999999</v>
      </c>
      <c r="L401" s="11">
        <f t="shared" si="38"/>
        <v>-0.22387147175707339</v>
      </c>
    </row>
    <row r="402" spans="1:12" x14ac:dyDescent="0.35">
      <c r="A402" s="5" t="s">
        <v>1018</v>
      </c>
      <c r="B402" s="22">
        <v>1814.1</v>
      </c>
      <c r="C402" s="10">
        <v>23.06</v>
      </c>
      <c r="D402" s="23">
        <f t="shared" si="39"/>
        <v>4.5963008085059005E-3</v>
      </c>
      <c r="E402" s="11">
        <f t="shared" si="40"/>
        <v>9.1903719912471461E-3</v>
      </c>
      <c r="F402" s="24">
        <f>(B402-$B$2)/$B$2</f>
        <v>0.18716052614357701</v>
      </c>
      <c r="G402" s="11">
        <f t="shared" si="41"/>
        <v>0.2778455059292918</v>
      </c>
      <c r="H402" s="25">
        <f t="shared" si="36"/>
        <v>78.668690372940162</v>
      </c>
      <c r="I402" s="26">
        <f>MAX($B$2:B402)</f>
        <v>2069.4</v>
      </c>
      <c r="J402" s="27">
        <f t="shared" si="37"/>
        <v>-0.12336909249057706</v>
      </c>
      <c r="K402" s="10">
        <f>MAX($C$2:C402)</f>
        <v>29.440999999999999</v>
      </c>
      <c r="L402" s="11">
        <f t="shared" si="38"/>
        <v>-0.21673856186950174</v>
      </c>
    </row>
    <row r="403" spans="1:12" x14ac:dyDescent="0.35">
      <c r="A403" s="5" t="s">
        <v>1022</v>
      </c>
      <c r="B403" s="22">
        <v>1800.1</v>
      </c>
      <c r="C403" s="10">
        <v>22.81</v>
      </c>
      <c r="D403" s="23">
        <f t="shared" si="39"/>
        <v>-7.7173253955129268E-3</v>
      </c>
      <c r="E403" s="11">
        <f t="shared" si="40"/>
        <v>-1.0841283607979185E-2</v>
      </c>
      <c r="F403" s="24">
        <f>(B403-$B$2)/$B$2</f>
        <v>0.17799882206661868</v>
      </c>
      <c r="G403" s="11">
        <f t="shared" si="41"/>
        <v>0.26399202039233066</v>
      </c>
      <c r="H403" s="25">
        <f t="shared" si="36"/>
        <v>78.917141604559404</v>
      </c>
      <c r="I403" s="26">
        <f>MAX($B$2:B403)</f>
        <v>2069.4</v>
      </c>
      <c r="J403" s="27">
        <f t="shared" si="37"/>
        <v>-0.13013433845559108</v>
      </c>
      <c r="K403" s="10">
        <f>MAX($C$2:C403)</f>
        <v>29.440999999999999</v>
      </c>
      <c r="L403" s="11">
        <f t="shared" si="38"/>
        <v>-0.22523012125946809</v>
      </c>
    </row>
    <row r="404" spans="1:12" x14ac:dyDescent="0.35">
      <c r="A404" s="5" t="s">
        <v>1024</v>
      </c>
      <c r="B404" s="22">
        <v>1814.6</v>
      </c>
      <c r="C404" s="10">
        <v>23.056000000000001</v>
      </c>
      <c r="D404" s="23">
        <f t="shared" si="39"/>
        <v>8.0551080495528029E-3</v>
      </c>
      <c r="E404" s="11">
        <f t="shared" si="40"/>
        <v>1.078474353353802E-2</v>
      </c>
      <c r="F404" s="24">
        <f>(B404-$B$2)/$B$2</f>
        <v>0.18748772986061124</v>
      </c>
      <c r="G404" s="11">
        <f t="shared" si="41"/>
        <v>0.27762385016070051</v>
      </c>
      <c r="H404" s="25">
        <f t="shared" si="36"/>
        <v>78.704024982650935</v>
      </c>
      <c r="I404" s="26">
        <f>MAX($B$2:B404)</f>
        <v>2069.4</v>
      </c>
      <c r="J404" s="27">
        <f t="shared" si="37"/>
        <v>-0.12312747656325514</v>
      </c>
      <c r="K404" s="10">
        <f>MAX($C$2:C404)</f>
        <v>29.440999999999999</v>
      </c>
      <c r="L404" s="11">
        <f t="shared" si="38"/>
        <v>-0.21687442681974112</v>
      </c>
    </row>
    <row r="405" spans="1:12" x14ac:dyDescent="0.35">
      <c r="A405" s="5" t="s">
        <v>1025</v>
      </c>
      <c r="B405" s="22">
        <v>1825.1</v>
      </c>
      <c r="C405" s="10">
        <v>23.17</v>
      </c>
      <c r="D405" s="23">
        <f t="shared" si="39"/>
        <v>5.7863992064366805E-3</v>
      </c>
      <c r="E405" s="11">
        <f t="shared" si="40"/>
        <v>4.9444829979181457E-3</v>
      </c>
      <c r="F405" s="24">
        <f>(B405-$B$2)/$B$2</f>
        <v>0.19435900791832997</v>
      </c>
      <c r="G405" s="11">
        <f t="shared" si="41"/>
        <v>0.28394103956555483</v>
      </c>
      <c r="H405" s="25">
        <f t="shared" si="36"/>
        <v>78.769961156668089</v>
      </c>
      <c r="I405" s="26">
        <f>MAX($B$2:B405)</f>
        <v>2069.4</v>
      </c>
      <c r="J405" s="27">
        <f t="shared" si="37"/>
        <v>-0.11805354208949462</v>
      </c>
      <c r="K405" s="10">
        <f>MAX($C$2:C405)</f>
        <v>29.440999999999999</v>
      </c>
      <c r="L405" s="11">
        <f t="shared" si="38"/>
        <v>-0.21300227573791641</v>
      </c>
    </row>
    <row r="406" spans="1:12" x14ac:dyDescent="0.35">
      <c r="A406" s="5" t="s">
        <v>1027</v>
      </c>
      <c r="B406" s="22">
        <v>1789.2</v>
      </c>
      <c r="C406" s="10">
        <v>22.19</v>
      </c>
      <c r="D406" s="23">
        <f t="shared" si="39"/>
        <v>-1.9670155059996638E-2</v>
      </c>
      <c r="E406" s="11">
        <f t="shared" si="40"/>
        <v>-4.2296072507552886E-2</v>
      </c>
      <c r="F406" s="24">
        <f>(B406-$B$2)/$B$2</f>
        <v>0.17086578103527267</v>
      </c>
      <c r="G406" s="11">
        <f t="shared" si="41"/>
        <v>0.2296353762606673</v>
      </c>
      <c r="H406" s="25">
        <f t="shared" si="36"/>
        <v>80.630914826498426</v>
      </c>
      <c r="I406" s="26">
        <f>MAX($B$2:B406)</f>
        <v>2069.4</v>
      </c>
      <c r="J406" s="27">
        <f t="shared" si="37"/>
        <v>-0.13540156567120906</v>
      </c>
      <c r="K406" s="10">
        <f>MAX($C$2:C406)</f>
        <v>29.440999999999999</v>
      </c>
      <c r="L406" s="11">
        <f t="shared" si="38"/>
        <v>-0.24628918854658463</v>
      </c>
    </row>
    <row r="407" spans="1:12" x14ac:dyDescent="0.35">
      <c r="A407" s="5" t="s">
        <v>1031</v>
      </c>
      <c r="B407" s="22">
        <v>1798.8</v>
      </c>
      <c r="C407" s="10">
        <v>22.462</v>
      </c>
      <c r="D407" s="23">
        <f t="shared" si="39"/>
        <v>5.3655264922870044E-3</v>
      </c>
      <c r="E407" s="11">
        <f t="shared" si="40"/>
        <v>1.2257773771969285E-2</v>
      </c>
      <c r="F407" s="24">
        <f>(B407-$B$2)/$B$2</f>
        <v>0.17714809240232973</v>
      </c>
      <c r="G407" s="11">
        <f t="shared" si="41"/>
        <v>0.24470796852488089</v>
      </c>
      <c r="H407" s="25">
        <f t="shared" si="36"/>
        <v>80.081916125011134</v>
      </c>
      <c r="I407" s="26">
        <f>MAX($B$2:B407)</f>
        <v>2069.4</v>
      </c>
      <c r="J407" s="27">
        <f t="shared" si="37"/>
        <v>-0.13076253986662806</v>
      </c>
      <c r="K407" s="10">
        <f>MAX($C$2:C407)</f>
        <v>29.440999999999999</v>
      </c>
      <c r="L407" s="11">
        <f t="shared" si="38"/>
        <v>-0.23705037193030126</v>
      </c>
    </row>
    <row r="408" spans="1:12" x14ac:dyDescent="0.35">
      <c r="A408" s="5" t="s">
        <v>1033</v>
      </c>
      <c r="B408" s="22">
        <v>1818.5</v>
      </c>
      <c r="C408" s="10">
        <v>22.812000000000001</v>
      </c>
      <c r="D408" s="23">
        <f t="shared" si="39"/>
        <v>1.095174560818326E-2</v>
      </c>
      <c r="E408" s="11">
        <f t="shared" si="40"/>
        <v>1.5581871605378035E-2</v>
      </c>
      <c r="F408" s="24">
        <f>(B408-$B$2)/$B$2</f>
        <v>0.19003991885347823</v>
      </c>
      <c r="G408" s="11">
        <f t="shared" si="41"/>
        <v>0.2641028482766265</v>
      </c>
      <c r="H408" s="25">
        <f t="shared" si="36"/>
        <v>79.716815711029284</v>
      </c>
      <c r="I408" s="26">
        <f>MAX($B$2:B408)</f>
        <v>2069.4</v>
      </c>
      <c r="J408" s="27">
        <f t="shared" si="37"/>
        <v>-0.12124287233014404</v>
      </c>
      <c r="K408" s="10">
        <f>MAX($C$2:C408)</f>
        <v>29.440999999999999</v>
      </c>
      <c r="L408" s="11">
        <f t="shared" si="38"/>
        <v>-0.22516218878434829</v>
      </c>
    </row>
    <row r="409" spans="1:12" x14ac:dyDescent="0.35">
      <c r="A409" s="5" t="s">
        <v>1035</v>
      </c>
      <c r="B409" s="22">
        <v>1827.3</v>
      </c>
      <c r="C409" s="10">
        <v>23.207000000000001</v>
      </c>
      <c r="D409" s="23">
        <f t="shared" si="39"/>
        <v>4.8391531481990404E-3</v>
      </c>
      <c r="E409" s="11">
        <f t="shared" si="40"/>
        <v>1.7315448009819375E-2</v>
      </c>
      <c r="F409" s="24">
        <f>(B409-$B$2)/$B$2</f>
        <v>0.19579870427328058</v>
      </c>
      <c r="G409" s="11">
        <f t="shared" si="41"/>
        <v>0.28599135542502502</v>
      </c>
      <c r="H409" s="25">
        <f t="shared" si="36"/>
        <v>78.739173525229447</v>
      </c>
      <c r="I409" s="26">
        <f>MAX($B$2:B409)</f>
        <v>2069.4</v>
      </c>
      <c r="J409" s="27">
        <f t="shared" si="37"/>
        <v>-0.11699043200927811</v>
      </c>
      <c r="K409" s="10">
        <f>MAX($C$2:C409)</f>
        <v>29.440999999999999</v>
      </c>
      <c r="L409" s="11">
        <f t="shared" si="38"/>
        <v>-0.21174552494820142</v>
      </c>
    </row>
    <row r="410" spans="1:12" x14ac:dyDescent="0.35">
      <c r="A410" s="5" t="s">
        <v>1037</v>
      </c>
      <c r="B410" s="22">
        <v>1821.4</v>
      </c>
      <c r="C410" s="10">
        <v>23.161999999999999</v>
      </c>
      <c r="D410" s="23">
        <f t="shared" si="39"/>
        <v>-3.2288075302357925E-3</v>
      </c>
      <c r="E410" s="11">
        <f t="shared" si="40"/>
        <v>-1.939070108157095E-3</v>
      </c>
      <c r="F410" s="24">
        <f>(B410-$B$2)/$B$2</f>
        <v>0.19193770041227681</v>
      </c>
      <c r="G410" s="11">
        <f t="shared" si="41"/>
        <v>0.28349772802837192</v>
      </c>
      <c r="H410" s="25">
        <f t="shared" si="36"/>
        <v>78.637423365857885</v>
      </c>
      <c r="I410" s="26">
        <f>MAX($B$2:B410)</f>
        <v>2069.4</v>
      </c>
      <c r="J410" s="27">
        <f t="shared" si="37"/>
        <v>-0.11984149995167681</v>
      </c>
      <c r="K410" s="10">
        <f>MAX($C$2:C410)</f>
        <v>29.440999999999999</v>
      </c>
      <c r="L410" s="11">
        <f t="shared" si="38"/>
        <v>-0.21327400563839544</v>
      </c>
    </row>
    <row r="411" spans="1:12" x14ac:dyDescent="0.35">
      <c r="A411" s="5" t="s">
        <v>1043</v>
      </c>
      <c r="B411" s="22">
        <v>1812.4</v>
      </c>
      <c r="C411" s="10">
        <v>23.492000000000001</v>
      </c>
      <c r="D411" s="23">
        <f t="shared" si="39"/>
        <v>-4.9412539804545947E-3</v>
      </c>
      <c r="E411" s="11">
        <f t="shared" si="40"/>
        <v>1.4247474311372155E-2</v>
      </c>
      <c r="F411" s="24">
        <f>(B411-$B$2)/$B$2</f>
        <v>0.18604803350566076</v>
      </c>
      <c r="G411" s="11">
        <f t="shared" si="41"/>
        <v>0.30178432893716067</v>
      </c>
      <c r="H411" s="25">
        <f t="shared" si="36"/>
        <v>77.149667972075605</v>
      </c>
      <c r="I411" s="26">
        <f>MAX($B$2:B411)</f>
        <v>2069.4</v>
      </c>
      <c r="J411" s="27">
        <f t="shared" si="37"/>
        <v>-0.12419058664347153</v>
      </c>
      <c r="K411" s="10">
        <f>MAX($C$2:C411)</f>
        <v>29.440999999999999</v>
      </c>
      <c r="L411" s="11">
        <f t="shared" si="38"/>
        <v>-0.20206514724363978</v>
      </c>
    </row>
    <row r="412" spans="1:12" x14ac:dyDescent="0.35">
      <c r="A412" s="5" t="s">
        <v>1044</v>
      </c>
      <c r="B412" s="22">
        <v>1843.2</v>
      </c>
      <c r="C412" s="10">
        <v>24.231000000000002</v>
      </c>
      <c r="D412" s="23">
        <f t="shared" si="39"/>
        <v>1.6994041050540695E-2</v>
      </c>
      <c r="E412" s="11">
        <f t="shared" si="40"/>
        <v>3.1457517452749904E-2</v>
      </c>
      <c r="F412" s="24">
        <f>(B412-$B$2)/$B$2</f>
        <v>0.20620378247496901</v>
      </c>
      <c r="G412" s="11">
        <f t="shared" si="41"/>
        <v>0.34273523218441776</v>
      </c>
      <c r="H412" s="25">
        <f t="shared" si="36"/>
        <v>76.067846972885974</v>
      </c>
      <c r="I412" s="26">
        <f>MAX($B$2:B412)</f>
        <v>2069.4</v>
      </c>
      <c r="J412" s="27">
        <f t="shared" si="37"/>
        <v>-0.10930704552044072</v>
      </c>
      <c r="K412" s="10">
        <f>MAX($C$2:C412)</f>
        <v>29.440999999999999</v>
      </c>
      <c r="L412" s="11">
        <f t="shared" si="38"/>
        <v>-0.17696409768689914</v>
      </c>
    </row>
    <row r="413" spans="1:12" x14ac:dyDescent="0.35">
      <c r="A413" s="5" t="s">
        <v>1046</v>
      </c>
      <c r="B413" s="22">
        <v>1842.6</v>
      </c>
      <c r="C413" s="10">
        <v>24.716000000000001</v>
      </c>
      <c r="D413" s="23">
        <f t="shared" si="39"/>
        <v>-3.2552083333340737E-4</v>
      </c>
      <c r="E413" s="11">
        <f t="shared" si="40"/>
        <v>2.0015682390326417E-2</v>
      </c>
      <c r="F413" s="24">
        <f>(B413-$B$2)/$B$2</f>
        <v>0.20581113801452786</v>
      </c>
      <c r="G413" s="11">
        <f t="shared" si="41"/>
        <v>0.36961099412612225</v>
      </c>
      <c r="H413" s="25">
        <f t="shared" si="36"/>
        <v>74.550898203592808</v>
      </c>
      <c r="I413" s="26">
        <f>MAX($B$2:B413)</f>
        <v>2069.4</v>
      </c>
      <c r="J413" s="27">
        <f t="shared" si="37"/>
        <v>-0.1095969846332271</v>
      </c>
      <c r="K413" s="10">
        <f>MAX($C$2:C413)</f>
        <v>29.440999999999999</v>
      </c>
      <c r="L413" s="11">
        <f t="shared" si="38"/>
        <v>-0.16049047247036438</v>
      </c>
    </row>
    <row r="414" spans="1:12" x14ac:dyDescent="0.35">
      <c r="A414" s="5" t="s">
        <v>1050</v>
      </c>
      <c r="B414" s="22">
        <v>1841.7</v>
      </c>
      <c r="C414" s="10">
        <v>23.8</v>
      </c>
      <c r="D414" s="23">
        <f t="shared" si="39"/>
        <v>-4.8844024747631801E-4</v>
      </c>
      <c r="E414" s="11">
        <f t="shared" si="40"/>
        <v>-3.7061013108917316E-2</v>
      </c>
      <c r="F414" s="24">
        <f>(B414-$B$2)/$B$2</f>
        <v>0.20522217132386633</v>
      </c>
      <c r="G414" s="11">
        <f t="shared" si="41"/>
        <v>0.31885182311869675</v>
      </c>
      <c r="H414" s="25">
        <f t="shared" si="36"/>
        <v>77.382352941176464</v>
      </c>
      <c r="I414" s="26">
        <f>MAX($B$2:B414)</f>
        <v>2069.4</v>
      </c>
      <c r="J414" s="27">
        <f t="shared" si="37"/>
        <v>-0.11003189330240651</v>
      </c>
      <c r="K414" s="10">
        <f>MAX($C$2:C414)</f>
        <v>29.440999999999999</v>
      </c>
      <c r="L414" s="11">
        <f t="shared" si="38"/>
        <v>-0.19160354607520119</v>
      </c>
    </row>
    <row r="415" spans="1:12" x14ac:dyDescent="0.35">
      <c r="A415" s="5" t="s">
        <v>1052</v>
      </c>
      <c r="B415" s="22">
        <v>1852.5</v>
      </c>
      <c r="C415" s="10">
        <v>23.896000000000001</v>
      </c>
      <c r="D415" s="23">
        <f t="shared" si="39"/>
        <v>5.8641472552532735E-3</v>
      </c>
      <c r="E415" s="11">
        <f t="shared" si="40"/>
        <v>4.0336134453781546E-3</v>
      </c>
      <c r="F415" s="24">
        <f>(B415-$B$2)/$B$2</f>
        <v>0.21228977161180559</v>
      </c>
      <c r="G415" s="11">
        <f t="shared" si="41"/>
        <v>0.3241715615648898</v>
      </c>
      <c r="H415" s="25">
        <f t="shared" si="36"/>
        <v>77.523434884499494</v>
      </c>
      <c r="I415" s="26">
        <f>MAX($B$2:B415)</f>
        <v>2069.4</v>
      </c>
      <c r="J415" s="27">
        <f t="shared" si="37"/>
        <v>-0.10481298927225287</v>
      </c>
      <c r="K415" s="10">
        <f>MAX($C$2:C415)</f>
        <v>29.440999999999999</v>
      </c>
      <c r="L415" s="11">
        <f t="shared" si="38"/>
        <v>-0.18834278726945411</v>
      </c>
    </row>
    <row r="416" spans="1:12" x14ac:dyDescent="0.35">
      <c r="A416" s="5" t="s">
        <v>1054</v>
      </c>
      <c r="B416" s="22">
        <v>1829.7</v>
      </c>
      <c r="C416" s="10">
        <v>23.806999999999999</v>
      </c>
      <c r="D416" s="23">
        <f t="shared" si="39"/>
        <v>-1.2307692307692283E-2</v>
      </c>
      <c r="E416" s="11">
        <f t="shared" si="40"/>
        <v>-3.7244727150988529E-3</v>
      </c>
      <c r="F416" s="24">
        <f>(B416-$B$2)/$B$2</f>
        <v>0.19736928211504493</v>
      </c>
      <c r="G416" s="11">
        <f t="shared" si="41"/>
        <v>0.31923972071373152</v>
      </c>
      <c r="H416" s="25">
        <f t="shared" si="36"/>
        <v>76.85554668794893</v>
      </c>
      <c r="I416" s="26">
        <f>MAX($B$2:B416)</f>
        <v>2069.4</v>
      </c>
      <c r="J416" s="27">
        <f t="shared" si="37"/>
        <v>-0.11583067555813281</v>
      </c>
      <c r="K416" s="10">
        <f>MAX($C$2:C416)</f>
        <v>29.440999999999999</v>
      </c>
      <c r="L416" s="11">
        <f t="shared" si="38"/>
        <v>-0.19136578241228222</v>
      </c>
    </row>
    <row r="417" spans="1:12" x14ac:dyDescent="0.35">
      <c r="A417" s="5" t="s">
        <v>1056</v>
      </c>
      <c r="B417" s="22">
        <v>1795</v>
      </c>
      <c r="C417" s="10">
        <v>22.675999999999998</v>
      </c>
      <c r="D417" s="23">
        <f t="shared" si="39"/>
        <v>-1.8964857626933403E-2</v>
      </c>
      <c r="E417" s="11">
        <f t="shared" si="40"/>
        <v>-4.7507035745789065E-2</v>
      </c>
      <c r="F417" s="24">
        <f>(B417-$B$2)/$B$2</f>
        <v>0.17466134415286966</v>
      </c>
      <c r="G417" s="11">
        <f t="shared" si="41"/>
        <v>0.25656655214451951</v>
      </c>
      <c r="H417" s="25">
        <f t="shared" si="36"/>
        <v>79.158581760451582</v>
      </c>
      <c r="I417" s="26">
        <f>MAX($B$2:B417)</f>
        <v>2069.4</v>
      </c>
      <c r="J417" s="27">
        <f t="shared" si="37"/>
        <v>-0.13259882091427472</v>
      </c>
      <c r="K417" s="10">
        <f>MAX($C$2:C417)</f>
        <v>29.440999999999999</v>
      </c>
      <c r="L417" s="11">
        <f t="shared" si="38"/>
        <v>-0.2297815970924901</v>
      </c>
    </row>
    <row r="418" spans="1:12" x14ac:dyDescent="0.35">
      <c r="A418" s="5" t="s">
        <v>1060</v>
      </c>
      <c r="B418" s="22">
        <v>1796.4</v>
      </c>
      <c r="C418" s="10">
        <v>22.419</v>
      </c>
      <c r="D418" s="23">
        <f t="shared" si="39"/>
        <v>7.7994428969364394E-4</v>
      </c>
      <c r="E418" s="11">
        <f t="shared" si="40"/>
        <v>-1.1333568530604953E-2</v>
      </c>
      <c r="F418" s="24">
        <f>(B418-$B$2)/$B$2</f>
        <v>0.17557751456056553</v>
      </c>
      <c r="G418" s="11">
        <f t="shared" si="41"/>
        <v>0.24232516901252363</v>
      </c>
      <c r="H418" s="25">
        <f t="shared" si="36"/>
        <v>80.12846246487355</v>
      </c>
      <c r="I418" s="26">
        <f>MAX($B$2:B418)</f>
        <v>2069.4</v>
      </c>
      <c r="J418" s="27">
        <f t="shared" si="37"/>
        <v>-0.13192229631777327</v>
      </c>
      <c r="K418" s="10">
        <f>MAX($C$2:C418)</f>
        <v>29.440999999999999</v>
      </c>
      <c r="L418" s="11">
        <f t="shared" si="38"/>
        <v>-0.23851092014537545</v>
      </c>
    </row>
    <row r="419" spans="1:12" x14ac:dyDescent="0.35">
      <c r="A419" s="5" t="s">
        <v>1062</v>
      </c>
      <c r="B419" s="22">
        <v>1801.5</v>
      </c>
      <c r="C419" s="10">
        <v>22.617999999999999</v>
      </c>
      <c r="D419" s="23">
        <f t="shared" si="39"/>
        <v>2.8390113560453735E-3</v>
      </c>
      <c r="E419" s="11">
        <f t="shared" si="40"/>
        <v>8.8763994825816518E-3</v>
      </c>
      <c r="F419" s="24">
        <f>(B419-$B$2)/$B$2</f>
        <v>0.17891499247431458</v>
      </c>
      <c r="G419" s="11">
        <f t="shared" si="41"/>
        <v>0.25335254349994457</v>
      </c>
      <c r="H419" s="25">
        <f t="shared" si="36"/>
        <v>79.64895216199487</v>
      </c>
      <c r="I419" s="26">
        <f>MAX($B$2:B419)</f>
        <v>2069.4</v>
      </c>
      <c r="J419" s="27">
        <f t="shared" si="37"/>
        <v>-0.12945781385908964</v>
      </c>
      <c r="K419" s="10">
        <f>MAX($C$2:C419)</f>
        <v>29.440999999999999</v>
      </c>
      <c r="L419" s="11">
        <f t="shared" si="38"/>
        <v>-0.23175163887096228</v>
      </c>
    </row>
    <row r="420" spans="1:12" x14ac:dyDescent="0.35">
      <c r="A420" s="5" t="s">
        <v>1064</v>
      </c>
      <c r="B420" s="22">
        <v>1810.3</v>
      </c>
      <c r="C420" s="10">
        <v>22.73</v>
      </c>
      <c r="D420" s="23">
        <f t="shared" si="39"/>
        <v>4.8848182070496552E-3</v>
      </c>
      <c r="E420" s="11">
        <f t="shared" si="40"/>
        <v>4.9518082942789764E-3</v>
      </c>
      <c r="F420" s="24">
        <f>(B420-$B$2)/$B$2</f>
        <v>0.18467377789411693</v>
      </c>
      <c r="G420" s="11">
        <f t="shared" si="41"/>
        <v>0.25955890502050322</v>
      </c>
      <c r="H420" s="25">
        <f t="shared" si="36"/>
        <v>79.643642762868453</v>
      </c>
      <c r="I420" s="26">
        <f>MAX($B$2:B420)</f>
        <v>2069.4</v>
      </c>
      <c r="J420" s="27">
        <f t="shared" si="37"/>
        <v>-0.1252053735382237</v>
      </c>
      <c r="K420" s="10">
        <f>MAX($C$2:C420)</f>
        <v>29.440999999999999</v>
      </c>
      <c r="L420" s="11">
        <f t="shared" si="38"/>
        <v>-0.22794742026425729</v>
      </c>
    </row>
    <row r="421" spans="1:12" x14ac:dyDescent="0.35">
      <c r="A421" s="5" t="s">
        <v>1066</v>
      </c>
      <c r="B421" s="22">
        <v>1804.1</v>
      </c>
      <c r="C421" s="10">
        <v>22.396999999999998</v>
      </c>
      <c r="D421" s="23">
        <f t="shared" si="39"/>
        <v>-3.4248467104899994E-3</v>
      </c>
      <c r="E421" s="11">
        <f t="shared" si="40"/>
        <v>-1.465024197096357E-2</v>
      </c>
      <c r="F421" s="24">
        <f>(B421-$B$2)/$B$2</f>
        <v>0.18061645180289249</v>
      </c>
      <c r="G421" s="11">
        <f t="shared" si="41"/>
        <v>0.24110606228527093</v>
      </c>
      <c r="H421" s="25">
        <f t="shared" si="36"/>
        <v>80.550966647318845</v>
      </c>
      <c r="I421" s="26">
        <f>MAX($B$2:B421)</f>
        <v>2069.4</v>
      </c>
      <c r="J421" s="27">
        <f t="shared" si="37"/>
        <v>-0.12820141103701566</v>
      </c>
      <c r="K421" s="10">
        <f>MAX($C$2:C421)</f>
        <v>29.440999999999999</v>
      </c>
      <c r="L421" s="11">
        <f t="shared" si="38"/>
        <v>-0.23925817737169255</v>
      </c>
    </row>
    <row r="422" spans="1:12" x14ac:dyDescent="0.35">
      <c r="A422" s="5" t="s">
        <v>1070</v>
      </c>
      <c r="B422" s="22">
        <v>1821.8</v>
      </c>
      <c r="C422" s="10">
        <v>23.097999999999999</v>
      </c>
      <c r="D422" s="23">
        <f t="shared" si="39"/>
        <v>9.8109860872457443E-3</v>
      </c>
      <c r="E422" s="11">
        <f t="shared" si="40"/>
        <v>3.1298834665356989E-2</v>
      </c>
      <c r="F422" s="24">
        <f>(B422-$B$2)/$B$2</f>
        <v>0.1921994633859041</v>
      </c>
      <c r="G422" s="11">
        <f t="shared" si="41"/>
        <v>0.27995123573090991</v>
      </c>
      <c r="H422" s="25">
        <f t="shared" si="36"/>
        <v>78.872629664906057</v>
      </c>
      <c r="I422" s="26">
        <f>MAX($B$2:B422)</f>
        <v>2069.4</v>
      </c>
      <c r="J422" s="27">
        <f t="shared" si="37"/>
        <v>-0.11964820720981933</v>
      </c>
      <c r="K422" s="10">
        <f>MAX($C$2:C422)</f>
        <v>29.440999999999999</v>
      </c>
      <c r="L422" s="11">
        <f t="shared" si="38"/>
        <v>-0.21544784484222684</v>
      </c>
    </row>
    <row r="423" spans="1:12" x14ac:dyDescent="0.35">
      <c r="A423" s="5" t="s">
        <v>1072</v>
      </c>
      <c r="B423" s="22">
        <v>1827.9</v>
      </c>
      <c r="C423" s="10">
        <v>23.221</v>
      </c>
      <c r="D423" s="23">
        <f t="shared" si="39"/>
        <v>3.3483368097486752E-3</v>
      </c>
      <c r="E423" s="11">
        <f t="shared" si="40"/>
        <v>5.32513637544381E-3</v>
      </c>
      <c r="F423" s="24">
        <f>(B423-$B$2)/$B$2</f>
        <v>0.19619134873372174</v>
      </c>
      <c r="G423" s="11">
        <f t="shared" si="41"/>
        <v>0.28676715061509483</v>
      </c>
      <c r="H423" s="25">
        <f t="shared" si="36"/>
        <v>78.717540157615957</v>
      </c>
      <c r="I423" s="26">
        <f>MAX($B$2:B423)</f>
        <v>2069.4</v>
      </c>
      <c r="J423" s="27">
        <f t="shared" si="37"/>
        <v>-0.11670049289649173</v>
      </c>
      <c r="K423" s="10">
        <f>MAX($C$2:C423)</f>
        <v>29.440999999999999</v>
      </c>
      <c r="L423" s="11">
        <f t="shared" si="38"/>
        <v>-0.21126999762236334</v>
      </c>
    </row>
    <row r="424" spans="1:12" x14ac:dyDescent="0.35">
      <c r="A424" s="5" t="s">
        <v>1074</v>
      </c>
      <c r="B424" s="22">
        <v>1836.6</v>
      </c>
      <c r="C424" s="10">
        <v>23.361999999999998</v>
      </c>
      <c r="D424" s="23">
        <f t="shared" si="39"/>
        <v>4.7595601509928427E-3</v>
      </c>
      <c r="E424" s="11">
        <f t="shared" si="40"/>
        <v>6.0720899186080804E-3</v>
      </c>
      <c r="F424" s="24">
        <f>(B424-$B$2)/$B$2</f>
        <v>0.20188469341011714</v>
      </c>
      <c r="G424" s="11">
        <f t="shared" si="41"/>
        <v>0.29458051645794076</v>
      </c>
      <c r="H424" s="25">
        <f t="shared" si="36"/>
        <v>78.614844619467519</v>
      </c>
      <c r="I424" s="26">
        <f>MAX($B$2:B424)</f>
        <v>2069.4</v>
      </c>
      <c r="J424" s="27">
        <f t="shared" si="37"/>
        <v>-0.11249637576109026</v>
      </c>
      <c r="K424" s="10">
        <f>MAX($C$2:C424)</f>
        <v>29.440999999999999</v>
      </c>
      <c r="L424" s="11">
        <f t="shared" si="38"/>
        <v>-0.20648075812642236</v>
      </c>
    </row>
    <row r="425" spans="1:12" x14ac:dyDescent="0.35">
      <c r="A425" s="5" t="s">
        <v>1076</v>
      </c>
      <c r="B425" s="22">
        <v>1837.4</v>
      </c>
      <c r="C425" s="10">
        <v>23.545000000000002</v>
      </c>
      <c r="D425" s="23">
        <f t="shared" si="39"/>
        <v>4.3558749863888813E-4</v>
      </c>
      <c r="E425" s="11">
        <f t="shared" si="40"/>
        <v>7.8332334560398675E-3</v>
      </c>
      <c r="F425" s="24">
        <f>(B425-$B$2)/$B$2</f>
        <v>0.20240821935737202</v>
      </c>
      <c r="G425" s="11">
        <f t="shared" si="41"/>
        <v>0.30472126787099646</v>
      </c>
      <c r="H425" s="25">
        <f t="shared" si="36"/>
        <v>78.037799957528136</v>
      </c>
      <c r="I425" s="26">
        <f>MAX($B$2:B425)</f>
        <v>2069.4</v>
      </c>
      <c r="J425" s="27">
        <f t="shared" si="37"/>
        <v>-0.11210979027737508</v>
      </c>
      <c r="K425" s="10">
        <f>MAX($C$2:C425)</f>
        <v>29.440999999999999</v>
      </c>
      <c r="L425" s="11">
        <f t="shared" si="38"/>
        <v>-0.20026493665296685</v>
      </c>
    </row>
    <row r="426" spans="1:12" x14ac:dyDescent="0.35">
      <c r="A426" s="5" t="s">
        <v>1080</v>
      </c>
      <c r="B426" s="22">
        <v>1869.4</v>
      </c>
      <c r="C426" s="10">
        <v>23.876999999999999</v>
      </c>
      <c r="D426" s="23">
        <f t="shared" si="39"/>
        <v>1.7415913791226732E-2</v>
      </c>
      <c r="E426" s="11">
        <f t="shared" si="40"/>
        <v>1.4100658313866943E-2</v>
      </c>
      <c r="F426" s="24">
        <f>(B426-$B$2)/$B$2</f>
        <v>0.22334925724756247</v>
      </c>
      <c r="G426" s="11">
        <f t="shared" si="41"/>
        <v>0.32311869666408066</v>
      </c>
      <c r="H426" s="25">
        <f t="shared" si="36"/>
        <v>78.292917870754295</v>
      </c>
      <c r="I426" s="26">
        <f>MAX($B$2:B426)</f>
        <v>2069.4</v>
      </c>
      <c r="J426" s="27">
        <f t="shared" si="37"/>
        <v>-9.6646370928771624E-2</v>
      </c>
      <c r="K426" s="10">
        <f>MAX($C$2:C426)</f>
        <v>29.440999999999999</v>
      </c>
      <c r="L426" s="11">
        <f t="shared" si="38"/>
        <v>-0.18898814578309162</v>
      </c>
    </row>
    <row r="427" spans="1:12" x14ac:dyDescent="0.35">
      <c r="A427" s="5" t="s">
        <v>1082</v>
      </c>
      <c r="B427" s="22">
        <v>1856.2</v>
      </c>
      <c r="C427" s="10">
        <v>23.369</v>
      </c>
      <c r="D427" s="23">
        <f t="shared" si="39"/>
        <v>-7.061089119503608E-3</v>
      </c>
      <c r="E427" s="11">
        <f t="shared" si="40"/>
        <v>-2.1275704653013323E-2</v>
      </c>
      <c r="F427" s="24">
        <f>(B427-$B$2)/$B$2</f>
        <v>0.21471107911785889</v>
      </c>
      <c r="G427" s="11">
        <f t="shared" si="41"/>
        <v>0.29496841405297575</v>
      </c>
      <c r="H427" s="25">
        <f t="shared" si="36"/>
        <v>79.430014121271768</v>
      </c>
      <c r="I427" s="26">
        <f>MAX($B$2:B427)</f>
        <v>2069.4</v>
      </c>
      <c r="J427" s="27">
        <f t="shared" si="37"/>
        <v>-0.10302503141007056</v>
      </c>
      <c r="K427" s="10">
        <f>MAX($C$2:C427)</f>
        <v>29.440999999999999</v>
      </c>
      <c r="L427" s="11">
        <f t="shared" si="38"/>
        <v>-0.20624299446350325</v>
      </c>
    </row>
    <row r="428" spans="1:12" x14ac:dyDescent="0.35">
      <c r="A428" s="5" t="s">
        <v>1084</v>
      </c>
      <c r="B428" s="22">
        <v>1871.5</v>
      </c>
      <c r="C428" s="10">
        <v>23.632999999999999</v>
      </c>
      <c r="D428" s="23">
        <f t="shared" si="39"/>
        <v>8.2426462665660775E-3</v>
      </c>
      <c r="E428" s="11">
        <f t="shared" si="40"/>
        <v>1.1297017416235155E-2</v>
      </c>
      <c r="F428" s="24">
        <f>(B428-$B$2)/$B$2</f>
        <v>0.22472351285910616</v>
      </c>
      <c r="G428" s="11">
        <f t="shared" si="41"/>
        <v>0.30959769478000665</v>
      </c>
      <c r="H428" s="25">
        <f t="shared" si="36"/>
        <v>79.19011551643888</v>
      </c>
      <c r="I428" s="26">
        <f>MAX($B$2:B428)</f>
        <v>2069.4</v>
      </c>
      <c r="J428" s="27">
        <f t="shared" si="37"/>
        <v>-9.5631584034019557E-2</v>
      </c>
      <c r="K428" s="10">
        <f>MAX($C$2:C428)</f>
        <v>29.440999999999999</v>
      </c>
      <c r="L428" s="11">
        <f t="shared" si="38"/>
        <v>-0.19727590774769879</v>
      </c>
    </row>
    <row r="429" spans="1:12" x14ac:dyDescent="0.35">
      <c r="A429" s="5" t="s">
        <v>1086</v>
      </c>
      <c r="B429" s="22">
        <v>1902</v>
      </c>
      <c r="C429" s="10">
        <v>23.902999999999999</v>
      </c>
      <c r="D429" s="23">
        <f t="shared" si="39"/>
        <v>1.6297087897408497E-2</v>
      </c>
      <c r="E429" s="11">
        <f t="shared" si="40"/>
        <v>1.1424702746160012E-2</v>
      </c>
      <c r="F429" s="24">
        <f>(B429-$B$2)/$B$2</f>
        <v>0.2446829395981939</v>
      </c>
      <c r="G429" s="11">
        <f t="shared" si="41"/>
        <v>0.32455945915992462</v>
      </c>
      <c r="H429" s="25">
        <f t="shared" si="36"/>
        <v>79.571601890976027</v>
      </c>
      <c r="I429" s="26">
        <f>MAX($B$2:B429)</f>
        <v>2069.4</v>
      </c>
      <c r="J429" s="27">
        <f t="shared" si="37"/>
        <v>-8.0893012467381883E-2</v>
      </c>
      <c r="K429" s="10">
        <f>MAX($C$2:C429)</f>
        <v>29.440999999999999</v>
      </c>
      <c r="L429" s="11">
        <f t="shared" si="38"/>
        <v>-0.18810502360653511</v>
      </c>
    </row>
    <row r="430" spans="1:12" x14ac:dyDescent="0.35">
      <c r="A430" s="5" t="s">
        <v>1092</v>
      </c>
      <c r="B430" s="22">
        <v>1907.4</v>
      </c>
      <c r="C430" s="10">
        <v>24.331</v>
      </c>
      <c r="D430" s="23">
        <f t="shared" si="39"/>
        <v>2.83911671924295E-3</v>
      </c>
      <c r="E430" s="11">
        <f t="shared" si="40"/>
        <v>1.7905702213111361E-2</v>
      </c>
      <c r="F430" s="24">
        <f>(B430-$B$2)/$B$2</f>
        <v>0.2482167397421636</v>
      </c>
      <c r="G430" s="11">
        <f t="shared" si="41"/>
        <v>0.34827662639920204</v>
      </c>
      <c r="H430" s="25">
        <f t="shared" si="36"/>
        <v>78.393818585343809</v>
      </c>
      <c r="I430" s="26">
        <f>MAX($B$2:B430)</f>
        <v>2069.4</v>
      </c>
      <c r="J430" s="27">
        <f t="shared" si="37"/>
        <v>-7.8283560452305015E-2</v>
      </c>
      <c r="K430" s="10">
        <f>MAX($C$2:C430)</f>
        <v>29.440999999999999</v>
      </c>
      <c r="L430" s="11">
        <f t="shared" si="38"/>
        <v>-0.17356747393091265</v>
      </c>
    </row>
    <row r="431" spans="1:12" x14ac:dyDescent="0.35">
      <c r="A431" s="5" t="s">
        <v>1093</v>
      </c>
      <c r="B431" s="22">
        <v>1910.4</v>
      </c>
      <c r="C431" s="10">
        <v>24.574000000000002</v>
      </c>
      <c r="D431" s="23">
        <f t="shared" si="39"/>
        <v>1.5728216420257941E-3</v>
      </c>
      <c r="E431" s="11">
        <f t="shared" si="40"/>
        <v>9.9872590522379727E-3</v>
      </c>
      <c r="F431" s="24">
        <f>(B431-$B$2)/$B$2</f>
        <v>0.25017996204436893</v>
      </c>
      <c r="G431" s="11">
        <f t="shared" si="41"/>
        <v>0.36174221434112835</v>
      </c>
      <c r="H431" s="25">
        <f t="shared" si="36"/>
        <v>77.740701554488481</v>
      </c>
      <c r="I431" s="26">
        <f>MAX($B$2:B431)</f>
        <v>2069.4</v>
      </c>
      <c r="J431" s="27">
        <f t="shared" si="37"/>
        <v>-7.6833864888373432E-2</v>
      </c>
      <c r="K431" s="10">
        <f>MAX($C$2:C431)</f>
        <v>29.440999999999999</v>
      </c>
      <c r="L431" s="11">
        <f t="shared" si="38"/>
        <v>-0.16531367820386528</v>
      </c>
    </row>
    <row r="432" spans="1:12" x14ac:dyDescent="0.35">
      <c r="A432" s="5" t="s">
        <v>1095</v>
      </c>
      <c r="B432" s="22">
        <v>1926.3</v>
      </c>
      <c r="C432" s="10">
        <v>24.696999999999999</v>
      </c>
      <c r="D432" s="23">
        <f t="shared" si="39"/>
        <v>8.3228643216079687E-3</v>
      </c>
      <c r="E432" s="11">
        <f t="shared" si="40"/>
        <v>5.005290144054592E-3</v>
      </c>
      <c r="F432" s="24">
        <f>(B432-$B$2)/$B$2</f>
        <v>0.26058504024605722</v>
      </c>
      <c r="G432" s="11">
        <f t="shared" si="41"/>
        <v>0.36855812922531311</v>
      </c>
      <c r="H432" s="25">
        <f t="shared" si="36"/>
        <v>77.997327610640966</v>
      </c>
      <c r="I432" s="26">
        <f>MAX($B$2:B432)</f>
        <v>2069.4</v>
      </c>
      <c r="J432" s="27">
        <f t="shared" si="37"/>
        <v>-6.9150478399536155E-2</v>
      </c>
      <c r="K432" s="10">
        <f>MAX($C$2:C432)</f>
        <v>29.440999999999999</v>
      </c>
      <c r="L432" s="11">
        <f t="shared" si="38"/>
        <v>-0.16113583098400189</v>
      </c>
    </row>
    <row r="433" spans="1:12" x14ac:dyDescent="0.35">
      <c r="A433" s="5" t="s">
        <v>1099</v>
      </c>
      <c r="B433" s="22">
        <v>1900.7</v>
      </c>
      <c r="C433" s="10">
        <v>24.366</v>
      </c>
      <c r="D433" s="23">
        <f t="shared" si="39"/>
        <v>-1.328972641852251E-2</v>
      </c>
      <c r="E433" s="11">
        <f t="shared" si="40"/>
        <v>-1.34024375430214E-2</v>
      </c>
      <c r="F433" s="24">
        <f>(B433-$B$2)/$B$2</f>
        <v>0.24383220993390495</v>
      </c>
      <c r="G433" s="11">
        <f t="shared" si="41"/>
        <v>0.35021611437437661</v>
      </c>
      <c r="H433" s="25">
        <f t="shared" si="36"/>
        <v>78.006238200771577</v>
      </c>
      <c r="I433" s="26">
        <f>MAX($B$2:B433)</f>
        <v>2069.4</v>
      </c>
      <c r="J433" s="27">
        <f t="shared" si="37"/>
        <v>-8.1521213878418888E-2</v>
      </c>
      <c r="K433" s="10">
        <f>MAX($C$2:C433)</f>
        <v>29.440999999999999</v>
      </c>
      <c r="L433" s="11">
        <f t="shared" si="38"/>
        <v>-0.17237865561631735</v>
      </c>
    </row>
    <row r="434" spans="1:12" x14ac:dyDescent="0.35">
      <c r="A434" s="5" t="s">
        <v>1101</v>
      </c>
      <c r="B434" s="22">
        <v>1943.8</v>
      </c>
      <c r="C434" s="10">
        <v>25.541</v>
      </c>
      <c r="D434" s="23">
        <f t="shared" si="39"/>
        <v>2.2675856263481828E-2</v>
      </c>
      <c r="E434" s="11">
        <f t="shared" si="40"/>
        <v>4.8222933595994451E-2</v>
      </c>
      <c r="F434" s="24">
        <f>(B434-$B$2)/$B$2</f>
        <v>0.27203717034225511</v>
      </c>
      <c r="G434" s="11">
        <f t="shared" si="41"/>
        <v>0.41532749639809385</v>
      </c>
      <c r="H434" s="25">
        <f t="shared" si="36"/>
        <v>76.10508594025292</v>
      </c>
      <c r="I434" s="26">
        <f>MAX($B$2:B434)</f>
        <v>2069.4</v>
      </c>
      <c r="J434" s="27">
        <f t="shared" si="37"/>
        <v>-6.0693920943268642E-2</v>
      </c>
      <c r="K434" s="10">
        <f>MAX($C$2:C434)</f>
        <v>29.440999999999999</v>
      </c>
      <c r="L434" s="11">
        <f t="shared" si="38"/>
        <v>-0.13246832648347537</v>
      </c>
    </row>
    <row r="435" spans="1:12" x14ac:dyDescent="0.35">
      <c r="A435" s="5" t="s">
        <v>1103</v>
      </c>
      <c r="B435" s="22">
        <v>1922.3</v>
      </c>
      <c r="C435" s="10">
        <v>25.19</v>
      </c>
      <c r="D435" s="23">
        <f t="shared" si="39"/>
        <v>-1.1060808725177488E-2</v>
      </c>
      <c r="E435" s="11">
        <f t="shared" si="40"/>
        <v>-1.3742609921302967E-2</v>
      </c>
      <c r="F435" s="24">
        <f>(B435-$B$2)/$B$2</f>
        <v>0.25796741050978345</v>
      </c>
      <c r="G435" s="11">
        <f t="shared" si="41"/>
        <v>0.39587720270420051</v>
      </c>
      <c r="H435" s="25">
        <f t="shared" si="36"/>
        <v>76.312028582770935</v>
      </c>
      <c r="I435" s="26">
        <f>MAX($B$2:B435)</f>
        <v>2069.4</v>
      </c>
      <c r="J435" s="27">
        <f t="shared" si="37"/>
        <v>-7.1083405818111595E-2</v>
      </c>
      <c r="K435" s="10">
        <f>MAX($C$2:C435)</f>
        <v>29.440999999999999</v>
      </c>
      <c r="L435" s="11">
        <f t="shared" si="38"/>
        <v>-0.14439047586698814</v>
      </c>
    </row>
    <row r="436" spans="1:12" x14ac:dyDescent="0.35">
      <c r="A436" s="5" t="s">
        <v>1105</v>
      </c>
      <c r="B436" s="22">
        <v>1935.9</v>
      </c>
      <c r="C436" s="10">
        <v>25.212</v>
      </c>
      <c r="D436" s="23">
        <f t="shared" si="39"/>
        <v>7.0748582427301344E-3</v>
      </c>
      <c r="E436" s="11">
        <f t="shared" si="40"/>
        <v>8.7336244541478614E-4</v>
      </c>
      <c r="F436" s="24">
        <f>(B436-$B$2)/$B$2</f>
        <v>0.26686735161311448</v>
      </c>
      <c r="G436" s="11">
        <f t="shared" si="41"/>
        <v>0.39709630943145297</v>
      </c>
      <c r="H436" s="25">
        <f t="shared" si="36"/>
        <v>76.784864350309377</v>
      </c>
      <c r="I436" s="26">
        <f>MAX($B$2:B436)</f>
        <v>2069.4</v>
      </c>
      <c r="J436" s="27">
        <f t="shared" si="37"/>
        <v>-6.4511452594955054E-2</v>
      </c>
      <c r="K436" s="10">
        <f>MAX($C$2:C436)</f>
        <v>29.440999999999999</v>
      </c>
      <c r="L436" s="11">
        <f t="shared" si="38"/>
        <v>-0.14364321864067114</v>
      </c>
    </row>
    <row r="437" spans="1:12" x14ac:dyDescent="0.35">
      <c r="A437" s="5" t="s">
        <v>1109</v>
      </c>
      <c r="B437" s="22">
        <v>1995.9</v>
      </c>
      <c r="C437" s="10">
        <v>25.72</v>
      </c>
      <c r="D437" s="23">
        <f t="shared" si="39"/>
        <v>3.0993336432666975E-2</v>
      </c>
      <c r="E437" s="11">
        <f t="shared" si="40"/>
        <v>2.0149135332381371E-2</v>
      </c>
      <c r="F437" s="24">
        <f>(B437-$B$2)/$B$2</f>
        <v>0.30613179765722154</v>
      </c>
      <c r="G437" s="11">
        <f t="shared" si="41"/>
        <v>0.42524659204255788</v>
      </c>
      <c r="H437" s="25">
        <f t="shared" si="36"/>
        <v>77.601088646967341</v>
      </c>
      <c r="I437" s="26">
        <f>MAX($B$2:B437)</f>
        <v>2069.4</v>
      </c>
      <c r="J437" s="27">
        <f t="shared" si="37"/>
        <v>-3.5517541316323571E-2</v>
      </c>
      <c r="K437" s="10">
        <f>MAX($C$2:C437)</f>
        <v>29.440999999999999</v>
      </c>
      <c r="L437" s="11">
        <f t="shared" si="38"/>
        <v>-0.12638836996025951</v>
      </c>
    </row>
    <row r="438" spans="1:12" x14ac:dyDescent="0.35">
      <c r="A438" s="5" t="s">
        <v>1111</v>
      </c>
      <c r="B438" s="22">
        <v>2043.3</v>
      </c>
      <c r="C438" s="10">
        <v>26.895</v>
      </c>
      <c r="D438" s="23">
        <f t="shared" si="39"/>
        <v>2.3748684803847817E-2</v>
      </c>
      <c r="E438" s="11">
        <f t="shared" si="40"/>
        <v>4.5684292379471261E-2</v>
      </c>
      <c r="F438" s="24">
        <f>(B438-$B$2)/$B$2</f>
        <v>0.33715071003206604</v>
      </c>
      <c r="G438" s="11">
        <f t="shared" si="41"/>
        <v>0.49035797406627513</v>
      </c>
      <c r="H438" s="25">
        <f t="shared" si="36"/>
        <v>75.97322922476296</v>
      </c>
      <c r="I438" s="26">
        <f>MAX($B$2:B438)</f>
        <v>2069.4</v>
      </c>
      <c r="J438" s="27">
        <f t="shared" si="37"/>
        <v>-1.2612351406204762E-2</v>
      </c>
      <c r="K438" s="10">
        <f>MAX($C$2:C438)</f>
        <v>29.440999999999999</v>
      </c>
      <c r="L438" s="11">
        <f t="shared" si="38"/>
        <v>-8.6478040827417529E-2</v>
      </c>
    </row>
    <row r="439" spans="1:12" x14ac:dyDescent="0.35">
      <c r="A439" s="5" t="s">
        <v>1113</v>
      </c>
      <c r="B439" s="22">
        <v>1988.2</v>
      </c>
      <c r="C439" s="10">
        <v>25.815999999999999</v>
      </c>
      <c r="D439" s="23">
        <f t="shared" si="39"/>
        <v>-2.6966182156315719E-2</v>
      </c>
      <c r="E439" s="11">
        <f t="shared" si="40"/>
        <v>-4.0118981223275722E-2</v>
      </c>
      <c r="F439" s="24">
        <f>(B439-$B$2)/$B$2</f>
        <v>0.30109286041489441</v>
      </c>
      <c r="G439" s="11">
        <f t="shared" si="41"/>
        <v>0.43056633048875098</v>
      </c>
      <c r="H439" s="25">
        <f t="shared" si="36"/>
        <v>77.014254725751471</v>
      </c>
      <c r="I439" s="26">
        <f>MAX($B$2:B439)</f>
        <v>2069.4</v>
      </c>
      <c r="J439" s="27">
        <f t="shared" si="37"/>
        <v>-3.9238426597081301E-2</v>
      </c>
      <c r="K439" s="10">
        <f>MAX($C$2:C439)</f>
        <v>29.440999999999999</v>
      </c>
      <c r="L439" s="11">
        <f t="shared" si="38"/>
        <v>-0.12312761115451241</v>
      </c>
    </row>
    <row r="440" spans="1:12" x14ac:dyDescent="0.35">
      <c r="A440" s="5" t="s">
        <v>1115</v>
      </c>
      <c r="B440" s="22">
        <v>2000.4</v>
      </c>
      <c r="C440" s="10">
        <v>26.256</v>
      </c>
      <c r="D440" s="23">
        <f t="shared" si="39"/>
        <v>6.1362036012473824E-3</v>
      </c>
      <c r="E440" s="11">
        <f t="shared" si="40"/>
        <v>1.7043693833281737E-2</v>
      </c>
      <c r="F440" s="24">
        <f>(B440-$B$2)/$B$2</f>
        <v>0.30907663111052958</v>
      </c>
      <c r="G440" s="11">
        <f t="shared" si="41"/>
        <v>0.45494846503380254</v>
      </c>
      <c r="H440" s="25">
        <f t="shared" si="36"/>
        <v>76.188299817184642</v>
      </c>
      <c r="I440" s="26">
        <f>MAX($B$2:B440)</f>
        <v>2069.4</v>
      </c>
      <c r="J440" s="27">
        <f t="shared" si="37"/>
        <v>-3.3342997970426211E-2</v>
      </c>
      <c r="K440" s="10">
        <f>MAX($C$2:C440)</f>
        <v>29.440999999999999</v>
      </c>
      <c r="L440" s="11">
        <f t="shared" si="38"/>
        <v>-0.10818246662817156</v>
      </c>
    </row>
    <row r="441" spans="1:12" x14ac:dyDescent="0.35">
      <c r="A441" s="5" t="s">
        <v>1118</v>
      </c>
      <c r="B441" s="22">
        <v>1960.8</v>
      </c>
      <c r="C441" s="10">
        <v>25.297999999999998</v>
      </c>
      <c r="D441" s="23">
        <f t="shared" si="39"/>
        <v>-1.9796040791841697E-2</v>
      </c>
      <c r="E441" s="11">
        <f t="shared" si="40"/>
        <v>-3.6486898232784962E-2</v>
      </c>
      <c r="F441" s="24">
        <f>(B441-$B$2)/$B$2</f>
        <v>0.28316209672141879</v>
      </c>
      <c r="G441" s="11">
        <f t="shared" si="41"/>
        <v>0.40186190845616754</v>
      </c>
      <c r="H441" s="25">
        <f t="shared" si="36"/>
        <v>77.508103407383985</v>
      </c>
      <c r="I441" s="26">
        <f>MAX($B$2:B441)</f>
        <v>2069.4</v>
      </c>
      <c r="J441" s="27">
        <f t="shared" si="37"/>
        <v>-5.2478979414323057E-2</v>
      </c>
      <c r="K441" s="10">
        <f>MAX($C$2:C441)</f>
        <v>29.440999999999999</v>
      </c>
      <c r="L441" s="11">
        <f t="shared" si="38"/>
        <v>-0.14072212221052277</v>
      </c>
    </row>
    <row r="442" spans="1:12" x14ac:dyDescent="0.35">
      <c r="A442" s="5" t="s">
        <v>1120</v>
      </c>
      <c r="B442" s="22">
        <v>1929.7</v>
      </c>
      <c r="C442" s="10">
        <v>25.158000000000001</v>
      </c>
      <c r="D442" s="23">
        <f t="shared" si="39"/>
        <v>-1.586087311301505E-2</v>
      </c>
      <c r="E442" s="11">
        <f t="shared" si="40"/>
        <v>-5.5340343110126108E-3</v>
      </c>
      <c r="F442" s="24">
        <f>(B442-$B$2)/$B$2</f>
        <v>0.26281002552189003</v>
      </c>
      <c r="G442" s="11">
        <f t="shared" si="41"/>
        <v>0.39410395655546948</v>
      </c>
      <c r="H442" s="25">
        <f t="shared" si="36"/>
        <v>76.703235551315686</v>
      </c>
      <c r="I442" s="26">
        <f>MAX($B$2:B442)</f>
        <v>2069.4</v>
      </c>
      <c r="J442" s="27">
        <f t="shared" si="37"/>
        <v>-6.7507490093747E-2</v>
      </c>
      <c r="K442" s="10">
        <f>MAX($C$2:C442)</f>
        <v>29.440999999999999</v>
      </c>
      <c r="L442" s="11">
        <f t="shared" si="38"/>
        <v>-0.14547739546890384</v>
      </c>
    </row>
    <row r="443" spans="1:12" x14ac:dyDescent="0.35">
      <c r="A443" s="5" t="s">
        <v>1122</v>
      </c>
      <c r="B443" s="22">
        <v>1909.2</v>
      </c>
      <c r="C443" s="10">
        <v>24.71</v>
      </c>
      <c r="D443" s="23">
        <f t="shared" si="39"/>
        <v>-1.062341296574597E-2</v>
      </c>
      <c r="E443" s="11">
        <f t="shared" si="40"/>
        <v>-1.7807456872565401E-2</v>
      </c>
      <c r="F443" s="24">
        <f>(B443-$B$2)/$B$2</f>
        <v>0.24939467312348679</v>
      </c>
      <c r="G443" s="11">
        <f t="shared" si="41"/>
        <v>0.36927851047323518</v>
      </c>
      <c r="H443" s="25">
        <f t="shared" si="36"/>
        <v>77.264265479562923</v>
      </c>
      <c r="I443" s="26">
        <f>MAX($B$2:B443)</f>
        <v>2069.4</v>
      </c>
      <c r="J443" s="27">
        <f t="shared" si="37"/>
        <v>-7.7413743113946096E-2</v>
      </c>
      <c r="K443" s="10">
        <f>MAX($C$2:C443)</f>
        <v>29.440999999999999</v>
      </c>
      <c r="L443" s="11">
        <f t="shared" si="38"/>
        <v>-0.16069426989572358</v>
      </c>
    </row>
    <row r="444" spans="1:12" x14ac:dyDescent="0.35">
      <c r="A444" s="5" t="s">
        <v>1124</v>
      </c>
      <c r="B444" s="22">
        <v>1943.2</v>
      </c>
      <c r="C444" s="10">
        <v>25.616</v>
      </c>
      <c r="D444" s="23">
        <f t="shared" si="39"/>
        <v>1.7808506180599204E-2</v>
      </c>
      <c r="E444" s="11">
        <f t="shared" si="40"/>
        <v>3.6665317685147664E-2</v>
      </c>
      <c r="F444" s="24">
        <f>(B444-$B$2)/$B$2</f>
        <v>0.27164452588181415</v>
      </c>
      <c r="G444" s="11">
        <f t="shared" si="41"/>
        <v>0.41948354205918215</v>
      </c>
      <c r="H444" s="25">
        <f t="shared" si="36"/>
        <v>75.858838226108688</v>
      </c>
      <c r="I444" s="26">
        <f>MAX($B$2:B444)</f>
        <v>2069.4</v>
      </c>
      <c r="J444" s="27">
        <f t="shared" si="37"/>
        <v>-6.0983860056054912E-2</v>
      </c>
      <c r="K444" s="10">
        <f>MAX($C$2:C444)</f>
        <v>29.440999999999999</v>
      </c>
      <c r="L444" s="11">
        <f t="shared" si="38"/>
        <v>-0.12992085866648551</v>
      </c>
    </row>
    <row r="445" spans="1:12" x14ac:dyDescent="0.35">
      <c r="A445" s="5" t="s">
        <v>1128</v>
      </c>
      <c r="B445" s="22">
        <v>1929.5</v>
      </c>
      <c r="C445" s="10">
        <v>25.312999999999999</v>
      </c>
      <c r="D445" s="23">
        <f t="shared" si="39"/>
        <v>-7.0502264306299117E-3</v>
      </c>
      <c r="E445" s="11">
        <f t="shared" si="40"/>
        <v>-1.182854465958779E-2</v>
      </c>
      <c r="F445" s="24">
        <f>(B445-$B$2)/$B$2</f>
        <v>0.26267914403507631</v>
      </c>
      <c r="G445" s="11">
        <f t="shared" si="41"/>
        <v>0.40269311758838522</v>
      </c>
      <c r="H445" s="25">
        <f t="shared" si="36"/>
        <v>76.225654801880466</v>
      </c>
      <c r="I445" s="26">
        <f>MAX($B$2:B445)</f>
        <v>2069.4</v>
      </c>
      <c r="J445" s="27">
        <f t="shared" si="37"/>
        <v>-6.7604136464675793E-2</v>
      </c>
      <c r="K445" s="10">
        <f>MAX($C$2:C445)</f>
        <v>29.440999999999999</v>
      </c>
      <c r="L445" s="11">
        <f t="shared" si="38"/>
        <v>-0.14021262864712478</v>
      </c>
    </row>
    <row r="446" spans="1:12" x14ac:dyDescent="0.35">
      <c r="A446" s="5" t="s">
        <v>1129</v>
      </c>
      <c r="B446" s="22">
        <v>1921.5</v>
      </c>
      <c r="C446" s="10">
        <v>24.904</v>
      </c>
      <c r="D446" s="23">
        <f t="shared" si="39"/>
        <v>-4.1461518528116094E-3</v>
      </c>
      <c r="E446" s="11">
        <f t="shared" si="40"/>
        <v>-1.6157705526804365E-2</v>
      </c>
      <c r="F446" s="24">
        <f>(B446-$B$2)/$B$2</f>
        <v>0.2574438845625287</v>
      </c>
      <c r="G446" s="11">
        <f t="shared" si="41"/>
        <v>0.38002881524991694</v>
      </c>
      <c r="H446" s="25">
        <f t="shared" si="36"/>
        <v>77.15628011564408</v>
      </c>
      <c r="I446" s="26">
        <f>MAX($B$2:B446)</f>
        <v>2069.4</v>
      </c>
      <c r="J446" s="27">
        <f t="shared" si="37"/>
        <v>-7.1469991301826657E-2</v>
      </c>
      <c r="K446" s="10">
        <f>MAX($C$2:C446)</f>
        <v>29.440999999999999</v>
      </c>
      <c r="L446" s="11">
        <f t="shared" si="38"/>
        <v>-0.15410481980910973</v>
      </c>
    </row>
    <row r="447" spans="1:12" x14ac:dyDescent="0.35">
      <c r="A447" s="5" t="s">
        <v>1131</v>
      </c>
      <c r="B447" s="22">
        <v>1937.3</v>
      </c>
      <c r="C447" s="10">
        <v>25.189</v>
      </c>
      <c r="D447" s="23">
        <f t="shared" si="39"/>
        <v>8.2227426489721329E-3</v>
      </c>
      <c r="E447" s="11">
        <f t="shared" si="40"/>
        <v>1.144394474783168E-2</v>
      </c>
      <c r="F447" s="24">
        <f>(B447-$B$2)/$B$2</f>
        <v>0.26778352202081018</v>
      </c>
      <c r="G447" s="11">
        <f t="shared" si="41"/>
        <v>0.3958217887620526</v>
      </c>
      <c r="H447" s="25">
        <f t="shared" si="36"/>
        <v>76.91055619516456</v>
      </c>
      <c r="I447" s="26">
        <f>MAX($B$2:B447)</f>
        <v>2069.4</v>
      </c>
      <c r="J447" s="27">
        <f t="shared" si="37"/>
        <v>-6.3834927998453722E-2</v>
      </c>
      <c r="K447" s="10">
        <f>MAX($C$2:C447)</f>
        <v>29.440999999999999</v>
      </c>
      <c r="L447" s="11">
        <f t="shared" si="38"/>
        <v>-0.14442444210454805</v>
      </c>
    </row>
    <row r="448" spans="1:12" x14ac:dyDescent="0.35">
      <c r="A448" s="5" t="s">
        <v>1133</v>
      </c>
      <c r="B448" s="22">
        <v>1962.2</v>
      </c>
      <c r="C448" s="10">
        <v>25.92</v>
      </c>
      <c r="D448" s="23">
        <f t="shared" si="39"/>
        <v>1.2852939658287354E-2</v>
      </c>
      <c r="E448" s="11">
        <f t="shared" si="40"/>
        <v>2.90206042320061E-2</v>
      </c>
      <c r="F448" s="24">
        <f>(B448-$B$2)/$B$2</f>
        <v>0.28407826712911471</v>
      </c>
      <c r="G448" s="11">
        <f t="shared" si="41"/>
        <v>0.43632938047212694</v>
      </c>
      <c r="H448" s="25">
        <f t="shared" si="36"/>
        <v>75.702160493827151</v>
      </c>
      <c r="I448" s="26">
        <f>MAX($B$2:B448)</f>
        <v>2069.4</v>
      </c>
      <c r="J448" s="27">
        <f t="shared" si="37"/>
        <v>-5.1802454817821614E-2</v>
      </c>
      <c r="K448" s="10">
        <f>MAX($C$2:C448)</f>
        <v>29.440999999999999</v>
      </c>
      <c r="L448" s="11">
        <f t="shared" si="38"/>
        <v>-0.11959512244828631</v>
      </c>
    </row>
    <row r="449" spans="1:12" x14ac:dyDescent="0.35">
      <c r="A449" s="5" t="s">
        <v>1137</v>
      </c>
      <c r="B449" s="22">
        <v>1939.8</v>
      </c>
      <c r="C449" s="10">
        <v>25.196000000000002</v>
      </c>
      <c r="D449" s="23">
        <f t="shared" si="39"/>
        <v>-1.1415757822851947E-2</v>
      </c>
      <c r="E449" s="11">
        <f t="shared" si="40"/>
        <v>-2.7932098765432106E-2</v>
      </c>
      <c r="F449" s="24">
        <f>(B449-$B$2)/$B$2</f>
        <v>0.26941954060598133</v>
      </c>
      <c r="G449" s="11">
        <f t="shared" si="41"/>
        <v>0.39620968635708759</v>
      </c>
      <c r="H449" s="25">
        <f t="shared" si="36"/>
        <v>76.988410858866487</v>
      </c>
      <c r="I449" s="26">
        <f>MAX($B$2:B449)</f>
        <v>2069.4</v>
      </c>
      <c r="J449" s="27">
        <f t="shared" si="37"/>
        <v>-6.2626848361844081E-2</v>
      </c>
      <c r="K449" s="10">
        <f>MAX($C$2:C449)</f>
        <v>29.440999999999999</v>
      </c>
      <c r="L449" s="11">
        <f t="shared" si="38"/>
        <v>-0.14418667844162894</v>
      </c>
    </row>
    <row r="450" spans="1:12" x14ac:dyDescent="0.35">
      <c r="A450" s="5" t="s">
        <v>1139</v>
      </c>
      <c r="B450" s="22">
        <v>1918</v>
      </c>
      <c r="C450" s="10">
        <v>24.736000000000001</v>
      </c>
      <c r="D450" s="23">
        <f t="shared" si="39"/>
        <v>-1.123827198680274E-2</v>
      </c>
      <c r="E450" s="11">
        <f t="shared" si="40"/>
        <v>-1.8256866169233246E-2</v>
      </c>
      <c r="F450" s="24">
        <f>(B450-$B$2)/$B$2</f>
        <v>0.25515345854328914</v>
      </c>
      <c r="G450" s="11">
        <f t="shared" si="41"/>
        <v>0.37071927296907908</v>
      </c>
      <c r="H450" s="25">
        <f t="shared" si="36"/>
        <v>77.538809831824054</v>
      </c>
      <c r="I450" s="26">
        <f>MAX($B$2:B450)</f>
        <v>2069.4</v>
      </c>
      <c r="J450" s="27">
        <f t="shared" si="37"/>
        <v>-7.3161302793080155E-2</v>
      </c>
      <c r="K450" s="10">
        <f>MAX($C$2:C450)</f>
        <v>29.440999999999999</v>
      </c>
      <c r="L450" s="11">
        <f t="shared" si="38"/>
        <v>-0.1598111477191671</v>
      </c>
    </row>
    <row r="451" spans="1:12" x14ac:dyDescent="0.35">
      <c r="A451" s="5" t="s">
        <v>1141</v>
      </c>
      <c r="B451" s="22">
        <v>1939</v>
      </c>
      <c r="C451" s="10">
        <v>25.146000000000001</v>
      </c>
      <c r="D451" s="23">
        <f t="shared" si="39"/>
        <v>1.0948905109489052E-2</v>
      </c>
      <c r="E451" s="11">
        <f t="shared" si="40"/>
        <v>1.6575032341526526E-2</v>
      </c>
      <c r="F451" s="24">
        <f>(B451-$B$2)/$B$2</f>
        <v>0.26889601465872659</v>
      </c>
      <c r="G451" s="11">
        <f t="shared" si="41"/>
        <v>0.39343898924969534</v>
      </c>
      <c r="H451" s="25">
        <f t="shared" ref="H451:H514" si="42">B451/C451</f>
        <v>77.109679471884192</v>
      </c>
      <c r="I451" s="26">
        <f>MAX($B$2:B451)</f>
        <v>2069.4</v>
      </c>
      <c r="J451" s="27">
        <f t="shared" ref="J451:J514" si="43">(B451-I451)/I451</f>
        <v>-6.3013433845559144E-2</v>
      </c>
      <c r="K451" s="10">
        <f>MAX($C$2:C451)</f>
        <v>29.440999999999999</v>
      </c>
      <c r="L451" s="11">
        <f t="shared" ref="L451:L514" si="44">(C451-K451)/K451</f>
        <v>-0.14588499031962224</v>
      </c>
    </row>
    <row r="452" spans="1:12" x14ac:dyDescent="0.35">
      <c r="A452" s="5" t="s">
        <v>1143</v>
      </c>
      <c r="B452" s="22">
        <v>1954</v>
      </c>
      <c r="C452" s="10">
        <v>25.158000000000001</v>
      </c>
      <c r="D452" s="23">
        <f t="shared" ref="D452:D515" si="45">(B452-B451)/B451</f>
        <v>7.7359463641052091E-3</v>
      </c>
      <c r="E452" s="11">
        <f t="shared" ref="E452:E515" si="46">(C452-C451)/C451</f>
        <v>4.7721307563829054E-4</v>
      </c>
      <c r="F452" s="24">
        <f>(B452-$B$2)/$B$2</f>
        <v>0.27871212616975338</v>
      </c>
      <c r="G452" s="11">
        <f t="shared" ref="G452:G515" si="47">(C452-$C$2)/$C$2</f>
        <v>0.39410395655546948</v>
      </c>
      <c r="H452" s="25">
        <f t="shared" si="42"/>
        <v>77.669131091501711</v>
      </c>
      <c r="I452" s="26">
        <f>MAX($B$2:B452)</f>
        <v>2069.4</v>
      </c>
      <c r="J452" s="27">
        <f t="shared" si="43"/>
        <v>-5.5764956025901272E-2</v>
      </c>
      <c r="K452" s="10">
        <f>MAX($C$2:C452)</f>
        <v>29.440999999999999</v>
      </c>
      <c r="L452" s="11">
        <f t="shared" si="44"/>
        <v>-0.14547739546890384</v>
      </c>
    </row>
    <row r="453" spans="1:12" x14ac:dyDescent="0.35">
      <c r="A453" s="5" t="s">
        <v>1145</v>
      </c>
      <c r="B453" s="22">
        <v>1930.6</v>
      </c>
      <c r="C453" s="10">
        <v>24.635999999999999</v>
      </c>
      <c r="D453" s="23">
        <f t="shared" si="45"/>
        <v>-1.1975435005117753E-2</v>
      </c>
      <c r="E453" s="11">
        <f t="shared" si="46"/>
        <v>-2.0748867159551713E-2</v>
      </c>
      <c r="F453" s="24">
        <f>(B453-$B$2)/$B$2</f>
        <v>0.26339899221255153</v>
      </c>
      <c r="G453" s="11">
        <f t="shared" si="47"/>
        <v>0.36517787875429458</v>
      </c>
      <c r="H453" s="25">
        <f t="shared" si="42"/>
        <v>78.364994317259288</v>
      </c>
      <c r="I453" s="26">
        <f>MAX($B$2:B453)</f>
        <v>2069.4</v>
      </c>
      <c r="J453" s="27">
        <f t="shared" si="43"/>
        <v>-6.7072581424567596E-2</v>
      </c>
      <c r="K453" s="10">
        <f>MAX($C$2:C453)</f>
        <v>29.440999999999999</v>
      </c>
      <c r="L453" s="11">
        <f t="shared" si="44"/>
        <v>-0.1632077714751537</v>
      </c>
    </row>
    <row r="454" spans="1:12" x14ac:dyDescent="0.35">
      <c r="A454" s="5" t="s">
        <v>1147</v>
      </c>
      <c r="B454" s="22">
        <v>1924.1</v>
      </c>
      <c r="C454" s="10">
        <v>24.588000000000001</v>
      </c>
      <c r="D454" s="23">
        <f t="shared" si="45"/>
        <v>-3.3668289650885738E-3</v>
      </c>
      <c r="E454" s="11">
        <f t="shared" si="46"/>
        <v>-1.9483682415975916E-3</v>
      </c>
      <c r="F454" s="24">
        <f>(B454-$B$2)/$B$2</f>
        <v>0.25914534389110661</v>
      </c>
      <c r="G454" s="11">
        <f t="shared" si="47"/>
        <v>0.36251800953119817</v>
      </c>
      <c r="H454" s="25">
        <f t="shared" si="42"/>
        <v>78.253619651862692</v>
      </c>
      <c r="I454" s="26">
        <f>MAX($B$2:B454)</f>
        <v>2069.4</v>
      </c>
      <c r="J454" s="27">
        <f t="shared" si="43"/>
        <v>-7.0213588479752675E-2</v>
      </c>
      <c r="K454" s="10">
        <f>MAX($C$2:C454)</f>
        <v>29.440999999999999</v>
      </c>
      <c r="L454" s="11">
        <f t="shared" si="44"/>
        <v>-0.16483815087802717</v>
      </c>
    </row>
    <row r="455" spans="1:12" x14ac:dyDescent="0.35">
      <c r="A455" s="5" t="s">
        <v>1149</v>
      </c>
      <c r="B455" s="22">
        <v>1919.7</v>
      </c>
      <c r="C455" s="10">
        <v>24.509</v>
      </c>
      <c r="D455" s="23">
        <f t="shared" si="45"/>
        <v>-2.286783431214523E-3</v>
      </c>
      <c r="E455" s="11">
        <f t="shared" si="46"/>
        <v>-3.2129494062144389E-3</v>
      </c>
      <c r="F455" s="24">
        <f>(B455-$B$2)/$B$2</f>
        <v>0.25626595118120554</v>
      </c>
      <c r="G455" s="11">
        <f t="shared" si="47"/>
        <v>0.35814030810151842</v>
      </c>
      <c r="H455" s="25">
        <f t="shared" si="42"/>
        <v>78.326329103594603</v>
      </c>
      <c r="I455" s="26">
        <f>MAX($B$2:B455)</f>
        <v>2069.4</v>
      </c>
      <c r="J455" s="27">
        <f t="shared" si="43"/>
        <v>-7.2339808640185577E-2</v>
      </c>
      <c r="K455" s="10">
        <f>MAX($C$2:C455)</f>
        <v>29.440999999999999</v>
      </c>
      <c r="L455" s="11">
        <f t="shared" si="44"/>
        <v>-0.16752148364525657</v>
      </c>
    </row>
    <row r="456" spans="1:12" x14ac:dyDescent="0.35">
      <c r="A456" s="5" t="s">
        <v>1151</v>
      </c>
      <c r="B456" s="22">
        <v>1934.7</v>
      </c>
      <c r="C456" s="10">
        <v>24.785</v>
      </c>
      <c r="D456" s="23">
        <f t="shared" si="45"/>
        <v>7.8137208938896703E-3</v>
      </c>
      <c r="E456" s="11">
        <f t="shared" si="46"/>
        <v>1.1261169366355208E-2</v>
      </c>
      <c r="F456" s="24">
        <f>(B456-$B$2)/$B$2</f>
        <v>0.26608206269223228</v>
      </c>
      <c r="G456" s="11">
        <f t="shared" si="47"/>
        <v>0.37343455613432347</v>
      </c>
      <c r="H456" s="25">
        <f t="shared" si="42"/>
        <v>78.059310066572522</v>
      </c>
      <c r="I456" s="26">
        <f>MAX($B$2:B456)</f>
        <v>2069.4</v>
      </c>
      <c r="J456" s="27">
        <f t="shared" si="43"/>
        <v>-6.5091330820527704E-2</v>
      </c>
      <c r="K456" s="10">
        <f>MAX($C$2:C456)</f>
        <v>29.440999999999999</v>
      </c>
      <c r="L456" s="11">
        <f t="shared" si="44"/>
        <v>-0.15814680207873372</v>
      </c>
    </row>
    <row r="457" spans="1:12" x14ac:dyDescent="0.35">
      <c r="A457" s="5" t="s">
        <v>1153</v>
      </c>
      <c r="B457" s="22">
        <v>1945.1</v>
      </c>
      <c r="C457" s="10">
        <v>25.021999999999998</v>
      </c>
      <c r="D457" s="23">
        <f t="shared" si="45"/>
        <v>5.3755104150513587E-3</v>
      </c>
      <c r="E457" s="11">
        <f t="shared" si="46"/>
        <v>9.5622352229170187E-3</v>
      </c>
      <c r="F457" s="24">
        <f>(B457-$B$2)/$B$2</f>
        <v>0.27288790000654412</v>
      </c>
      <c r="G457" s="11">
        <f t="shared" si="47"/>
        <v>0.38656766042336249</v>
      </c>
      <c r="H457" s="25">
        <f t="shared" si="42"/>
        <v>77.73559267844297</v>
      </c>
      <c r="I457" s="26">
        <f>MAX($B$2:B457)</f>
        <v>2069.4</v>
      </c>
      <c r="J457" s="27">
        <f t="shared" si="43"/>
        <v>-6.0065719532231651E-2</v>
      </c>
      <c r="K457" s="10">
        <f>MAX($C$2:C457)</f>
        <v>29.440999999999999</v>
      </c>
      <c r="L457" s="11">
        <f t="shared" si="44"/>
        <v>-0.15009680377704565</v>
      </c>
    </row>
    <row r="458" spans="1:12" x14ac:dyDescent="0.35">
      <c r="A458" s="5" t="s">
        <v>1155</v>
      </c>
      <c r="B458" s="22">
        <v>1973.2</v>
      </c>
      <c r="C458" s="10">
        <v>25.768999999999998</v>
      </c>
      <c r="D458" s="23">
        <f t="shared" si="45"/>
        <v>1.4446558017582715E-2</v>
      </c>
      <c r="E458" s="11">
        <f t="shared" si="46"/>
        <v>2.9853728718727518E-2</v>
      </c>
      <c r="F458" s="24">
        <f>(B458-$B$2)/$B$2</f>
        <v>0.29127674890386768</v>
      </c>
      <c r="G458" s="11">
        <f t="shared" si="47"/>
        <v>0.42796187520780227</v>
      </c>
      <c r="H458" s="25">
        <f t="shared" si="42"/>
        <v>76.572626023516634</v>
      </c>
      <c r="I458" s="26">
        <f>MAX($B$2:B458)</f>
        <v>2069.4</v>
      </c>
      <c r="J458" s="27">
        <f t="shared" si="43"/>
        <v>-4.6486904416739173E-2</v>
      </c>
      <c r="K458" s="10">
        <f>MAX($C$2:C458)</f>
        <v>29.440999999999999</v>
      </c>
      <c r="L458" s="11">
        <f t="shared" si="44"/>
        <v>-0.12472402431982611</v>
      </c>
    </row>
    <row r="459" spans="1:12" x14ac:dyDescent="0.35">
      <c r="A459" s="5" t="s">
        <v>1157</v>
      </c>
      <c r="B459" s="22">
        <v>1981.9</v>
      </c>
      <c r="C459" s="10">
        <v>26.06</v>
      </c>
      <c r="D459" s="23">
        <f t="shared" si="45"/>
        <v>4.4090816947091249E-3</v>
      </c>
      <c r="E459" s="11">
        <f t="shared" si="46"/>
        <v>1.1292638441538298E-2</v>
      </c>
      <c r="F459" s="24">
        <f>(B459-$B$2)/$B$2</f>
        <v>0.29697009358026322</v>
      </c>
      <c r="G459" s="11">
        <f t="shared" si="47"/>
        <v>0.44408733237282499</v>
      </c>
      <c r="H459" s="25">
        <f t="shared" si="42"/>
        <v>76.051419800460479</v>
      </c>
      <c r="I459" s="26">
        <f>MAX($B$2:B459)</f>
        <v>2069.4</v>
      </c>
      <c r="J459" s="27">
        <f t="shared" si="43"/>
        <v>-4.228278728133758E-2</v>
      </c>
      <c r="K459" s="10">
        <f>MAX($C$2:C459)</f>
        <v>29.440999999999999</v>
      </c>
      <c r="L459" s="11">
        <f t="shared" si="44"/>
        <v>-0.11483984918990525</v>
      </c>
    </row>
    <row r="460" spans="1:12" x14ac:dyDescent="0.35">
      <c r="A460" s="5" t="s">
        <v>1158</v>
      </c>
      <c r="B460" s="22">
        <v>1983.6</v>
      </c>
      <c r="C460" s="10">
        <v>26.181000000000001</v>
      </c>
      <c r="D460" s="23">
        <f t="shared" si="45"/>
        <v>8.5776275291377872E-4</v>
      </c>
      <c r="E460" s="11">
        <f t="shared" si="46"/>
        <v>4.6431312356102154E-3</v>
      </c>
      <c r="F460" s="24">
        <f>(B460-$B$2)/$B$2</f>
        <v>0.29808258621817946</v>
      </c>
      <c r="G460" s="11">
        <f t="shared" si="47"/>
        <v>0.4507924193727143</v>
      </c>
      <c r="H460" s="25">
        <f t="shared" si="42"/>
        <v>75.76486765211412</v>
      </c>
      <c r="I460" s="26">
        <f>MAX($B$2:B460)</f>
        <v>2069.4</v>
      </c>
      <c r="J460" s="27">
        <f t="shared" si="43"/>
        <v>-4.1461293128443114E-2</v>
      </c>
      <c r="K460" s="10">
        <f>MAX($C$2:C460)</f>
        <v>29.440999999999999</v>
      </c>
      <c r="L460" s="11">
        <f t="shared" si="44"/>
        <v>-0.11072993444516145</v>
      </c>
    </row>
    <row r="461" spans="1:12" x14ac:dyDescent="0.35">
      <c r="A461" s="5" t="s">
        <v>1160</v>
      </c>
      <c r="B461" s="22">
        <v>1956.3</v>
      </c>
      <c r="C461" s="10">
        <v>25.425999999999998</v>
      </c>
      <c r="D461" s="23">
        <f t="shared" si="45"/>
        <v>-1.3762855414398041E-2</v>
      </c>
      <c r="E461" s="11">
        <f t="shared" si="46"/>
        <v>-2.8837706733891088E-2</v>
      </c>
      <c r="F461" s="24">
        <f>(B461-$B$2)/$B$2</f>
        <v>0.28021726326811075</v>
      </c>
      <c r="G461" s="11">
        <f t="shared" si="47"/>
        <v>0.40895489305109162</v>
      </c>
      <c r="H461" s="25">
        <f t="shared" si="42"/>
        <v>76.940926610556133</v>
      </c>
      <c r="I461" s="26">
        <f>MAX($B$2:B461)</f>
        <v>2069.4</v>
      </c>
      <c r="J461" s="27">
        <f t="shared" si="43"/>
        <v>-5.4653522760220417E-2</v>
      </c>
      <c r="K461" s="10">
        <f>MAX($C$2:C461)</f>
        <v>29.440999999999999</v>
      </c>
      <c r="L461" s="11">
        <f t="shared" si="44"/>
        <v>-0.13637444380285998</v>
      </c>
    </row>
    <row r="462" spans="1:12" x14ac:dyDescent="0.35">
      <c r="A462" s="5" t="s">
        <v>1162</v>
      </c>
      <c r="B462" s="22">
        <v>1952.9</v>
      </c>
      <c r="C462" s="10">
        <v>25.303000000000001</v>
      </c>
      <c r="D462" s="23">
        <f t="shared" si="45"/>
        <v>-1.7379747482491764E-3</v>
      </c>
      <c r="E462" s="11">
        <f t="shared" si="46"/>
        <v>-4.837567843939179E-3</v>
      </c>
      <c r="F462" s="24">
        <f>(B462-$B$2)/$B$2</f>
        <v>0.2779922779922781</v>
      </c>
      <c r="G462" s="11">
        <f t="shared" si="47"/>
        <v>0.40213897816690691</v>
      </c>
      <c r="H462" s="25">
        <f t="shared" si="42"/>
        <v>77.180571473738297</v>
      </c>
      <c r="I462" s="26">
        <f>MAX($B$2:B462)</f>
        <v>2069.4</v>
      </c>
      <c r="J462" s="27">
        <f t="shared" si="43"/>
        <v>-5.6296511066009469E-2</v>
      </c>
      <c r="K462" s="10">
        <f>MAX($C$2:C462)</f>
        <v>29.440999999999999</v>
      </c>
      <c r="L462" s="11">
        <f t="shared" si="44"/>
        <v>-0.14055229102272335</v>
      </c>
    </row>
    <row r="463" spans="1:12" x14ac:dyDescent="0.35">
      <c r="A463" s="5" t="s">
        <v>1164</v>
      </c>
      <c r="B463" s="22">
        <v>1945.4</v>
      </c>
      <c r="C463" s="10">
        <v>24.657</v>
      </c>
      <c r="D463" s="23">
        <f t="shared" si="45"/>
        <v>-3.8404424189666646E-3</v>
      </c>
      <c r="E463" s="11">
        <f t="shared" si="46"/>
        <v>-2.5530569497688053E-2</v>
      </c>
      <c r="F463" s="24">
        <f>(B463-$B$2)/$B$2</f>
        <v>0.27308422223676476</v>
      </c>
      <c r="G463" s="11">
        <f t="shared" si="47"/>
        <v>0.36634157153939934</v>
      </c>
      <c r="H463" s="25">
        <f t="shared" si="42"/>
        <v>78.898487245001419</v>
      </c>
      <c r="I463" s="26">
        <f>MAX($B$2:B463)</f>
        <v>2069.4</v>
      </c>
      <c r="J463" s="27">
        <f t="shared" si="43"/>
        <v>-5.9920749975838405E-2</v>
      </c>
      <c r="K463" s="10">
        <f>MAX($C$2:C463)</f>
        <v>29.440999999999999</v>
      </c>
      <c r="L463" s="11">
        <f t="shared" si="44"/>
        <v>-0.1624944804863965</v>
      </c>
    </row>
    <row r="464" spans="1:12" x14ac:dyDescent="0.35">
      <c r="A464" s="5" t="s">
        <v>1166</v>
      </c>
      <c r="B464" s="22">
        <v>1893.3</v>
      </c>
      <c r="C464" s="10">
        <v>23.698</v>
      </c>
      <c r="D464" s="23">
        <f t="shared" si="45"/>
        <v>-2.6781124704431034E-2</v>
      </c>
      <c r="E464" s="11">
        <f t="shared" si="46"/>
        <v>-3.889362047288801E-2</v>
      </c>
      <c r="F464" s="24">
        <f>(B464-$B$2)/$B$2</f>
        <v>0.23898959492179836</v>
      </c>
      <c r="G464" s="11">
        <f t="shared" si="47"/>
        <v>0.31319960101961658</v>
      </c>
      <c r="H464" s="25">
        <f t="shared" si="42"/>
        <v>79.892817959321462</v>
      </c>
      <c r="I464" s="26">
        <f>MAX($B$2:B464)</f>
        <v>2069.4</v>
      </c>
      <c r="J464" s="27">
        <f t="shared" si="43"/>
        <v>-8.5097129602783483E-2</v>
      </c>
      <c r="K464" s="10">
        <f>MAX($C$2:C464)</f>
        <v>29.440999999999999</v>
      </c>
      <c r="L464" s="11">
        <f t="shared" si="44"/>
        <v>-0.1950681023063075</v>
      </c>
    </row>
    <row r="465" spans="1:12" x14ac:dyDescent="0.35">
      <c r="A465" s="5" t="s">
        <v>1168</v>
      </c>
      <c r="B465" s="22">
        <v>1901.5</v>
      </c>
      <c r="C465" s="10">
        <v>23.571999999999999</v>
      </c>
      <c r="D465" s="23">
        <f t="shared" si="45"/>
        <v>4.3310621665874644E-3</v>
      </c>
      <c r="E465" s="11">
        <f t="shared" si="46"/>
        <v>-5.3169043801165172E-3</v>
      </c>
      <c r="F465" s="24">
        <f>(B465-$B$2)/$B$2</f>
        <v>0.24435573588115969</v>
      </c>
      <c r="G465" s="11">
        <f t="shared" si="47"/>
        <v>0.30621744430898812</v>
      </c>
      <c r="H465" s="25">
        <f t="shared" si="42"/>
        <v>80.667741388087563</v>
      </c>
      <c r="I465" s="26">
        <f>MAX($B$2:B465)</f>
        <v>2069.4</v>
      </c>
      <c r="J465" s="27">
        <f t="shared" si="43"/>
        <v>-8.1134628394703825E-2</v>
      </c>
      <c r="K465" s="10">
        <f>MAX($C$2:C465)</f>
        <v>29.440999999999999</v>
      </c>
      <c r="L465" s="11">
        <f t="shared" si="44"/>
        <v>-0.19934784823885057</v>
      </c>
    </row>
    <row r="466" spans="1:12" x14ac:dyDescent="0.35">
      <c r="A466" s="5" t="s">
        <v>1170</v>
      </c>
      <c r="B466" s="22">
        <v>1885.8</v>
      </c>
      <c r="C466" s="10">
        <v>23.483000000000001</v>
      </c>
      <c r="D466" s="23">
        <f t="shared" si="45"/>
        <v>-8.2566394951354427E-3</v>
      </c>
      <c r="E466" s="11">
        <f t="shared" si="46"/>
        <v>-3.7756660444594704E-3</v>
      </c>
      <c r="F466" s="24">
        <f>(B466-$B$2)/$B$2</f>
        <v>0.23408153916628496</v>
      </c>
      <c r="G466" s="11">
        <f t="shared" si="47"/>
        <v>0.30128560345783006</v>
      </c>
      <c r="H466" s="25">
        <f t="shared" si="42"/>
        <v>80.304901418047095</v>
      </c>
      <c r="I466" s="26">
        <f>MAX($B$2:B466)</f>
        <v>2069.4</v>
      </c>
      <c r="J466" s="27">
        <f t="shared" si="43"/>
        <v>-8.872136851261242E-2</v>
      </c>
      <c r="K466" s="10">
        <f>MAX($C$2:C466)</f>
        <v>29.440999999999999</v>
      </c>
      <c r="L466" s="11">
        <f t="shared" si="44"/>
        <v>-0.20237084338167857</v>
      </c>
    </row>
    <row r="467" spans="1:12" x14ac:dyDescent="0.35">
      <c r="A467" s="5" t="s">
        <v>1172</v>
      </c>
      <c r="B467" s="22">
        <v>1891.3</v>
      </c>
      <c r="C467" s="10">
        <v>23.181000000000001</v>
      </c>
      <c r="D467" s="23">
        <f t="shared" si="45"/>
        <v>2.916534096934988E-3</v>
      </c>
      <c r="E467" s="11">
        <f t="shared" si="46"/>
        <v>-1.2860367074053554E-2</v>
      </c>
      <c r="F467" s="24">
        <f>(B467-$B$2)/$B$2</f>
        <v>0.23768078005366144</v>
      </c>
      <c r="G467" s="11">
        <f t="shared" si="47"/>
        <v>0.28455059292918106</v>
      </c>
      <c r="H467" s="25">
        <f t="shared" si="42"/>
        <v>81.588369785600264</v>
      </c>
      <c r="I467" s="26">
        <f>MAX($B$2:B467)</f>
        <v>2069.4</v>
      </c>
      <c r="J467" s="27">
        <f t="shared" si="43"/>
        <v>-8.6063593312071196E-2</v>
      </c>
      <c r="K467" s="10">
        <f>MAX($C$2:C467)</f>
        <v>29.440999999999999</v>
      </c>
      <c r="L467" s="11">
        <f t="shared" si="44"/>
        <v>-0.21262864712475793</v>
      </c>
    </row>
    <row r="468" spans="1:12" x14ac:dyDescent="0.35">
      <c r="A468" s="5" t="s">
        <v>1174</v>
      </c>
      <c r="B468" s="22">
        <v>1863.6</v>
      </c>
      <c r="C468" s="10">
        <v>22.584</v>
      </c>
      <c r="D468" s="23">
        <f t="shared" si="45"/>
        <v>-1.4646010680484347E-2</v>
      </c>
      <c r="E468" s="11">
        <f t="shared" si="46"/>
        <v>-2.5753850135887206E-2</v>
      </c>
      <c r="F468" s="24">
        <f>(B468-$B$2)/$B$2</f>
        <v>0.21955369412996534</v>
      </c>
      <c r="G468" s="11">
        <f t="shared" si="47"/>
        <v>0.25146846946691792</v>
      </c>
      <c r="H468" s="25">
        <f t="shared" si="42"/>
        <v>82.518597236981932</v>
      </c>
      <c r="I468" s="26">
        <f>MAX($B$2:B468)</f>
        <v>2069.4</v>
      </c>
      <c r="J468" s="27">
        <f t="shared" si="43"/>
        <v>-9.944911568570608E-2</v>
      </c>
      <c r="K468" s="10">
        <f>MAX($C$2:C468)</f>
        <v>29.440999999999999</v>
      </c>
      <c r="L468" s="11">
        <f t="shared" si="44"/>
        <v>-0.23290649094799767</v>
      </c>
    </row>
    <row r="469" spans="1:12" x14ac:dyDescent="0.35">
      <c r="A469" s="5" t="s">
        <v>1176</v>
      </c>
      <c r="B469" s="22">
        <v>1870.6</v>
      </c>
      <c r="C469" s="10">
        <v>22.664999999999999</v>
      </c>
      <c r="D469" s="23">
        <f t="shared" si="45"/>
        <v>3.7561708521141879E-3</v>
      </c>
      <c r="E469" s="11">
        <f t="shared" si="46"/>
        <v>3.586609989372986E-3</v>
      </c>
      <c r="F469" s="24">
        <f>(B469-$B$2)/$B$2</f>
        <v>0.2241345461684445</v>
      </c>
      <c r="G469" s="11">
        <f t="shared" si="47"/>
        <v>0.25595699878089329</v>
      </c>
      <c r="H469" s="25">
        <f t="shared" si="42"/>
        <v>82.532539157290969</v>
      </c>
      <c r="I469" s="26">
        <f>MAX($B$2:B469)</f>
        <v>2069.4</v>
      </c>
      <c r="J469" s="27">
        <f t="shared" si="43"/>
        <v>-9.6066492703199072E-2</v>
      </c>
      <c r="K469" s="10">
        <f>MAX($C$2:C469)</f>
        <v>29.440999999999999</v>
      </c>
      <c r="L469" s="11">
        <f t="shared" si="44"/>
        <v>-0.23015522570564859</v>
      </c>
    </row>
    <row r="470" spans="1:12" x14ac:dyDescent="0.35">
      <c r="A470" s="5" t="s">
        <v>1178</v>
      </c>
      <c r="B470" s="22">
        <v>1868.8</v>
      </c>
      <c r="C470" s="10">
        <v>22.402000000000001</v>
      </c>
      <c r="D470" s="23">
        <f t="shared" si="45"/>
        <v>-9.6225809900564235E-4</v>
      </c>
      <c r="E470" s="11">
        <f t="shared" si="46"/>
        <v>-1.160379439664673E-2</v>
      </c>
      <c r="F470" s="24">
        <f>(B470-$B$2)/$B$2</f>
        <v>0.22295661278712131</v>
      </c>
      <c r="G470" s="11">
        <f t="shared" si="47"/>
        <v>0.2413831319960103</v>
      </c>
      <c r="H470" s="25">
        <f t="shared" si="42"/>
        <v>83.421123114007671</v>
      </c>
      <c r="I470" s="26">
        <f>MAX($B$2:B470)</f>
        <v>2069.4</v>
      </c>
      <c r="J470" s="27">
        <f t="shared" si="43"/>
        <v>-9.6936310041558005E-2</v>
      </c>
      <c r="K470" s="10">
        <f>MAX($C$2:C470)</f>
        <v>29.440999999999999</v>
      </c>
      <c r="L470" s="11">
        <f t="shared" si="44"/>
        <v>-0.23908834618389316</v>
      </c>
    </row>
    <row r="471" spans="1:12" x14ac:dyDescent="0.35">
      <c r="A471" s="5" t="s">
        <v>1180</v>
      </c>
      <c r="B471" s="22">
        <v>1875.7</v>
      </c>
      <c r="C471" s="10">
        <v>22.443000000000001</v>
      </c>
      <c r="D471" s="23">
        <f t="shared" si="45"/>
        <v>3.6922089041096376E-3</v>
      </c>
      <c r="E471" s="11">
        <f t="shared" si="46"/>
        <v>1.8301937327024538E-3</v>
      </c>
      <c r="F471" s="24">
        <f>(B471-$B$2)/$B$2</f>
        <v>0.22747202408219366</v>
      </c>
      <c r="G471" s="11">
        <f t="shared" si="47"/>
        <v>0.24365510362407194</v>
      </c>
      <c r="H471" s="25">
        <f t="shared" si="42"/>
        <v>83.57617074366172</v>
      </c>
      <c r="I471" s="26">
        <f>MAX($B$2:B471)</f>
        <v>2069.4</v>
      </c>
      <c r="J471" s="27">
        <f t="shared" si="43"/>
        <v>-9.3602010244515338E-2</v>
      </c>
      <c r="K471" s="10">
        <f>MAX($C$2:C471)</f>
        <v>29.440999999999999</v>
      </c>
      <c r="L471" s="11">
        <f t="shared" si="44"/>
        <v>-0.23769573044393866</v>
      </c>
    </row>
    <row r="472" spans="1:12" x14ac:dyDescent="0.35">
      <c r="A472" s="5" t="s">
        <v>1182</v>
      </c>
      <c r="B472" s="22">
        <v>1858.6</v>
      </c>
      <c r="C472" s="10">
        <v>21.82</v>
      </c>
      <c r="D472" s="23">
        <f t="shared" si="45"/>
        <v>-9.1165964706510297E-3</v>
      </c>
      <c r="E472" s="11">
        <f t="shared" si="46"/>
        <v>-2.7759212226529478E-2</v>
      </c>
      <c r="F472" s="24">
        <f>(B472-$B$2)/$B$2</f>
        <v>0.21628165695962306</v>
      </c>
      <c r="G472" s="11">
        <f t="shared" si="47"/>
        <v>0.20913221766596482</v>
      </c>
      <c r="H472" s="25">
        <f t="shared" si="42"/>
        <v>85.178735105407881</v>
      </c>
      <c r="I472" s="26">
        <f>MAX($B$2:B472)</f>
        <v>2069.4</v>
      </c>
      <c r="J472" s="27">
        <f t="shared" si="43"/>
        <v>-0.10186527495892538</v>
      </c>
      <c r="K472" s="10">
        <f>MAX($C$2:C472)</f>
        <v>29.440999999999999</v>
      </c>
      <c r="L472" s="11">
        <f t="shared" si="44"/>
        <v>-0.25885669644373488</v>
      </c>
    </row>
    <row r="473" spans="1:12" x14ac:dyDescent="0.35">
      <c r="A473" s="5" t="s">
        <v>1184</v>
      </c>
      <c r="B473" s="22">
        <v>1841</v>
      </c>
      <c r="C473" s="10">
        <v>21.423999999999999</v>
      </c>
      <c r="D473" s="23">
        <f t="shared" si="45"/>
        <v>-9.469493166899769E-3</v>
      </c>
      <c r="E473" s="11">
        <f t="shared" si="46"/>
        <v>-1.81484876260312E-2</v>
      </c>
      <c r="F473" s="24">
        <f>(B473-$B$2)/$B$2</f>
        <v>0.2047640861200184</v>
      </c>
      <c r="G473" s="11">
        <f t="shared" si="47"/>
        <v>0.18718829657541838</v>
      </c>
      <c r="H473" s="25">
        <f t="shared" si="42"/>
        <v>85.93166542195668</v>
      </c>
      <c r="I473" s="26">
        <f>MAX($B$2:B473)</f>
        <v>2069.4</v>
      </c>
      <c r="J473" s="27">
        <f t="shared" si="43"/>
        <v>-0.11037015560065723</v>
      </c>
      <c r="K473" s="10">
        <f>MAX($C$2:C473)</f>
        <v>29.440999999999999</v>
      </c>
      <c r="L473" s="11">
        <f t="shared" si="44"/>
        <v>-0.27230732651744166</v>
      </c>
    </row>
    <row r="474" spans="1:12" x14ac:dyDescent="0.35">
      <c r="A474" s="5" t="s">
        <v>1186</v>
      </c>
      <c r="B474" s="22">
        <v>1853.7</v>
      </c>
      <c r="C474" s="10">
        <v>21.574999999999999</v>
      </c>
      <c r="D474" s="23">
        <f t="shared" si="45"/>
        <v>6.898424769147227E-3</v>
      </c>
      <c r="E474" s="11">
        <f t="shared" si="46"/>
        <v>7.0481702763256068E-3</v>
      </c>
      <c r="F474" s="24">
        <f>(B474-$B$2)/$B$2</f>
        <v>0.21307506053268777</v>
      </c>
      <c r="G474" s="11">
        <f t="shared" si="47"/>
        <v>0.19555580183974289</v>
      </c>
      <c r="H474" s="25">
        <f t="shared" si="42"/>
        <v>85.918887601390509</v>
      </c>
      <c r="I474" s="26">
        <f>MAX($B$2:B474)</f>
        <v>2069.4</v>
      </c>
      <c r="J474" s="27">
        <f t="shared" si="43"/>
        <v>-0.10423311104668022</v>
      </c>
      <c r="K474" s="10">
        <f>MAX($C$2:C474)</f>
        <v>29.440999999999999</v>
      </c>
      <c r="L474" s="11">
        <f t="shared" si="44"/>
        <v>-0.26717842464590197</v>
      </c>
    </row>
    <row r="475" spans="1:12" x14ac:dyDescent="0.35">
      <c r="A475" s="5" t="s">
        <v>1188</v>
      </c>
      <c r="B475" s="22">
        <v>1824.6</v>
      </c>
      <c r="C475" s="10">
        <v>20.773</v>
      </c>
      <c r="D475" s="23">
        <f t="shared" si="45"/>
        <v>-1.5698333063602597E-2</v>
      </c>
      <c r="E475" s="11">
        <f t="shared" si="46"/>
        <v>-3.7172653534183066E-2</v>
      </c>
      <c r="F475" s="24">
        <f>(B475-$B$2)/$B$2</f>
        <v>0.19403180420129573</v>
      </c>
      <c r="G475" s="11">
        <f t="shared" si="47"/>
        <v>0.15111382023717171</v>
      </c>
      <c r="H475" s="25">
        <f t="shared" si="42"/>
        <v>87.835170654214608</v>
      </c>
      <c r="I475" s="26">
        <f>MAX($B$2:B475)</f>
        <v>2069.4</v>
      </c>
      <c r="J475" s="27">
        <f t="shared" si="43"/>
        <v>-0.11829515801681655</v>
      </c>
      <c r="K475" s="10">
        <f>MAX($C$2:C475)</f>
        <v>29.440999999999999</v>
      </c>
      <c r="L475" s="11">
        <f t="shared" si="44"/>
        <v>-0.2944193471689141</v>
      </c>
    </row>
    <row r="476" spans="1:12" x14ac:dyDescent="0.35">
      <c r="A476" s="5" t="s">
        <v>1190</v>
      </c>
      <c r="B476" s="22">
        <v>1814</v>
      </c>
      <c r="C476" s="10">
        <v>21.550999999999998</v>
      </c>
      <c r="D476" s="23">
        <f t="shared" si="45"/>
        <v>-5.8094924915049377E-3</v>
      </c>
      <c r="E476" s="11">
        <f t="shared" si="46"/>
        <v>3.7452462330910256E-2</v>
      </c>
      <c r="F476" s="24">
        <f>(B476-$B$2)/$B$2</f>
        <v>0.18709508540017022</v>
      </c>
      <c r="G476" s="11">
        <f t="shared" si="47"/>
        <v>0.19422586722819457</v>
      </c>
      <c r="H476" s="25">
        <f t="shared" si="42"/>
        <v>84.172428193587308</v>
      </c>
      <c r="I476" s="26">
        <f>MAX($B$2:B476)</f>
        <v>2069.4</v>
      </c>
      <c r="J476" s="27">
        <f t="shared" si="43"/>
        <v>-0.12341741567604141</v>
      </c>
      <c r="K476" s="10">
        <f>MAX($C$2:C476)</f>
        <v>29.440999999999999</v>
      </c>
      <c r="L476" s="11">
        <f t="shared" si="44"/>
        <v>-0.26799361434733876</v>
      </c>
    </row>
    <row r="477" spans="1:12" x14ac:dyDescent="0.35">
      <c r="A477" s="5" t="s">
        <v>1192</v>
      </c>
      <c r="B477" s="22">
        <v>1818.9</v>
      </c>
      <c r="C477" s="10">
        <v>21.75</v>
      </c>
      <c r="D477" s="23">
        <f t="shared" si="45"/>
        <v>2.7012127894157061E-3</v>
      </c>
      <c r="E477" s="11">
        <f t="shared" si="46"/>
        <v>9.2339102593847911E-3</v>
      </c>
      <c r="F477" s="24">
        <f>(B477-$B$2)/$B$2</f>
        <v>0.19030168182710569</v>
      </c>
      <c r="G477" s="11">
        <f t="shared" si="47"/>
        <v>0.20525324171561568</v>
      </c>
      <c r="H477" s="25">
        <f t="shared" si="42"/>
        <v>83.627586206896552</v>
      </c>
      <c r="I477" s="26">
        <f>MAX($B$2:B477)</f>
        <v>2069.4</v>
      </c>
      <c r="J477" s="27">
        <f t="shared" si="43"/>
        <v>-0.12104957958828645</v>
      </c>
      <c r="K477" s="10">
        <f>MAX($C$2:C477)</f>
        <v>29.440999999999999</v>
      </c>
      <c r="L477" s="11">
        <f t="shared" si="44"/>
        <v>-0.26123433307292548</v>
      </c>
    </row>
    <row r="478" spans="1:12" x14ac:dyDescent="0.35">
      <c r="A478" s="5" t="s">
        <v>1194</v>
      </c>
      <c r="B478" s="22">
        <v>1815.9</v>
      </c>
      <c r="C478" s="10">
        <v>21.544</v>
      </c>
      <c r="D478" s="23">
        <f t="shared" si="45"/>
        <v>-1.6493485073396008E-3</v>
      </c>
      <c r="E478" s="11">
        <f t="shared" si="46"/>
        <v>-9.4712643678160693E-3</v>
      </c>
      <c r="F478" s="24">
        <f>(B478-$B$2)/$B$2</f>
        <v>0.18833845952490033</v>
      </c>
      <c r="G478" s="11">
        <f t="shared" si="47"/>
        <v>0.19383796963315977</v>
      </c>
      <c r="H478" s="25">
        <f t="shared" si="42"/>
        <v>84.287968808020793</v>
      </c>
      <c r="I478" s="26">
        <f>MAX($B$2:B478)</f>
        <v>2069.4</v>
      </c>
      <c r="J478" s="27">
        <f t="shared" si="43"/>
        <v>-0.12249927515221803</v>
      </c>
      <c r="K478" s="10">
        <f>MAX($C$2:C478)</f>
        <v>29.440999999999999</v>
      </c>
      <c r="L478" s="11">
        <f t="shared" si="44"/>
        <v>-0.26823137801025776</v>
      </c>
    </row>
    <row r="479" spans="1:12" x14ac:dyDescent="0.35">
      <c r="A479" s="5" t="s">
        <v>1196</v>
      </c>
      <c r="B479" s="22">
        <v>1841.2</v>
      </c>
      <c r="C479" s="10">
        <v>21.908000000000001</v>
      </c>
      <c r="D479" s="23">
        <f t="shared" si="45"/>
        <v>1.3932485269012584E-2</v>
      </c>
      <c r="E479" s="11">
        <f t="shared" si="46"/>
        <v>1.6895655402896434E-2</v>
      </c>
      <c r="F479" s="24">
        <f>(B479-$B$2)/$B$2</f>
        <v>0.20489496760683212</v>
      </c>
      <c r="G479" s="11">
        <f t="shared" si="47"/>
        <v>0.21400864457497518</v>
      </c>
      <c r="H479" s="25">
        <f t="shared" si="42"/>
        <v>84.042358955632636</v>
      </c>
      <c r="I479" s="26">
        <f>MAX($B$2:B479)</f>
        <v>2069.4</v>
      </c>
      <c r="J479" s="27">
        <f t="shared" si="43"/>
        <v>-0.11027350922972844</v>
      </c>
      <c r="K479" s="10">
        <f>MAX($C$2:C479)</f>
        <v>29.440999999999999</v>
      </c>
      <c r="L479" s="11">
        <f t="shared" si="44"/>
        <v>-0.25586766753846668</v>
      </c>
    </row>
    <row r="480" spans="1:12" x14ac:dyDescent="0.35">
      <c r="A480" s="5" t="s">
        <v>1198</v>
      </c>
      <c r="B480" s="22">
        <v>1847.8</v>
      </c>
      <c r="C480" s="10">
        <v>21.722999999999999</v>
      </c>
      <c r="D480" s="23">
        <f t="shared" si="45"/>
        <v>3.5846187269171783E-3</v>
      </c>
      <c r="E480" s="11">
        <f t="shared" si="46"/>
        <v>-8.4444038707322568E-3</v>
      </c>
      <c r="F480" s="24">
        <f>(B480-$B$2)/$B$2</f>
        <v>0.20921405667168383</v>
      </c>
      <c r="G480" s="11">
        <f t="shared" si="47"/>
        <v>0.20375706527762383</v>
      </c>
      <c r="H480" s="25">
        <f t="shared" si="42"/>
        <v>85.061915941628683</v>
      </c>
      <c r="I480" s="26">
        <f>MAX($B$2:B480)</f>
        <v>2069.4</v>
      </c>
      <c r="J480" s="27">
        <f t="shared" si="43"/>
        <v>-0.10708417898907902</v>
      </c>
      <c r="K480" s="10">
        <f>MAX($C$2:C480)</f>
        <v>29.440999999999999</v>
      </c>
      <c r="L480" s="11">
        <f t="shared" si="44"/>
        <v>-0.2621514214870419</v>
      </c>
    </row>
    <row r="481" spans="1:12" x14ac:dyDescent="0.35">
      <c r="A481" s="5" t="s">
        <v>1200</v>
      </c>
      <c r="B481" s="22">
        <v>1865.4</v>
      </c>
      <c r="C481" s="10">
        <v>22.062999999999999</v>
      </c>
      <c r="D481" s="23">
        <f t="shared" si="45"/>
        <v>9.5248403506873781E-3</v>
      </c>
      <c r="E481" s="11">
        <f t="shared" si="46"/>
        <v>1.5651613497214927E-2</v>
      </c>
      <c r="F481" s="24">
        <f>(B481-$B$2)/$B$2</f>
        <v>0.22073162751128866</v>
      </c>
      <c r="G481" s="11">
        <f t="shared" si="47"/>
        <v>0.22259780560789091</v>
      </c>
      <c r="H481" s="25">
        <f t="shared" si="42"/>
        <v>84.548792095363282</v>
      </c>
      <c r="I481" s="26">
        <f>MAX($B$2:B481)</f>
        <v>2069.4</v>
      </c>
      <c r="J481" s="27">
        <f t="shared" si="43"/>
        <v>-9.857929834734705E-2</v>
      </c>
      <c r="K481" s="10">
        <f>MAX($C$2:C481)</f>
        <v>29.440999999999999</v>
      </c>
      <c r="L481" s="11">
        <f t="shared" si="44"/>
        <v>-0.25060290071668762</v>
      </c>
    </row>
    <row r="482" spans="1:12" x14ac:dyDescent="0.35">
      <c r="A482" s="5" t="s">
        <v>1202</v>
      </c>
      <c r="B482" s="22">
        <v>1846.3</v>
      </c>
      <c r="C482" s="10">
        <v>21.87</v>
      </c>
      <c r="D482" s="23">
        <f t="shared" si="45"/>
        <v>-1.0239090811622244E-2</v>
      </c>
      <c r="E482" s="11">
        <f t="shared" si="46"/>
        <v>-8.7476771064677449E-3</v>
      </c>
      <c r="F482" s="24">
        <f>(B482-$B$2)/$B$2</f>
        <v>0.20823244552058115</v>
      </c>
      <c r="G482" s="11">
        <f t="shared" si="47"/>
        <v>0.21190291477335707</v>
      </c>
      <c r="H482" s="25">
        <f t="shared" si="42"/>
        <v>84.421582075903061</v>
      </c>
      <c r="I482" s="26">
        <f>MAX($B$2:B482)</f>
        <v>2069.4</v>
      </c>
      <c r="J482" s="27">
        <f t="shared" si="43"/>
        <v>-0.10780902677104481</v>
      </c>
      <c r="K482" s="10">
        <f>MAX($C$2:C482)</f>
        <v>29.440999999999999</v>
      </c>
      <c r="L482" s="11">
        <f t="shared" si="44"/>
        <v>-0.25715838456574158</v>
      </c>
    </row>
    <row r="483" spans="1:12" x14ac:dyDescent="0.35">
      <c r="A483" s="5" t="s">
        <v>1204</v>
      </c>
      <c r="B483" s="22">
        <v>1847.6</v>
      </c>
      <c r="C483" s="10">
        <v>21.965</v>
      </c>
      <c r="D483" s="23">
        <f t="shared" si="45"/>
        <v>7.0411092455178168E-4</v>
      </c>
      <c r="E483" s="11">
        <f t="shared" si="46"/>
        <v>4.343850022862316E-3</v>
      </c>
      <c r="F483" s="24">
        <f>(B483-$B$2)/$B$2</f>
        <v>0.2090831751848701</v>
      </c>
      <c r="G483" s="11">
        <f t="shared" si="47"/>
        <v>0.21716723927740222</v>
      </c>
      <c r="H483" s="25">
        <f t="shared" si="42"/>
        <v>84.115638515820621</v>
      </c>
      <c r="I483" s="26">
        <f>MAX($B$2:B483)</f>
        <v>2069.4</v>
      </c>
      <c r="J483" s="27">
        <f t="shared" si="43"/>
        <v>-0.10718082536000781</v>
      </c>
      <c r="K483" s="10">
        <f>MAX($C$2:C483)</f>
        <v>29.440999999999999</v>
      </c>
      <c r="L483" s="11">
        <f t="shared" si="44"/>
        <v>-0.25393159199755438</v>
      </c>
    </row>
    <row r="484" spans="1:12" x14ac:dyDescent="0.35">
      <c r="A484" s="5" t="s">
        <v>1206</v>
      </c>
      <c r="B484" s="22">
        <v>1845.2</v>
      </c>
      <c r="C484" s="10">
        <v>21.736999999999998</v>
      </c>
      <c r="D484" s="23">
        <f t="shared" si="45"/>
        <v>-1.2989824637366658E-3</v>
      </c>
      <c r="E484" s="11">
        <f t="shared" si="46"/>
        <v>-1.0380150239016688E-2</v>
      </c>
      <c r="F484" s="24">
        <f>(B484-$B$2)/$B$2</f>
        <v>0.20751259734310593</v>
      </c>
      <c r="G484" s="11">
        <f t="shared" si="47"/>
        <v>0.20453286046769362</v>
      </c>
      <c r="H484" s="25">
        <f t="shared" si="42"/>
        <v>84.887518976859738</v>
      </c>
      <c r="I484" s="26">
        <f>MAX($B$2:B484)</f>
        <v>2069.4</v>
      </c>
      <c r="J484" s="27">
        <f t="shared" si="43"/>
        <v>-0.10834058181115301</v>
      </c>
      <c r="K484" s="10">
        <f>MAX($C$2:C484)</f>
        <v>29.440999999999999</v>
      </c>
      <c r="L484" s="11">
        <f t="shared" si="44"/>
        <v>-0.26167589416120379</v>
      </c>
    </row>
    <row r="485" spans="1:12" x14ac:dyDescent="0.35">
      <c r="A485" s="5" t="s">
        <v>1208</v>
      </c>
      <c r="B485" s="22">
        <v>1845.8</v>
      </c>
      <c r="C485" s="10">
        <v>21.962</v>
      </c>
      <c r="D485" s="23">
        <f t="shared" si="45"/>
        <v>3.251680034684094E-4</v>
      </c>
      <c r="E485" s="11">
        <f t="shared" si="46"/>
        <v>1.0351014399411208E-2</v>
      </c>
      <c r="F485" s="24">
        <f>(B485-$B$2)/$B$2</f>
        <v>0.20790524180354694</v>
      </c>
      <c r="G485" s="11">
        <f t="shared" si="47"/>
        <v>0.21700099745095869</v>
      </c>
      <c r="H485" s="25">
        <f t="shared" si="42"/>
        <v>84.045168928148613</v>
      </c>
      <c r="I485" s="26">
        <f>MAX($B$2:B485)</f>
        <v>2069.4</v>
      </c>
      <c r="J485" s="27">
        <f t="shared" si="43"/>
        <v>-0.10805064269836674</v>
      </c>
      <c r="K485" s="10">
        <f>MAX($C$2:C485)</f>
        <v>29.440999999999999</v>
      </c>
      <c r="L485" s="11">
        <f t="shared" si="44"/>
        <v>-0.25403349071023401</v>
      </c>
    </row>
    <row r="486" spans="1:12" x14ac:dyDescent="0.35">
      <c r="A486" s="5" t="s">
        <v>1210</v>
      </c>
      <c r="B486" s="22">
        <v>1868.4</v>
      </c>
      <c r="C486" s="10">
        <v>22.33</v>
      </c>
      <c r="D486" s="23">
        <f t="shared" si="45"/>
        <v>1.2244013435908623E-2</v>
      </c>
      <c r="E486" s="11">
        <f t="shared" si="46"/>
        <v>1.6756215280939738E-2</v>
      </c>
      <c r="F486" s="24">
        <f>(B486-$B$2)/$B$2</f>
        <v>0.22269484981349402</v>
      </c>
      <c r="G486" s="11">
        <f t="shared" si="47"/>
        <v>0.23739332816136535</v>
      </c>
      <c r="H486" s="25">
        <f t="shared" si="42"/>
        <v>83.672189879086446</v>
      </c>
      <c r="I486" s="26">
        <f>MAX($B$2:B486)</f>
        <v>2069.4</v>
      </c>
      <c r="J486" s="27">
        <f t="shared" si="43"/>
        <v>-9.7129602783415481E-2</v>
      </c>
      <c r="K486" s="10">
        <f>MAX($C$2:C486)</f>
        <v>29.440999999999999</v>
      </c>
      <c r="L486" s="11">
        <f t="shared" si="44"/>
        <v>-0.24153391528820356</v>
      </c>
    </row>
    <row r="487" spans="1:12" x14ac:dyDescent="0.35">
      <c r="A487" s="5" t="s">
        <v>1212</v>
      </c>
      <c r="B487" s="22">
        <v>1840.8</v>
      </c>
      <c r="C487" s="10">
        <v>22.146999999999998</v>
      </c>
      <c r="D487" s="23">
        <f t="shared" si="45"/>
        <v>-1.4771997430957041E-2</v>
      </c>
      <c r="E487" s="11">
        <f t="shared" si="46"/>
        <v>-8.1952530228392231E-3</v>
      </c>
      <c r="F487" s="24">
        <f>(B487-$B$2)/$B$2</f>
        <v>0.20463320463320467</v>
      </c>
      <c r="G487" s="11">
        <f t="shared" si="47"/>
        <v>0.22725257674830984</v>
      </c>
      <c r="H487" s="25">
        <f t="shared" si="42"/>
        <v>83.117352237323345</v>
      </c>
      <c r="I487" s="26">
        <f>MAX($B$2:B487)</f>
        <v>2069.4</v>
      </c>
      <c r="J487" s="27">
        <f t="shared" si="43"/>
        <v>-0.11046680197158602</v>
      </c>
      <c r="K487" s="10">
        <f>MAX($C$2:C487)</f>
        <v>29.440999999999999</v>
      </c>
      <c r="L487" s="11">
        <f t="shared" si="44"/>
        <v>-0.24774973676165893</v>
      </c>
    </row>
    <row r="488" spans="1:12" x14ac:dyDescent="0.35">
      <c r="A488" s="5" t="s">
        <v>1214</v>
      </c>
      <c r="B488" s="22">
        <v>1849.2</v>
      </c>
      <c r="C488" s="10">
        <v>22.233000000000001</v>
      </c>
      <c r="D488" s="23">
        <f t="shared" si="45"/>
        <v>4.5632333767927479E-3</v>
      </c>
      <c r="E488" s="11">
        <f t="shared" si="46"/>
        <v>3.8831444439428402E-3</v>
      </c>
      <c r="F488" s="24">
        <f>(B488-$B$2)/$B$2</f>
        <v>0.21013022707937973</v>
      </c>
      <c r="G488" s="11">
        <f t="shared" si="47"/>
        <v>0.23201817577302455</v>
      </c>
      <c r="H488" s="25">
        <f t="shared" si="42"/>
        <v>83.17366077452435</v>
      </c>
      <c r="I488" s="26">
        <f>MAX($B$2:B488)</f>
        <v>2069.4</v>
      </c>
      <c r="J488" s="27">
        <f t="shared" si="43"/>
        <v>-0.10640765439257757</v>
      </c>
      <c r="K488" s="10">
        <f>MAX($C$2:C488)</f>
        <v>29.440999999999999</v>
      </c>
      <c r="L488" s="11">
        <f t="shared" si="44"/>
        <v>-0.24482864033151044</v>
      </c>
    </row>
    <row r="489" spans="1:12" x14ac:dyDescent="0.35">
      <c r="A489" s="5" t="s">
        <v>1216</v>
      </c>
      <c r="B489" s="22">
        <v>1853.6</v>
      </c>
      <c r="C489" s="10">
        <v>22.148</v>
      </c>
      <c r="D489" s="23">
        <f t="shared" si="45"/>
        <v>2.3794073112696646E-3</v>
      </c>
      <c r="E489" s="11">
        <f t="shared" si="46"/>
        <v>-3.823145774299503E-3</v>
      </c>
      <c r="F489" s="24">
        <f>(B489-$B$2)/$B$2</f>
        <v>0.21300961978928082</v>
      </c>
      <c r="G489" s="11">
        <f t="shared" si="47"/>
        <v>0.22730799069045773</v>
      </c>
      <c r="H489" s="25">
        <f t="shared" si="42"/>
        <v>83.691529709228817</v>
      </c>
      <c r="I489" s="26">
        <f>MAX($B$2:B489)</f>
        <v>2069.4</v>
      </c>
      <c r="J489" s="27">
        <f t="shared" si="43"/>
        <v>-0.10428143423214467</v>
      </c>
      <c r="K489" s="10">
        <f>MAX($C$2:C489)</f>
        <v>29.440999999999999</v>
      </c>
      <c r="L489" s="11">
        <f t="shared" si="44"/>
        <v>-0.24771577052409902</v>
      </c>
    </row>
    <row r="490" spans="1:12" x14ac:dyDescent="0.35">
      <c r="A490" s="5" t="s">
        <v>1218</v>
      </c>
      <c r="B490" s="22">
        <v>1850.1</v>
      </c>
      <c r="C490" s="10">
        <v>21.864000000000001</v>
      </c>
      <c r="D490" s="23">
        <f t="shared" si="45"/>
        <v>-1.8882175226586104E-3</v>
      </c>
      <c r="E490" s="11">
        <f t="shared" si="46"/>
        <v>-1.2822828246342736E-2</v>
      </c>
      <c r="F490" s="24">
        <f>(B490-$B$2)/$B$2</f>
        <v>0.21071919377004125</v>
      </c>
      <c r="G490" s="11">
        <f t="shared" si="47"/>
        <v>0.21157043112047</v>
      </c>
      <c r="H490" s="25">
        <f t="shared" si="42"/>
        <v>84.618551042810097</v>
      </c>
      <c r="I490" s="26">
        <f>MAX($B$2:B490)</f>
        <v>2069.4</v>
      </c>
      <c r="J490" s="27">
        <f t="shared" si="43"/>
        <v>-0.10597274572339817</v>
      </c>
      <c r="K490" s="10">
        <f>MAX($C$2:C490)</f>
        <v>29.440999999999999</v>
      </c>
      <c r="L490" s="11">
        <f t="shared" si="44"/>
        <v>-0.25736218199110078</v>
      </c>
    </row>
    <row r="491" spans="1:12" x14ac:dyDescent="0.35">
      <c r="A491" s="5" t="s">
        <v>1220</v>
      </c>
      <c r="B491" s="22">
        <v>1829.2</v>
      </c>
      <c r="C491" s="10">
        <v>21.305</v>
      </c>
      <c r="D491" s="23">
        <f t="shared" si="45"/>
        <v>-1.1296686665585571E-2</v>
      </c>
      <c r="E491" s="11">
        <f t="shared" si="46"/>
        <v>-2.5567142334431074E-2</v>
      </c>
      <c r="F491" s="24">
        <f>(B491-$B$2)/$B$2</f>
        <v>0.19704207839801069</v>
      </c>
      <c r="G491" s="11">
        <f t="shared" si="47"/>
        <v>0.18059403745982491</v>
      </c>
      <c r="H491" s="25">
        <f t="shared" si="42"/>
        <v>85.857779863881717</v>
      </c>
      <c r="I491" s="26">
        <f>MAX($B$2:B491)</f>
        <v>2069.4</v>
      </c>
      <c r="J491" s="27">
        <f t="shared" si="43"/>
        <v>-0.11607229148545474</v>
      </c>
      <c r="K491" s="10">
        <f>MAX($C$2:C491)</f>
        <v>29.440999999999999</v>
      </c>
      <c r="L491" s="11">
        <f t="shared" si="44"/>
        <v>-0.27634930878706565</v>
      </c>
    </row>
    <row r="492" spans="1:12" x14ac:dyDescent="0.35">
      <c r="A492" s="5" t="s">
        <v>1222</v>
      </c>
      <c r="B492" s="22">
        <v>1810.5</v>
      </c>
      <c r="C492" s="10">
        <v>21</v>
      </c>
      <c r="D492" s="23">
        <f t="shared" si="45"/>
        <v>-1.0223048327137571E-2</v>
      </c>
      <c r="E492" s="11">
        <f t="shared" si="46"/>
        <v>-1.4315888289133993E-2</v>
      </c>
      <c r="F492" s="24">
        <f>(B492-$B$2)/$B$2</f>
        <v>0.18480465938093063</v>
      </c>
      <c r="G492" s="11">
        <f t="shared" si="47"/>
        <v>0.1636927851047324</v>
      </c>
      <c r="H492" s="25">
        <f t="shared" si="42"/>
        <v>86.214285714285708</v>
      </c>
      <c r="I492" s="26">
        <f>MAX($B$2:B492)</f>
        <v>2069.4</v>
      </c>
      <c r="J492" s="27">
        <f t="shared" si="43"/>
        <v>-0.1251087271672949</v>
      </c>
      <c r="K492" s="10">
        <f>MAX($C$2:C492)</f>
        <v>29.440999999999999</v>
      </c>
      <c r="L492" s="11">
        <f t="shared" si="44"/>
        <v>-0.28670901124282461</v>
      </c>
    </row>
    <row r="493" spans="1:12" x14ac:dyDescent="0.35">
      <c r="A493" s="5" t="s">
        <v>1224</v>
      </c>
      <c r="B493" s="22">
        <v>1816.3</v>
      </c>
      <c r="C493" s="10">
        <v>21.463000000000001</v>
      </c>
      <c r="D493" s="23">
        <f t="shared" si="45"/>
        <v>3.203534935100776E-3</v>
      </c>
      <c r="E493" s="11">
        <f t="shared" si="46"/>
        <v>2.2047619047619094E-2</v>
      </c>
      <c r="F493" s="24">
        <f>(B493-$B$2)/$B$2</f>
        <v>0.18860022249852762</v>
      </c>
      <c r="G493" s="11">
        <f t="shared" si="47"/>
        <v>0.18934944031918441</v>
      </c>
      <c r="H493" s="25">
        <f t="shared" si="42"/>
        <v>84.6247029772166</v>
      </c>
      <c r="I493" s="26">
        <f>MAX($B$2:B493)</f>
        <v>2069.4</v>
      </c>
      <c r="J493" s="27">
        <f t="shared" si="43"/>
        <v>-0.12230598241036054</v>
      </c>
      <c r="K493" s="10">
        <f>MAX($C$2:C493)</f>
        <v>29.440999999999999</v>
      </c>
      <c r="L493" s="11">
        <f t="shared" si="44"/>
        <v>-0.27098264325260685</v>
      </c>
    </row>
    <row r="494" spans="1:12" x14ac:dyDescent="0.35">
      <c r="A494" s="5" t="s">
        <v>1226</v>
      </c>
      <c r="B494" s="22">
        <v>1846.6</v>
      </c>
      <c r="C494" s="10">
        <v>21.928000000000001</v>
      </c>
      <c r="D494" s="23">
        <f t="shared" si="45"/>
        <v>1.6682266145460527E-2</v>
      </c>
      <c r="E494" s="11">
        <f t="shared" si="46"/>
        <v>2.1665191259376593E-2</v>
      </c>
      <c r="F494" s="24">
        <f>(B494-$B$2)/$B$2</f>
        <v>0.20842876775080166</v>
      </c>
      <c r="G494" s="11">
        <f t="shared" si="47"/>
        <v>0.21511692341793204</v>
      </c>
      <c r="H494" s="25">
        <f t="shared" si="42"/>
        <v>84.211966435607437</v>
      </c>
      <c r="I494" s="26">
        <f>MAX($B$2:B494)</f>
        <v>2069.4</v>
      </c>
      <c r="J494" s="27">
        <f t="shared" si="43"/>
        <v>-0.10766405721465168</v>
      </c>
      <c r="K494" s="10">
        <f>MAX($C$2:C494)</f>
        <v>29.440999999999999</v>
      </c>
      <c r="L494" s="11">
        <f t="shared" si="44"/>
        <v>-0.25518834278726937</v>
      </c>
    </row>
    <row r="495" spans="1:12" x14ac:dyDescent="0.35">
      <c r="A495" s="5" t="s">
        <v>1228</v>
      </c>
      <c r="B495" s="22">
        <v>1835.4</v>
      </c>
      <c r="C495" s="10">
        <v>21.812999999999999</v>
      </c>
      <c r="D495" s="23">
        <f t="shared" si="45"/>
        <v>-6.0652009097800384E-3</v>
      </c>
      <c r="E495" s="11">
        <f t="shared" si="46"/>
        <v>-5.2444363371033373E-3</v>
      </c>
      <c r="F495" s="24">
        <f>(B495-$B$2)/$B$2</f>
        <v>0.20109940448923513</v>
      </c>
      <c r="G495" s="11">
        <f t="shared" si="47"/>
        <v>0.20874432007092983</v>
      </c>
      <c r="H495" s="25">
        <f t="shared" si="42"/>
        <v>84.142483839911989</v>
      </c>
      <c r="I495" s="26">
        <f>MAX($B$2:B495)</f>
        <v>2069.4</v>
      </c>
      <c r="J495" s="27">
        <f t="shared" si="43"/>
        <v>-0.11307625398666279</v>
      </c>
      <c r="K495" s="10">
        <f>MAX($C$2:C495)</f>
        <v>29.440999999999999</v>
      </c>
      <c r="L495" s="11">
        <f t="shared" si="44"/>
        <v>-0.25909446010665399</v>
      </c>
    </row>
    <row r="496" spans="1:12" x14ac:dyDescent="0.35">
      <c r="A496" s="5" t="s">
        <v>1230</v>
      </c>
      <c r="B496" s="22">
        <v>1835.2</v>
      </c>
      <c r="C496" s="10">
        <v>21.465</v>
      </c>
      <c r="D496" s="23">
        <f t="shared" si="45"/>
        <v>-1.0896807235482481E-4</v>
      </c>
      <c r="E496" s="11">
        <f t="shared" si="46"/>
        <v>-1.5953789024893365E-2</v>
      </c>
      <c r="F496" s="24">
        <f>(B496-$B$2)/$B$2</f>
        <v>0.20096852300242141</v>
      </c>
      <c r="G496" s="11">
        <f t="shared" si="47"/>
        <v>0.18946026820348003</v>
      </c>
      <c r="H496" s="25">
        <f t="shared" si="42"/>
        <v>85.497321220591658</v>
      </c>
      <c r="I496" s="26">
        <f>MAX($B$2:B496)</f>
        <v>2069.4</v>
      </c>
      <c r="J496" s="27">
        <f t="shared" si="43"/>
        <v>-0.11317290035759159</v>
      </c>
      <c r="K496" s="10">
        <f>MAX($C$2:C496)</f>
        <v>29.440999999999999</v>
      </c>
      <c r="L496" s="11">
        <f t="shared" si="44"/>
        <v>-0.27091471077748713</v>
      </c>
    </row>
    <row r="497" spans="1:12" x14ac:dyDescent="0.35">
      <c r="A497" s="5" t="s">
        <v>1232</v>
      </c>
      <c r="B497" s="22">
        <v>1826.3</v>
      </c>
      <c r="C497" s="10">
        <v>21.056000000000001</v>
      </c>
      <c r="D497" s="23">
        <f t="shared" si="45"/>
        <v>-4.8496076721883672E-3</v>
      </c>
      <c r="E497" s="11">
        <f t="shared" si="46"/>
        <v>-1.90542744001863E-2</v>
      </c>
      <c r="F497" s="24">
        <f>(B497-$B$2)/$B$2</f>
        <v>0.19514429683921214</v>
      </c>
      <c r="G497" s="11">
        <f t="shared" si="47"/>
        <v>0.16679596586501172</v>
      </c>
      <c r="H497" s="25">
        <f t="shared" si="42"/>
        <v>86.735372340425528</v>
      </c>
      <c r="I497" s="26">
        <f>MAX($B$2:B497)</f>
        <v>2069.4</v>
      </c>
      <c r="J497" s="27">
        <f t="shared" si="43"/>
        <v>-0.11747366386392197</v>
      </c>
      <c r="K497" s="10">
        <f>MAX($C$2:C497)</f>
        <v>29.440999999999999</v>
      </c>
      <c r="L497" s="11">
        <f t="shared" si="44"/>
        <v>-0.28480690193947211</v>
      </c>
    </row>
    <row r="498" spans="1:12" x14ac:dyDescent="0.35">
      <c r="A498" s="5" t="s">
        <v>1234</v>
      </c>
      <c r="B498" s="22">
        <v>1821</v>
      </c>
      <c r="C498" s="10">
        <v>21.178000000000001</v>
      </c>
      <c r="D498" s="23">
        <f t="shared" si="45"/>
        <v>-2.9020423807698376E-3</v>
      </c>
      <c r="E498" s="11">
        <f t="shared" si="46"/>
        <v>5.7940729483282622E-3</v>
      </c>
      <c r="F498" s="24">
        <f>(B498-$B$2)/$B$2</f>
        <v>0.19167593743864939</v>
      </c>
      <c r="G498" s="11">
        <f t="shared" si="47"/>
        <v>0.17355646680704873</v>
      </c>
      <c r="H498" s="25">
        <f t="shared" si="42"/>
        <v>85.985456605911793</v>
      </c>
      <c r="I498" s="26">
        <f>MAX($B$2:B498)</f>
        <v>2069.4</v>
      </c>
      <c r="J498" s="27">
        <f t="shared" si="43"/>
        <v>-0.1200347926935344</v>
      </c>
      <c r="K498" s="10">
        <f>MAX($C$2:C498)</f>
        <v>29.440999999999999</v>
      </c>
      <c r="L498" s="11">
        <f t="shared" si="44"/>
        <v>-0.2806630209571685</v>
      </c>
    </row>
    <row r="499" spans="1:12" x14ac:dyDescent="0.35">
      <c r="A499" s="5" t="s">
        <v>1236</v>
      </c>
      <c r="B499" s="22">
        <v>1817.5</v>
      </c>
      <c r="C499" s="10">
        <v>20.838999999999999</v>
      </c>
      <c r="D499" s="23">
        <f t="shared" si="45"/>
        <v>-1.9220208676551346E-3</v>
      </c>
      <c r="E499" s="11">
        <f t="shared" si="46"/>
        <v>-1.6007177259420257E-2</v>
      </c>
      <c r="F499" s="24">
        <f>(B499-$B$2)/$B$2</f>
        <v>0.18938551141940979</v>
      </c>
      <c r="G499" s="11">
        <f t="shared" si="47"/>
        <v>0.15477114041892936</v>
      </c>
      <c r="H499" s="25">
        <f t="shared" si="42"/>
        <v>87.216277172609054</v>
      </c>
      <c r="I499" s="26">
        <f>MAX($B$2:B499)</f>
        <v>2069.4</v>
      </c>
      <c r="J499" s="27">
        <f t="shared" si="43"/>
        <v>-0.12172610418478789</v>
      </c>
      <c r="K499" s="10">
        <f>MAX($C$2:C499)</f>
        <v>29.440999999999999</v>
      </c>
      <c r="L499" s="11">
        <f t="shared" si="44"/>
        <v>-0.29217757548996298</v>
      </c>
    </row>
    <row r="500" spans="1:12" x14ac:dyDescent="0.35">
      <c r="A500" s="5" t="s">
        <v>1238</v>
      </c>
      <c r="B500" s="22">
        <v>1817.5</v>
      </c>
      <c r="C500" s="10">
        <v>20.738</v>
      </c>
      <c r="D500" s="23">
        <f t="shared" si="45"/>
        <v>0</v>
      </c>
      <c r="E500" s="11">
        <f t="shared" si="46"/>
        <v>-4.8466817025768555E-3</v>
      </c>
      <c r="F500" s="24">
        <f>(B500-$B$2)/$B$2</f>
        <v>0.18938551141940979</v>
      </c>
      <c r="G500" s="11">
        <f t="shared" si="47"/>
        <v>0.14917433226199714</v>
      </c>
      <c r="H500" s="25">
        <f t="shared" si="42"/>
        <v>87.64104542385958</v>
      </c>
      <c r="I500" s="26">
        <f>MAX($B$2:B500)</f>
        <v>2069.4</v>
      </c>
      <c r="J500" s="27">
        <f t="shared" si="43"/>
        <v>-0.12172610418478789</v>
      </c>
      <c r="K500" s="10">
        <f>MAX($C$2:C500)</f>
        <v>29.440999999999999</v>
      </c>
      <c r="L500" s="11">
        <f t="shared" si="44"/>
        <v>-0.29560816548350938</v>
      </c>
    </row>
    <row r="501" spans="1:12" x14ac:dyDescent="0.35">
      <c r="A501" s="5" t="s">
        <v>1240</v>
      </c>
      <c r="B501" s="22">
        <v>1807.3</v>
      </c>
      <c r="C501" s="10">
        <v>20.352</v>
      </c>
      <c r="D501" s="23">
        <f t="shared" si="45"/>
        <v>-5.612104539202226E-3</v>
      </c>
      <c r="E501" s="11">
        <f t="shared" si="46"/>
        <v>-1.8613173883691738E-2</v>
      </c>
      <c r="F501" s="24">
        <f>(B501-$B$2)/$B$2</f>
        <v>0.18271055559191157</v>
      </c>
      <c r="G501" s="11">
        <f t="shared" si="47"/>
        <v>0.12778455059292923</v>
      </c>
      <c r="H501" s="25">
        <f t="shared" si="42"/>
        <v>88.802083333333329</v>
      </c>
      <c r="I501" s="26">
        <f>MAX($B$2:B501)</f>
        <v>2069.4</v>
      </c>
      <c r="J501" s="27">
        <f t="shared" si="43"/>
        <v>-0.12665506910215527</v>
      </c>
      <c r="K501" s="10">
        <f>MAX($C$2:C501)</f>
        <v>29.440999999999999</v>
      </c>
      <c r="L501" s="11">
        <f t="shared" si="44"/>
        <v>-0.30871913318161742</v>
      </c>
    </row>
    <row r="502" spans="1:12" x14ac:dyDescent="0.35">
      <c r="A502" s="5" t="s">
        <v>1242</v>
      </c>
      <c r="B502" s="22">
        <v>1763.9</v>
      </c>
      <c r="C502" s="10">
        <v>19.120999999999999</v>
      </c>
      <c r="D502" s="23">
        <f t="shared" si="45"/>
        <v>-2.40137221269296E-2</v>
      </c>
      <c r="E502" s="11">
        <f t="shared" si="46"/>
        <v>-6.0485455974842846E-2</v>
      </c>
      <c r="F502" s="24">
        <f>(B502-$B$2)/$B$2</f>
        <v>0.15430927295334088</v>
      </c>
      <c r="G502" s="11">
        <f t="shared" si="47"/>
        <v>5.956998780893269E-2</v>
      </c>
      <c r="H502" s="25">
        <f t="shared" si="42"/>
        <v>92.249359343130607</v>
      </c>
      <c r="I502" s="26">
        <f>MAX($B$2:B502)</f>
        <v>2069.4</v>
      </c>
      <c r="J502" s="27">
        <f t="shared" si="43"/>
        <v>-0.14762733159369865</v>
      </c>
      <c r="K502" s="10">
        <f>MAX($C$2:C502)</f>
        <v>29.440999999999999</v>
      </c>
      <c r="L502" s="11">
        <f t="shared" si="44"/>
        <v>-0.3505315716178119</v>
      </c>
    </row>
    <row r="503" spans="1:12" x14ac:dyDescent="0.35">
      <c r="A503" s="5" t="s">
        <v>1244</v>
      </c>
      <c r="B503" s="22">
        <v>1736.5</v>
      </c>
      <c r="C503" s="10">
        <v>19.158999999999999</v>
      </c>
      <c r="D503" s="23">
        <f t="shared" si="45"/>
        <v>-1.5533760417257264E-2</v>
      </c>
      <c r="E503" s="11">
        <f t="shared" si="46"/>
        <v>1.9873437581716573E-3</v>
      </c>
      <c r="F503" s="24">
        <f>(B503-$B$2)/$B$2</f>
        <v>0.13637850925986525</v>
      </c>
      <c r="G503" s="11">
        <f t="shared" si="47"/>
        <v>6.1675717610550788E-2</v>
      </c>
      <c r="H503" s="25">
        <f t="shared" si="42"/>
        <v>90.636254501800721</v>
      </c>
      <c r="I503" s="26">
        <f>MAX($B$2:B503)</f>
        <v>2069.4</v>
      </c>
      <c r="J503" s="27">
        <f t="shared" si="43"/>
        <v>-0.16086788441094041</v>
      </c>
      <c r="K503" s="10">
        <f>MAX($C$2:C503)</f>
        <v>29.440999999999999</v>
      </c>
      <c r="L503" s="11">
        <f t="shared" si="44"/>
        <v>-0.349240854590537</v>
      </c>
    </row>
    <row r="504" spans="1:12" x14ac:dyDescent="0.35">
      <c r="A504" s="5" t="s">
        <v>1246</v>
      </c>
      <c r="B504" s="22">
        <v>1739.7</v>
      </c>
      <c r="C504" s="10">
        <v>19.187999999999999</v>
      </c>
      <c r="D504" s="23">
        <f t="shared" si="45"/>
        <v>1.8427872156637176E-3</v>
      </c>
      <c r="E504" s="11">
        <f t="shared" si="46"/>
        <v>1.5136489378359996E-3</v>
      </c>
      <c r="F504" s="24">
        <f>(B504-$B$2)/$B$2</f>
        <v>0.13847261304888434</v>
      </c>
      <c r="G504" s="11">
        <f t="shared" si="47"/>
        <v>6.3282721932838279E-2</v>
      </c>
      <c r="H504" s="25">
        <f t="shared" si="42"/>
        <v>90.666041275797383</v>
      </c>
      <c r="I504" s="26">
        <f>MAX($B$2:B504)</f>
        <v>2069.4</v>
      </c>
      <c r="J504" s="27">
        <f t="shared" si="43"/>
        <v>-0.15932154247608005</v>
      </c>
      <c r="K504" s="10">
        <f>MAX($C$2:C504)</f>
        <v>29.440999999999999</v>
      </c>
      <c r="L504" s="11">
        <f t="shared" si="44"/>
        <v>-0.34825583370130092</v>
      </c>
    </row>
    <row r="505" spans="1:12" x14ac:dyDescent="0.35">
      <c r="A505" s="5" t="s">
        <v>1248</v>
      </c>
      <c r="B505" s="22">
        <v>1731.7</v>
      </c>
      <c r="C505" s="10">
        <v>19.132000000000001</v>
      </c>
      <c r="D505" s="23">
        <f t="shared" si="45"/>
        <v>-4.5984939932172215E-3</v>
      </c>
      <c r="E505" s="11">
        <f t="shared" si="46"/>
        <v>-2.918490723368636E-3</v>
      </c>
      <c r="F505" s="24">
        <f>(B505-$B$2)/$B$2</f>
        <v>0.13323735357633673</v>
      </c>
      <c r="G505" s="11">
        <f t="shared" si="47"/>
        <v>6.017954117255913E-2</v>
      </c>
      <c r="H505" s="25">
        <f t="shared" si="42"/>
        <v>90.513276186493826</v>
      </c>
      <c r="I505" s="26">
        <f>MAX($B$2:B505)</f>
        <v>2069.4</v>
      </c>
      <c r="J505" s="27">
        <f t="shared" si="43"/>
        <v>-0.1631873973132309</v>
      </c>
      <c r="K505" s="10">
        <f>MAX($C$2:C505)</f>
        <v>29.440999999999999</v>
      </c>
      <c r="L505" s="11">
        <f t="shared" si="44"/>
        <v>-0.3501579430046533</v>
      </c>
    </row>
    <row r="506" spans="1:12" x14ac:dyDescent="0.35">
      <c r="A506" s="5" t="s">
        <v>1250</v>
      </c>
      <c r="B506" s="22">
        <v>1724.8</v>
      </c>
      <c r="C506" s="10">
        <v>18.957999999999998</v>
      </c>
      <c r="D506" s="23">
        <f t="shared" si="45"/>
        <v>-3.9845238782699605E-3</v>
      </c>
      <c r="E506" s="11">
        <f t="shared" si="46"/>
        <v>-9.0947104327829299E-3</v>
      </c>
      <c r="F506" s="24">
        <f>(B506-$B$2)/$B$2</f>
        <v>0.12872194228126435</v>
      </c>
      <c r="G506" s="11">
        <f t="shared" si="47"/>
        <v>5.0537515238834041E-2</v>
      </c>
      <c r="H506" s="25">
        <f t="shared" si="42"/>
        <v>90.980061187889021</v>
      </c>
      <c r="I506" s="26">
        <f>MAX($B$2:B506)</f>
        <v>2069.4</v>
      </c>
      <c r="J506" s="27">
        <f t="shared" si="43"/>
        <v>-0.16652169711027356</v>
      </c>
      <c r="K506" s="10">
        <f>MAX($C$2:C506)</f>
        <v>29.440999999999999</v>
      </c>
      <c r="L506" s="11">
        <f t="shared" si="44"/>
        <v>-0.35606806834006999</v>
      </c>
    </row>
    <row r="507" spans="1:12" x14ac:dyDescent="0.35">
      <c r="A507" s="5" t="s">
        <v>1252</v>
      </c>
      <c r="B507" s="22">
        <v>1735.5</v>
      </c>
      <c r="C507" s="10">
        <v>19.193999999999999</v>
      </c>
      <c r="D507" s="23">
        <f t="shared" si="45"/>
        <v>6.2036178107606945E-3</v>
      </c>
      <c r="E507" s="11">
        <f t="shared" si="46"/>
        <v>1.2448570524316947E-2</v>
      </c>
      <c r="F507" s="24">
        <f>(B507-$B$2)/$B$2</f>
        <v>0.13572410182579681</v>
      </c>
      <c r="G507" s="11">
        <f t="shared" si="47"/>
        <v>6.3615205585725351E-2</v>
      </c>
      <c r="H507" s="25">
        <f t="shared" si="42"/>
        <v>90.418880900281337</v>
      </c>
      <c r="I507" s="26">
        <f>MAX($B$2:B507)</f>
        <v>2069.4</v>
      </c>
      <c r="J507" s="27">
        <f t="shared" si="43"/>
        <v>-0.16135111626558427</v>
      </c>
      <c r="K507" s="10">
        <f>MAX($C$2:C507)</f>
        <v>29.440999999999999</v>
      </c>
      <c r="L507" s="11">
        <f t="shared" si="44"/>
        <v>-0.34805203627594172</v>
      </c>
    </row>
    <row r="508" spans="1:12" x14ac:dyDescent="0.35">
      <c r="A508" s="5" t="s">
        <v>1254</v>
      </c>
      <c r="B508" s="22">
        <v>1705.8</v>
      </c>
      <c r="C508" s="10">
        <v>18.225000000000001</v>
      </c>
      <c r="D508" s="23">
        <f t="shared" si="45"/>
        <v>-1.7113223854796914E-2</v>
      </c>
      <c r="E508" s="11">
        <f t="shared" si="46"/>
        <v>-5.0484526414504412E-2</v>
      </c>
      <c r="F508" s="24">
        <f>(B508-$B$2)/$B$2</f>
        <v>0.11628820103396378</v>
      </c>
      <c r="G508" s="11">
        <f t="shared" si="47"/>
        <v>9.9190956444642608E-3</v>
      </c>
      <c r="H508" s="25">
        <f t="shared" si="42"/>
        <v>93.596707818930028</v>
      </c>
      <c r="I508" s="26">
        <f>MAX($B$2:B508)</f>
        <v>2069.4</v>
      </c>
      <c r="J508" s="27">
        <f t="shared" si="43"/>
        <v>-0.17570310234850686</v>
      </c>
      <c r="K508" s="10">
        <f>MAX($C$2:C508)</f>
        <v>29.440999999999999</v>
      </c>
      <c r="L508" s="11">
        <f t="shared" si="44"/>
        <v>-0.38096532047145132</v>
      </c>
    </row>
    <row r="509" spans="1:12" x14ac:dyDescent="0.35">
      <c r="A509" s="5" t="s">
        <v>1256</v>
      </c>
      <c r="B509" s="22">
        <v>1710.2</v>
      </c>
      <c r="C509" s="10">
        <v>18.84</v>
      </c>
      <c r="D509" s="23">
        <f t="shared" si="45"/>
        <v>2.5794348692696045E-3</v>
      </c>
      <c r="E509" s="11">
        <f t="shared" si="46"/>
        <v>3.3744855967078102E-2</v>
      </c>
      <c r="F509" s="24">
        <f>(B509-$B$2)/$B$2</f>
        <v>0.11916759374386503</v>
      </c>
      <c r="G509" s="11">
        <f t="shared" si="47"/>
        <v>4.3998670065388483E-2</v>
      </c>
      <c r="H509" s="25">
        <f t="shared" si="42"/>
        <v>90.774946921443743</v>
      </c>
      <c r="I509" s="26">
        <f>MAX($B$2:B509)</f>
        <v>2069.4</v>
      </c>
      <c r="J509" s="27">
        <f t="shared" si="43"/>
        <v>-0.17357688218807385</v>
      </c>
      <c r="K509" s="10">
        <f>MAX($C$2:C509)</f>
        <v>29.440999999999999</v>
      </c>
      <c r="L509" s="11">
        <f t="shared" si="44"/>
        <v>-0.36007608437213406</v>
      </c>
    </row>
    <row r="510" spans="1:12" x14ac:dyDescent="0.35">
      <c r="A510" s="5" t="s">
        <v>1258</v>
      </c>
      <c r="B510" s="22">
        <v>1710.7</v>
      </c>
      <c r="C510" s="10">
        <v>18.713000000000001</v>
      </c>
      <c r="D510" s="23">
        <f t="shared" si="45"/>
        <v>2.9236346626125597E-4</v>
      </c>
      <c r="E510" s="11">
        <f t="shared" si="46"/>
        <v>-6.7409766454351854E-3</v>
      </c>
      <c r="F510" s="24">
        <f>(B510-$B$2)/$B$2</f>
        <v>0.11949479746089925</v>
      </c>
      <c r="G510" s="11">
        <f t="shared" si="47"/>
        <v>3.6961099412612303E-2</v>
      </c>
      <c r="H510" s="25">
        <f t="shared" si="42"/>
        <v>91.41773098915192</v>
      </c>
      <c r="I510" s="26">
        <f>MAX($B$2:B510)</f>
        <v>2069.4</v>
      </c>
      <c r="J510" s="27">
        <f t="shared" si="43"/>
        <v>-0.17333526626075194</v>
      </c>
      <c r="K510" s="10">
        <f>MAX($C$2:C510)</f>
        <v>29.440999999999999</v>
      </c>
      <c r="L510" s="11">
        <f t="shared" si="44"/>
        <v>-0.36438979654223697</v>
      </c>
    </row>
    <row r="511" spans="1:12" x14ac:dyDescent="0.35">
      <c r="A511" s="5" t="s">
        <v>1260</v>
      </c>
      <c r="B511" s="22">
        <v>1700.2</v>
      </c>
      <c r="C511" s="10">
        <v>18.667999999999999</v>
      </c>
      <c r="D511" s="23">
        <f t="shared" si="45"/>
        <v>-6.1378383118021861E-3</v>
      </c>
      <c r="E511" s="11">
        <f t="shared" si="46"/>
        <v>-2.4047453641854169E-3</v>
      </c>
      <c r="F511" s="24">
        <f>(B511-$B$2)/$B$2</f>
        <v>0.11262351940318052</v>
      </c>
      <c r="G511" s="11">
        <f t="shared" si="47"/>
        <v>3.4467472015959212E-2</v>
      </c>
      <c r="H511" s="25">
        <f t="shared" si="42"/>
        <v>91.07563745446754</v>
      </c>
      <c r="I511" s="26">
        <f>MAX($B$2:B511)</f>
        <v>2069.4</v>
      </c>
      <c r="J511" s="27">
        <f t="shared" si="43"/>
        <v>-0.17840920073451244</v>
      </c>
      <c r="K511" s="10">
        <f>MAX($C$2:C511)</f>
        <v>29.440999999999999</v>
      </c>
      <c r="L511" s="11">
        <f t="shared" si="44"/>
        <v>-0.36591827723243098</v>
      </c>
    </row>
    <row r="512" spans="1:12" x14ac:dyDescent="0.35">
      <c r="A512" s="5" t="s">
        <v>1262</v>
      </c>
      <c r="B512" s="22">
        <v>1713.4</v>
      </c>
      <c r="C512" s="10">
        <v>18.719000000000001</v>
      </c>
      <c r="D512" s="23">
        <f t="shared" si="45"/>
        <v>7.7637924950006145E-3</v>
      </c>
      <c r="E512" s="11">
        <f t="shared" si="46"/>
        <v>2.731947718020245E-3</v>
      </c>
      <c r="F512" s="24">
        <f>(B512-$B$2)/$B$2</f>
        <v>0.1212616975328841</v>
      </c>
      <c r="G512" s="11">
        <f t="shared" si="47"/>
        <v>3.7293583065499382E-2</v>
      </c>
      <c r="H512" s="25">
        <f t="shared" si="42"/>
        <v>91.532667343340989</v>
      </c>
      <c r="I512" s="26">
        <f>MAX($B$2:B512)</f>
        <v>2069.4</v>
      </c>
      <c r="J512" s="27">
        <f t="shared" si="43"/>
        <v>-0.17203054025321349</v>
      </c>
      <c r="K512" s="10">
        <f>MAX($C$2:C512)</f>
        <v>29.440999999999999</v>
      </c>
      <c r="L512" s="11">
        <f t="shared" si="44"/>
        <v>-0.36418599911687777</v>
      </c>
    </row>
    <row r="513" spans="1:12" x14ac:dyDescent="0.35">
      <c r="A513" s="5" t="s">
        <v>1264</v>
      </c>
      <c r="B513" s="22">
        <v>1719.1</v>
      </c>
      <c r="C513" s="10">
        <v>18.327999999999999</v>
      </c>
      <c r="D513" s="23">
        <f t="shared" si="45"/>
        <v>3.3267188047156637E-3</v>
      </c>
      <c r="E513" s="11">
        <f t="shared" si="46"/>
        <v>-2.0887867941663644E-2</v>
      </c>
      <c r="F513" s="24">
        <f>(B513-$B$2)/$B$2</f>
        <v>0.12499181990707416</v>
      </c>
      <c r="G513" s="11">
        <f t="shared" si="47"/>
        <v>1.5626731685692122E-2</v>
      </c>
      <c r="H513" s="25">
        <f t="shared" si="42"/>
        <v>93.796377127891745</v>
      </c>
      <c r="I513" s="26">
        <f>MAX($B$2:B513)</f>
        <v>2069.4</v>
      </c>
      <c r="J513" s="27">
        <f t="shared" si="43"/>
        <v>-0.16927611868174358</v>
      </c>
      <c r="K513" s="10">
        <f>MAX($C$2:C513)</f>
        <v>29.440999999999999</v>
      </c>
      <c r="L513" s="11">
        <f t="shared" si="44"/>
        <v>-0.37746679800278521</v>
      </c>
    </row>
    <row r="514" spans="1:12" x14ac:dyDescent="0.35">
      <c r="A514" s="5" t="s">
        <v>1266</v>
      </c>
      <c r="B514" s="22">
        <v>1717.7</v>
      </c>
      <c r="C514" s="10">
        <v>18.535</v>
      </c>
      <c r="D514" s="23">
        <f t="shared" si="45"/>
        <v>-8.1437961724150059E-4</v>
      </c>
      <c r="E514" s="11">
        <f t="shared" si="46"/>
        <v>1.1294194674814533E-2</v>
      </c>
      <c r="F514" s="24">
        <f>(B514-$B$2)/$B$2</f>
        <v>0.12407564949937841</v>
      </c>
      <c r="G514" s="11">
        <f t="shared" si="47"/>
        <v>2.7097417710295953E-2</v>
      </c>
      <c r="H514" s="25">
        <f t="shared" si="42"/>
        <v>92.673320744537364</v>
      </c>
      <c r="I514" s="26">
        <f>MAX($B$2:B514)</f>
        <v>2069.4</v>
      </c>
      <c r="J514" s="27">
        <f t="shared" si="43"/>
        <v>-0.16995264327824491</v>
      </c>
      <c r="K514" s="10">
        <f>MAX($C$2:C514)</f>
        <v>29.440999999999999</v>
      </c>
      <c r="L514" s="11">
        <f t="shared" si="44"/>
        <v>-0.37043578682789302</v>
      </c>
    </row>
    <row r="515" spans="1:12" x14ac:dyDescent="0.35">
      <c r="A515" s="5" t="s">
        <v>1268</v>
      </c>
      <c r="B515" s="22">
        <v>1719.1</v>
      </c>
      <c r="C515" s="10">
        <v>18.600000000000001</v>
      </c>
      <c r="D515" s="23">
        <f t="shared" si="45"/>
        <v>8.1504337195078505E-4</v>
      </c>
      <c r="E515" s="11">
        <f t="shared" si="46"/>
        <v>3.5068788777988281E-3</v>
      </c>
      <c r="F515" s="24">
        <f>(B515-$B$2)/$B$2</f>
        <v>0.12499181990707416</v>
      </c>
      <c r="G515" s="11">
        <f t="shared" si="47"/>
        <v>3.0699323949905911E-2</v>
      </c>
      <c r="H515" s="25">
        <f t="shared" ref="H515:H578" si="48">B515/C515</f>
        <v>92.424731182795682</v>
      </c>
      <c r="I515" s="26">
        <f>MAX($B$2:B515)</f>
        <v>2069.4</v>
      </c>
      <c r="J515" s="27">
        <f t="shared" ref="J515:J578" si="49">(B515-I515)/I515</f>
        <v>-0.16927611868174358</v>
      </c>
      <c r="K515" s="10">
        <f>MAX($C$2:C515)</f>
        <v>29.440999999999999</v>
      </c>
      <c r="L515" s="11">
        <f t="shared" ref="L515:L578" si="50">(C515-K515)/K515</f>
        <v>-0.36822798138650176</v>
      </c>
    </row>
    <row r="516" spans="1:12" x14ac:dyDescent="0.35">
      <c r="A516" s="5" t="s">
        <v>1270</v>
      </c>
      <c r="B516" s="22">
        <v>1754.4</v>
      </c>
      <c r="C516" s="10">
        <v>19.917999999999999</v>
      </c>
      <c r="D516" s="23">
        <f t="shared" ref="D516:D579" si="51">(B516-B515)/B515</f>
        <v>2.0534000349019942E-2</v>
      </c>
      <c r="E516" s="11">
        <f t="shared" ref="E516:E579" si="52">(C516-C515)/C515</f>
        <v>7.0860215053763317E-2</v>
      </c>
      <c r="F516" s="24">
        <f>(B516-$B$2)/$B$2</f>
        <v>0.14809240232969059</v>
      </c>
      <c r="G516" s="11">
        <f t="shared" ref="G516:G579" si="53">(C516-$C$2)/$C$2</f>
        <v>0.10373489970076472</v>
      </c>
      <c r="H516" s="25">
        <f t="shared" si="48"/>
        <v>88.081132643839751</v>
      </c>
      <c r="I516" s="26">
        <f>MAX($B$2:B516)</f>
        <v>2069.4</v>
      </c>
      <c r="J516" s="27">
        <f t="shared" si="49"/>
        <v>-0.1522180342128153</v>
      </c>
      <c r="K516" s="10">
        <f>MAX($C$2:C516)</f>
        <v>29.440999999999999</v>
      </c>
      <c r="L516" s="11">
        <f t="shared" si="50"/>
        <v>-0.32346048028259911</v>
      </c>
    </row>
    <row r="517" spans="1:12" x14ac:dyDescent="0.35">
      <c r="A517" s="5" t="s">
        <v>1272</v>
      </c>
      <c r="B517" s="22">
        <v>1772.7</v>
      </c>
      <c r="C517" s="10">
        <v>20.411999999999999</v>
      </c>
      <c r="D517" s="23">
        <f t="shared" si="51"/>
        <v>1.0430916552667552E-2</v>
      </c>
      <c r="E517" s="11">
        <f t="shared" si="52"/>
        <v>2.4801686916357053E-2</v>
      </c>
      <c r="F517" s="24">
        <f>(B517-$B$2)/$B$2</f>
        <v>0.16006805837314322</v>
      </c>
      <c r="G517" s="11">
        <f t="shared" si="53"/>
        <v>0.13110938712179984</v>
      </c>
      <c r="H517" s="25">
        <f t="shared" si="48"/>
        <v>86.845972957084072</v>
      </c>
      <c r="I517" s="26">
        <f>MAX($B$2:B517)</f>
        <v>2069.4</v>
      </c>
      <c r="J517" s="27">
        <f t="shared" si="49"/>
        <v>-0.14337489127283273</v>
      </c>
      <c r="K517" s="10">
        <f>MAX($C$2:C517)</f>
        <v>29.440999999999999</v>
      </c>
      <c r="L517" s="11">
        <f t="shared" si="50"/>
        <v>-0.30668115892802555</v>
      </c>
    </row>
    <row r="518" spans="1:12" x14ac:dyDescent="0.35">
      <c r="A518" s="5" t="s">
        <v>1274</v>
      </c>
      <c r="B518" s="22">
        <v>1774.8</v>
      </c>
      <c r="C518" s="10">
        <v>20.189</v>
      </c>
      <c r="D518" s="23">
        <f t="shared" si="51"/>
        <v>1.1846336097477909E-3</v>
      </c>
      <c r="E518" s="11">
        <f t="shared" si="52"/>
        <v>-1.0924946110131246E-2</v>
      </c>
      <c r="F518" s="24">
        <f>(B518-$B$2)/$B$2</f>
        <v>0.16144231398468689</v>
      </c>
      <c r="G518" s="11">
        <f t="shared" si="53"/>
        <v>0.11875207802283058</v>
      </c>
      <c r="H518" s="25">
        <f t="shared" si="48"/>
        <v>87.909257516469367</v>
      </c>
      <c r="I518" s="26">
        <f>MAX($B$2:B518)</f>
        <v>2069.4</v>
      </c>
      <c r="J518" s="27">
        <f t="shared" si="49"/>
        <v>-0.14236010437808067</v>
      </c>
      <c r="K518" s="10">
        <f>MAX($C$2:C518)</f>
        <v>29.440999999999999</v>
      </c>
      <c r="L518" s="11">
        <f t="shared" si="50"/>
        <v>-0.31425562990387551</v>
      </c>
    </row>
    <row r="519" spans="1:12" x14ac:dyDescent="0.35">
      <c r="A519" s="5" t="s">
        <v>1276</v>
      </c>
      <c r="B519" s="22">
        <v>1760.9</v>
      </c>
      <c r="C519" s="10">
        <v>19.946999999999999</v>
      </c>
      <c r="D519" s="23">
        <f t="shared" si="51"/>
        <v>-7.8318683795356465E-3</v>
      </c>
      <c r="E519" s="11">
        <f t="shared" si="52"/>
        <v>-1.1986725444549056E-2</v>
      </c>
      <c r="F519" s="24">
        <f>(B519-$B$2)/$B$2</f>
        <v>0.15234605065113552</v>
      </c>
      <c r="G519" s="11">
        <f t="shared" si="53"/>
        <v>0.1053419040230522</v>
      </c>
      <c r="H519" s="25">
        <f t="shared" si="48"/>
        <v>88.278939188850458</v>
      </c>
      <c r="I519" s="26">
        <f>MAX($B$2:B519)</f>
        <v>2069.4</v>
      </c>
      <c r="J519" s="27">
        <f t="shared" si="49"/>
        <v>-0.14907702715763022</v>
      </c>
      <c r="K519" s="10">
        <f>MAX($C$2:C519)</f>
        <v>29.440999999999999</v>
      </c>
      <c r="L519" s="11">
        <f t="shared" si="50"/>
        <v>-0.32247545939336303</v>
      </c>
    </row>
    <row r="520" spans="1:12" x14ac:dyDescent="0.35">
      <c r="A520" s="5" t="s">
        <v>1278</v>
      </c>
      <c r="B520" s="22">
        <v>1791.2</v>
      </c>
      <c r="C520" s="10">
        <v>20.172999999999998</v>
      </c>
      <c r="D520" s="23">
        <f t="shared" si="51"/>
        <v>1.7207110000567866E-2</v>
      </c>
      <c r="E520" s="11">
        <f t="shared" si="52"/>
        <v>1.1330024565097463E-2</v>
      </c>
      <c r="F520" s="24">
        <f>(B520-$B$2)/$B$2</f>
        <v>0.17217459590340956</v>
      </c>
      <c r="G520" s="11">
        <f t="shared" si="53"/>
        <v>0.11786545494846498</v>
      </c>
      <c r="H520" s="25">
        <f t="shared" si="48"/>
        <v>88.791949635651619</v>
      </c>
      <c r="I520" s="26">
        <f>MAX($B$2:B520)</f>
        <v>2069.4</v>
      </c>
      <c r="J520" s="27">
        <f t="shared" si="49"/>
        <v>-0.13443510196192135</v>
      </c>
      <c r="K520" s="10">
        <f>MAX($C$2:C520)</f>
        <v>29.440999999999999</v>
      </c>
      <c r="L520" s="11">
        <f t="shared" si="50"/>
        <v>-0.31479908970483345</v>
      </c>
    </row>
    <row r="521" spans="1:12" x14ac:dyDescent="0.35">
      <c r="A521" s="5" t="s">
        <v>1280</v>
      </c>
      <c r="B521" s="22">
        <v>1789.6</v>
      </c>
      <c r="C521" s="10">
        <v>20.664000000000001</v>
      </c>
      <c r="D521" s="23">
        <f t="shared" si="51"/>
        <v>-8.9325591782053173E-4</v>
      </c>
      <c r="E521" s="11">
        <f t="shared" si="52"/>
        <v>2.4339463639518329E-2</v>
      </c>
      <c r="F521" s="24">
        <f>(B521-$B$2)/$B$2</f>
        <v>0.17112754400889996</v>
      </c>
      <c r="G521" s="11">
        <f t="shared" si="53"/>
        <v>0.14507370054305677</v>
      </c>
      <c r="H521" s="25">
        <f t="shared" si="48"/>
        <v>86.604723190089032</v>
      </c>
      <c r="I521" s="26">
        <f>MAX($B$2:B521)</f>
        <v>2069.4</v>
      </c>
      <c r="J521" s="27">
        <f t="shared" si="49"/>
        <v>-0.13520827292935159</v>
      </c>
      <c r="K521" s="10">
        <f>MAX($C$2:C521)</f>
        <v>29.440999999999999</v>
      </c>
      <c r="L521" s="11">
        <f t="shared" si="50"/>
        <v>-0.29812166706293936</v>
      </c>
    </row>
    <row r="522" spans="1:12" x14ac:dyDescent="0.35">
      <c r="A522" s="5" t="s">
        <v>1282</v>
      </c>
      <c r="B522" s="22">
        <v>1796.8</v>
      </c>
      <c r="C522" s="10">
        <v>20.530999999999999</v>
      </c>
      <c r="D522" s="23">
        <f t="shared" si="51"/>
        <v>4.0232454179705219E-3</v>
      </c>
      <c r="E522" s="11">
        <f t="shared" si="52"/>
        <v>-6.4363143631437601E-3</v>
      </c>
      <c r="F522" s="24">
        <f>(B522-$B$2)/$B$2</f>
        <v>0.17583927753419282</v>
      </c>
      <c r="G522" s="11">
        <f t="shared" si="53"/>
        <v>0.13770364623739331</v>
      </c>
      <c r="H522" s="25">
        <f t="shared" si="48"/>
        <v>87.516438556329462</v>
      </c>
      <c r="I522" s="26">
        <f>MAX($B$2:B522)</f>
        <v>2069.4</v>
      </c>
      <c r="J522" s="27">
        <f t="shared" si="49"/>
        <v>-0.13172900357591577</v>
      </c>
      <c r="K522" s="10">
        <f>MAX($C$2:C522)</f>
        <v>29.440999999999999</v>
      </c>
      <c r="L522" s="11">
        <f t="shared" si="50"/>
        <v>-0.30263917665840157</v>
      </c>
    </row>
    <row r="523" spans="1:12" x14ac:dyDescent="0.35">
      <c r="A523" s="5" t="s">
        <v>1284</v>
      </c>
      <c r="B523" s="22">
        <v>1798.5</v>
      </c>
      <c r="C523" s="10">
        <v>20.79</v>
      </c>
      <c r="D523" s="23">
        <f t="shared" si="51"/>
        <v>9.4612644701694434E-4</v>
      </c>
      <c r="E523" s="11">
        <f t="shared" si="52"/>
        <v>1.2615069894306188E-2</v>
      </c>
      <c r="F523" s="24">
        <f>(B523-$B$2)/$B$2</f>
        <v>0.17695177017210922</v>
      </c>
      <c r="G523" s="11">
        <f t="shared" si="53"/>
        <v>0.15205585725368501</v>
      </c>
      <c r="H523" s="25">
        <f t="shared" si="48"/>
        <v>86.507936507936506</v>
      </c>
      <c r="I523" s="26">
        <f>MAX($B$2:B523)</f>
        <v>2069.4</v>
      </c>
      <c r="J523" s="27">
        <f t="shared" si="49"/>
        <v>-0.13090750942302121</v>
      </c>
      <c r="K523" s="10">
        <f>MAX($C$2:C523)</f>
        <v>29.440999999999999</v>
      </c>
      <c r="L523" s="11">
        <f t="shared" si="50"/>
        <v>-0.29384192113039637</v>
      </c>
    </row>
    <row r="524" spans="1:12" x14ac:dyDescent="0.35">
      <c r="A524" s="5" t="s">
        <v>1286</v>
      </c>
      <c r="B524" s="22">
        <v>1792.1</v>
      </c>
      <c r="C524" s="10">
        <v>20.393999999999998</v>
      </c>
      <c r="D524" s="23">
        <f t="shared" si="51"/>
        <v>-3.5585209897137007E-3</v>
      </c>
      <c r="E524" s="11">
        <f t="shared" si="52"/>
        <v>-1.9047619047619088E-2</v>
      </c>
      <c r="F524" s="24">
        <f>(B524-$B$2)/$B$2</f>
        <v>0.17276356259407108</v>
      </c>
      <c r="G524" s="11">
        <f t="shared" si="53"/>
        <v>0.1301119361631386</v>
      </c>
      <c r="H524" s="25">
        <f t="shared" si="48"/>
        <v>87.87388447582623</v>
      </c>
      <c r="I524" s="26">
        <f>MAX($B$2:B524)</f>
        <v>2069.4</v>
      </c>
      <c r="J524" s="27">
        <f t="shared" si="49"/>
        <v>-0.13400019329274193</v>
      </c>
      <c r="K524" s="10">
        <f>MAX($C$2:C524)</f>
        <v>29.440999999999999</v>
      </c>
      <c r="L524" s="11">
        <f t="shared" si="50"/>
        <v>-0.30729255120410315</v>
      </c>
    </row>
    <row r="525" spans="1:12" x14ac:dyDescent="0.35">
      <c r="A525" s="5" t="s">
        <v>1288</v>
      </c>
      <c r="B525" s="22">
        <v>1783.3</v>
      </c>
      <c r="C525" s="10">
        <v>20.317</v>
      </c>
      <c r="D525" s="23">
        <f t="shared" si="51"/>
        <v>-4.9104402656101531E-3</v>
      </c>
      <c r="E525" s="11">
        <f t="shared" si="52"/>
        <v>-3.7756202804745606E-3</v>
      </c>
      <c r="F525" s="24">
        <f>(B525-$B$2)/$B$2</f>
        <v>0.16700477717426873</v>
      </c>
      <c r="G525" s="11">
        <f t="shared" si="53"/>
        <v>0.12584506261775469</v>
      </c>
      <c r="H525" s="25">
        <f t="shared" si="48"/>
        <v>87.773785499827724</v>
      </c>
      <c r="I525" s="26">
        <f>MAX($B$2:B525)</f>
        <v>2069.4</v>
      </c>
      <c r="J525" s="27">
        <f t="shared" si="49"/>
        <v>-0.13825263361360787</v>
      </c>
      <c r="K525" s="10">
        <f>MAX($C$2:C525)</f>
        <v>29.440999999999999</v>
      </c>
      <c r="L525" s="11">
        <f t="shared" si="50"/>
        <v>-0.30990795149621275</v>
      </c>
    </row>
    <row r="526" spans="1:12" x14ac:dyDescent="0.35">
      <c r="A526" s="5" t="s">
        <v>1290</v>
      </c>
      <c r="B526" s="22">
        <v>1774.9</v>
      </c>
      <c r="C526" s="10">
        <v>20.128</v>
      </c>
      <c r="D526" s="23">
        <f t="shared" si="51"/>
        <v>-4.7103684181011964E-3</v>
      </c>
      <c r="E526" s="11">
        <f t="shared" si="52"/>
        <v>-9.3025545110006422E-3</v>
      </c>
      <c r="F526" s="24">
        <f>(B526-$B$2)/$B$2</f>
        <v>0.16150775472809384</v>
      </c>
      <c r="G526" s="11">
        <f t="shared" si="53"/>
        <v>0.11537182755181208</v>
      </c>
      <c r="H526" s="25">
        <f t="shared" si="48"/>
        <v>88.180643879173289</v>
      </c>
      <c r="I526" s="26">
        <f>MAX($B$2:B526)</f>
        <v>2069.4</v>
      </c>
      <c r="J526" s="27">
        <f t="shared" si="49"/>
        <v>-0.1423117811926162</v>
      </c>
      <c r="K526" s="10">
        <f>MAX($C$2:C526)</f>
        <v>29.440999999999999</v>
      </c>
      <c r="L526" s="11">
        <f t="shared" si="50"/>
        <v>-0.31632757039502729</v>
      </c>
    </row>
    <row r="527" spans="1:12" x14ac:dyDescent="0.35">
      <c r="A527" s="5" t="s">
        <v>1292</v>
      </c>
      <c r="B527" s="22">
        <v>1761.9</v>
      </c>
      <c r="C527" s="10">
        <v>19.776</v>
      </c>
      <c r="D527" s="23">
        <f t="shared" si="51"/>
        <v>-7.3243563017634794E-3</v>
      </c>
      <c r="E527" s="11">
        <f t="shared" si="52"/>
        <v>-1.7488076311605739E-2</v>
      </c>
      <c r="F527" s="24">
        <f>(B527-$B$2)/$B$2</f>
        <v>0.15300045808520399</v>
      </c>
      <c r="G527" s="11">
        <f t="shared" si="53"/>
        <v>9.5866119915770834E-2</v>
      </c>
      <c r="H527" s="25">
        <f t="shared" si="48"/>
        <v>89.09283980582525</v>
      </c>
      <c r="I527" s="26">
        <f>MAX($B$2:B527)</f>
        <v>2069.4</v>
      </c>
      <c r="J527" s="27">
        <f t="shared" si="49"/>
        <v>-0.14859379530298636</v>
      </c>
      <c r="K527" s="10">
        <f>MAX($C$2:C527)</f>
        <v>29.440999999999999</v>
      </c>
      <c r="L527" s="11">
        <f t="shared" si="50"/>
        <v>-0.32828368601609997</v>
      </c>
    </row>
    <row r="528" spans="1:12" x14ac:dyDescent="0.35">
      <c r="A528" s="5" t="s">
        <v>1294</v>
      </c>
      <c r="B528" s="22">
        <v>1756.5</v>
      </c>
      <c r="C528" s="10">
        <v>19.507999999999999</v>
      </c>
      <c r="D528" s="23">
        <f t="shared" si="51"/>
        <v>-3.0648731483058577E-3</v>
      </c>
      <c r="E528" s="11">
        <f t="shared" si="52"/>
        <v>-1.3551779935275116E-2</v>
      </c>
      <c r="F528" s="24">
        <f>(B528-$B$2)/$B$2</f>
        <v>0.14946665794123429</v>
      </c>
      <c r="G528" s="11">
        <f t="shared" si="53"/>
        <v>8.1015183420148504E-2</v>
      </c>
      <c r="H528" s="25">
        <f t="shared" si="48"/>
        <v>90.039983596473249</v>
      </c>
      <c r="I528" s="26">
        <f>MAX($B$2:B528)</f>
        <v>2069.4</v>
      </c>
      <c r="J528" s="27">
        <f t="shared" si="49"/>
        <v>-0.15120324731806326</v>
      </c>
      <c r="K528" s="10">
        <f>MAX($C$2:C528)</f>
        <v>29.440999999999999</v>
      </c>
      <c r="L528" s="11">
        <f t="shared" si="50"/>
        <v>-0.33738663768214394</v>
      </c>
    </row>
    <row r="529" spans="1:12" x14ac:dyDescent="0.35">
      <c r="A529" s="5" t="s">
        <v>1296</v>
      </c>
      <c r="B529" s="22">
        <v>1734.4</v>
      </c>
      <c r="C529" s="10">
        <v>18.917999999999999</v>
      </c>
      <c r="D529" s="23">
        <f t="shared" si="51"/>
        <v>-1.2581838884144554E-2</v>
      </c>
      <c r="E529" s="11">
        <f t="shared" si="52"/>
        <v>-3.0244002460529006E-2</v>
      </c>
      <c r="F529" s="24">
        <f>(B529-$B$2)/$B$2</f>
        <v>0.13500425364832158</v>
      </c>
      <c r="G529" s="11">
        <f t="shared" si="53"/>
        <v>4.8320957552920311E-2</v>
      </c>
      <c r="H529" s="25">
        <f t="shared" si="48"/>
        <v>91.679881594248869</v>
      </c>
      <c r="I529" s="26">
        <f>MAX($B$2:B529)</f>
        <v>2069.4</v>
      </c>
      <c r="J529" s="27">
        <f t="shared" si="49"/>
        <v>-0.16188267130569248</v>
      </c>
      <c r="K529" s="10">
        <f>MAX($C$2:C529)</f>
        <v>29.440999999999999</v>
      </c>
      <c r="L529" s="11">
        <f t="shared" si="50"/>
        <v>-0.3574267178424646</v>
      </c>
    </row>
    <row r="530" spans="1:12" x14ac:dyDescent="0.35">
      <c r="A530" s="5" t="s">
        <v>1297</v>
      </c>
      <c r="B530" s="22">
        <v>1747.3</v>
      </c>
      <c r="C530" s="10">
        <v>19.064</v>
      </c>
      <c r="D530" s="23">
        <f t="shared" si="51"/>
        <v>7.437730627306194E-3</v>
      </c>
      <c r="E530" s="11">
        <f t="shared" si="52"/>
        <v>7.7175177080030027E-3</v>
      </c>
      <c r="F530" s="24">
        <f>(B530-$B$2)/$B$2</f>
        <v>0.14344610954780451</v>
      </c>
      <c r="G530" s="11">
        <f t="shared" si="53"/>
        <v>5.6411393106505635E-2</v>
      </c>
      <c r="H530" s="25">
        <f t="shared" si="48"/>
        <v>91.654427192614349</v>
      </c>
      <c r="I530" s="26">
        <f>MAX($B$2:B530)</f>
        <v>2069.4</v>
      </c>
      <c r="J530" s="27">
        <f t="shared" si="49"/>
        <v>-0.15564898038078676</v>
      </c>
      <c r="K530" s="10">
        <f>MAX($C$2:C530)</f>
        <v>29.440999999999999</v>
      </c>
      <c r="L530" s="11">
        <f t="shared" si="50"/>
        <v>-0.3524676471587242</v>
      </c>
    </row>
    <row r="531" spans="1:12" x14ac:dyDescent="0.35">
      <c r="A531" s="5" t="s">
        <v>1299</v>
      </c>
      <c r="B531" s="22">
        <v>1747.8</v>
      </c>
      <c r="C531" s="10">
        <v>18.942</v>
      </c>
      <c r="D531" s="23">
        <f t="shared" si="51"/>
        <v>2.8615578320837865E-4</v>
      </c>
      <c r="E531" s="11">
        <f t="shared" si="52"/>
        <v>-6.399496433067556E-3</v>
      </c>
      <c r="F531" s="24">
        <f>(B531-$B$2)/$B$2</f>
        <v>0.14377331326483872</v>
      </c>
      <c r="G531" s="11">
        <f t="shared" si="53"/>
        <v>4.9650892164468628E-2</v>
      </c>
      <c r="H531" s="25">
        <f t="shared" si="48"/>
        <v>92.271143490655689</v>
      </c>
      <c r="I531" s="26">
        <f>MAX($B$2:B531)</f>
        <v>2069.4</v>
      </c>
      <c r="J531" s="27">
        <f t="shared" si="49"/>
        <v>-0.15540736445346484</v>
      </c>
      <c r="K531" s="10">
        <f>MAX($C$2:C531)</f>
        <v>29.440999999999999</v>
      </c>
      <c r="L531" s="11">
        <f t="shared" si="50"/>
        <v>-0.35661152814102781</v>
      </c>
    </row>
    <row r="532" spans="1:12" x14ac:dyDescent="0.35">
      <c r="A532" s="5" t="s">
        <v>1301</v>
      </c>
      <c r="B532" s="22">
        <v>1757.8</v>
      </c>
      <c r="C532" s="10">
        <v>19.146999999999998</v>
      </c>
      <c r="D532" s="23">
        <f t="shared" si="51"/>
        <v>5.7214784300263187E-3</v>
      </c>
      <c r="E532" s="11">
        <f t="shared" si="52"/>
        <v>1.0822510822510732E-2</v>
      </c>
      <c r="F532" s="24">
        <f>(B532-$B$2)/$B$2</f>
        <v>0.15031738760552324</v>
      </c>
      <c r="G532" s="11">
        <f t="shared" si="53"/>
        <v>6.1010750304776637E-2</v>
      </c>
      <c r="H532" s="25">
        <f t="shared" si="48"/>
        <v>91.805504778816527</v>
      </c>
      <c r="I532" s="26">
        <f>MAX($B$2:B532)</f>
        <v>2069.4</v>
      </c>
      <c r="J532" s="27">
        <f t="shared" si="49"/>
        <v>-0.15057504590702625</v>
      </c>
      <c r="K532" s="10">
        <f>MAX($C$2:C532)</f>
        <v>29.440999999999999</v>
      </c>
      <c r="L532" s="11">
        <f t="shared" si="50"/>
        <v>-0.34964844944125539</v>
      </c>
    </row>
    <row r="533" spans="1:12" x14ac:dyDescent="0.35">
      <c r="A533" s="5" t="s">
        <v>1303</v>
      </c>
      <c r="B533" s="22">
        <v>1736.7</v>
      </c>
      <c r="C533" s="10">
        <v>18.602</v>
      </c>
      <c r="D533" s="23">
        <f t="shared" si="51"/>
        <v>-1.2003640914779788E-2</v>
      </c>
      <c r="E533" s="11">
        <f t="shared" si="52"/>
        <v>-2.8463989136679281E-2</v>
      </c>
      <c r="F533" s="24">
        <f>(B533-$B$2)/$B$2</f>
        <v>0.13650939074667898</v>
      </c>
      <c r="G533" s="11">
        <f t="shared" si="53"/>
        <v>3.0810151834201539E-2</v>
      </c>
      <c r="H533" s="25">
        <f t="shared" si="48"/>
        <v>93.360928932372858</v>
      </c>
      <c r="I533" s="26">
        <f>MAX($B$2:B533)</f>
        <v>2069.4</v>
      </c>
      <c r="J533" s="27">
        <f t="shared" si="49"/>
        <v>-0.16077123804001162</v>
      </c>
      <c r="K533" s="10">
        <f>MAX($C$2:C533)</f>
        <v>29.440999999999999</v>
      </c>
      <c r="L533" s="11">
        <f t="shared" si="50"/>
        <v>-0.36816004891138204</v>
      </c>
    </row>
    <row r="534" spans="1:12" x14ac:dyDescent="0.35">
      <c r="A534" s="5" t="s">
        <v>1305</v>
      </c>
      <c r="B534" s="22">
        <v>1726.9</v>
      </c>
      <c r="C534" s="10">
        <v>18.244</v>
      </c>
      <c r="D534" s="23">
        <f t="shared" si="51"/>
        <v>-5.6428859330914689E-3</v>
      </c>
      <c r="E534" s="11">
        <f t="shared" si="52"/>
        <v>-1.9245242447048734E-2</v>
      </c>
      <c r="F534" s="24">
        <f>(B534-$B$2)/$B$2</f>
        <v>0.13009619789280819</v>
      </c>
      <c r="G534" s="11">
        <f t="shared" si="53"/>
        <v>1.0971960545273213E-2</v>
      </c>
      <c r="H534" s="25">
        <f t="shared" si="48"/>
        <v>94.655777241832936</v>
      </c>
      <c r="I534" s="26">
        <f>MAX($B$2:B534)</f>
        <v>2069.4</v>
      </c>
      <c r="J534" s="27">
        <f t="shared" si="49"/>
        <v>-0.16550691021552141</v>
      </c>
      <c r="K534" s="10">
        <f>MAX($C$2:C534)</f>
        <v>29.440999999999999</v>
      </c>
      <c r="L534" s="11">
        <f t="shared" si="50"/>
        <v>-0.38031996195781392</v>
      </c>
    </row>
    <row r="535" spans="1:12" x14ac:dyDescent="0.35">
      <c r="A535" s="5" t="s">
        <v>1307</v>
      </c>
      <c r="B535" s="22">
        <v>1716.9</v>
      </c>
      <c r="C535" s="10">
        <v>17.849</v>
      </c>
      <c r="D535" s="23">
        <f t="shared" si="51"/>
        <v>-5.7907232613353407E-3</v>
      </c>
      <c r="E535" s="11">
        <f t="shared" si="52"/>
        <v>-2.1650953738215281E-2</v>
      </c>
      <c r="F535" s="24">
        <f>(B535-$B$2)/$B$2</f>
        <v>0.12355212355212368</v>
      </c>
      <c r="G535" s="11">
        <f t="shared" si="53"/>
        <v>-1.0916546603125301E-2</v>
      </c>
      <c r="H535" s="25">
        <f t="shared" si="48"/>
        <v>96.190262759818481</v>
      </c>
      <c r="I535" s="26">
        <f>MAX($B$2:B535)</f>
        <v>2069.4</v>
      </c>
      <c r="J535" s="27">
        <f t="shared" si="49"/>
        <v>-0.17033922876195998</v>
      </c>
      <c r="K535" s="10">
        <f>MAX($C$2:C535)</f>
        <v>29.440999999999999</v>
      </c>
      <c r="L535" s="11">
        <f t="shared" si="50"/>
        <v>-0.39373662579396079</v>
      </c>
    </row>
    <row r="536" spans="1:12" x14ac:dyDescent="0.35">
      <c r="A536" s="5" t="s">
        <v>1309</v>
      </c>
      <c r="B536" s="22">
        <v>1699.6</v>
      </c>
      <c r="C536" s="10">
        <v>17.632000000000001</v>
      </c>
      <c r="D536" s="23">
        <f t="shared" si="51"/>
        <v>-1.0076300308696011E-2</v>
      </c>
      <c r="E536" s="11">
        <f t="shared" si="52"/>
        <v>-1.2157543839990965E-2</v>
      </c>
      <c r="F536" s="24">
        <f>(B536-$B$2)/$B$2</f>
        <v>0.11223087494273935</v>
      </c>
      <c r="G536" s="11">
        <f t="shared" si="53"/>
        <v>-2.2941372049207466E-2</v>
      </c>
      <c r="H536" s="25">
        <f t="shared" si="48"/>
        <v>96.392921960072584</v>
      </c>
      <c r="I536" s="26">
        <f>MAX($B$2:B536)</f>
        <v>2069.4</v>
      </c>
      <c r="J536" s="27">
        <f t="shared" si="49"/>
        <v>-0.17869913984729882</v>
      </c>
      <c r="K536" s="10">
        <f>MAX($C$2:C536)</f>
        <v>29.440999999999999</v>
      </c>
      <c r="L536" s="11">
        <f t="shared" si="50"/>
        <v>-0.40110729934445155</v>
      </c>
    </row>
    <row r="537" spans="1:12" x14ac:dyDescent="0.35">
      <c r="A537" s="5" t="s">
        <v>1311</v>
      </c>
      <c r="B537" s="22">
        <v>1703.4</v>
      </c>
      <c r="C537" s="10">
        <v>17.867999999999999</v>
      </c>
      <c r="D537" s="23">
        <f t="shared" si="51"/>
        <v>2.2358201929866921E-3</v>
      </c>
      <c r="E537" s="11">
        <f t="shared" si="52"/>
        <v>1.3384754990925424E-2</v>
      </c>
      <c r="F537" s="24">
        <f>(B537-$B$2)/$B$2</f>
        <v>0.11471762319219959</v>
      </c>
      <c r="G537" s="11">
        <f t="shared" si="53"/>
        <v>-9.8636817023163483E-3</v>
      </c>
      <c r="H537" s="25">
        <f t="shared" si="48"/>
        <v>95.332437877770332</v>
      </c>
      <c r="I537" s="26">
        <f>MAX($B$2:B537)</f>
        <v>2069.4</v>
      </c>
      <c r="J537" s="27">
        <f t="shared" si="49"/>
        <v>-0.17686285879965208</v>
      </c>
      <c r="K537" s="10">
        <f>MAX($C$2:C537)</f>
        <v>29.440999999999999</v>
      </c>
      <c r="L537" s="11">
        <f t="shared" si="50"/>
        <v>-0.3930912672803234</v>
      </c>
    </row>
    <row r="538" spans="1:12" x14ac:dyDescent="0.35">
      <c r="A538" s="5" t="s">
        <v>1313</v>
      </c>
      <c r="B538" s="22">
        <v>1718.2</v>
      </c>
      <c r="C538" s="10">
        <v>18.22</v>
      </c>
      <c r="D538" s="23">
        <f t="shared" si="51"/>
        <v>8.6885053422566354E-3</v>
      </c>
      <c r="E538" s="11">
        <f t="shared" si="52"/>
        <v>1.9700022386389095E-2</v>
      </c>
      <c r="F538" s="24">
        <f>(B538-$B$2)/$B$2</f>
        <v>0.12440285321641263</v>
      </c>
      <c r="G538" s="11">
        <f t="shared" si="53"/>
        <v>9.642025933724898E-3</v>
      </c>
      <c r="H538" s="25">
        <f t="shared" si="48"/>
        <v>94.302963776070257</v>
      </c>
      <c r="I538" s="26">
        <f>MAX($B$2:B538)</f>
        <v>2069.4</v>
      </c>
      <c r="J538" s="27">
        <f t="shared" si="49"/>
        <v>-0.169711027350923</v>
      </c>
      <c r="K538" s="10">
        <f>MAX($C$2:C538)</f>
        <v>29.440999999999999</v>
      </c>
      <c r="L538" s="11">
        <f t="shared" si="50"/>
        <v>-0.38113515165925071</v>
      </c>
    </row>
    <row r="539" spans="1:12" x14ac:dyDescent="0.35">
      <c r="A539" s="5" t="s">
        <v>1315</v>
      </c>
      <c r="B539" s="22">
        <v>1710.6</v>
      </c>
      <c r="C539" s="10">
        <v>18.402000000000001</v>
      </c>
      <c r="D539" s="23">
        <f t="shared" si="51"/>
        <v>-4.4232336165755653E-3</v>
      </c>
      <c r="E539" s="11">
        <f t="shared" si="52"/>
        <v>9.9890230515917774E-3</v>
      </c>
      <c r="F539" s="24">
        <f>(B539-$B$2)/$B$2</f>
        <v>0.11942935671749232</v>
      </c>
      <c r="G539" s="11">
        <f t="shared" si="53"/>
        <v>1.9727363404632697E-2</v>
      </c>
      <c r="H539" s="25">
        <f t="shared" si="48"/>
        <v>92.957287251385708</v>
      </c>
      <c r="I539" s="26">
        <f>MAX($B$2:B539)</f>
        <v>2069.4</v>
      </c>
      <c r="J539" s="27">
        <f t="shared" si="49"/>
        <v>-0.17338358944621637</v>
      </c>
      <c r="K539" s="10">
        <f>MAX($C$2:C539)</f>
        <v>29.440999999999999</v>
      </c>
      <c r="L539" s="11">
        <f t="shared" si="50"/>
        <v>-0.37495329642335512</v>
      </c>
    </row>
    <row r="540" spans="1:12" x14ac:dyDescent="0.35">
      <c r="A540" s="5" t="s">
        <v>1317</v>
      </c>
      <c r="B540" s="22">
        <v>1730.8</v>
      </c>
      <c r="C540" s="10">
        <v>19.815999999999999</v>
      </c>
      <c r="D540" s="23">
        <f t="shared" si="51"/>
        <v>1.1808722085817869E-2</v>
      </c>
      <c r="E540" s="11">
        <f t="shared" si="52"/>
        <v>7.6839473970220507E-2</v>
      </c>
      <c r="F540" s="24">
        <f>(B540-$B$2)/$B$2</f>
        <v>0.13264838688567507</v>
      </c>
      <c r="G540" s="11">
        <f t="shared" si="53"/>
        <v>9.808267760168457E-2</v>
      </c>
      <c r="H540" s="25">
        <f t="shared" si="48"/>
        <v>87.343560758982647</v>
      </c>
      <c r="I540" s="26">
        <f>MAX($B$2:B540)</f>
        <v>2069.4</v>
      </c>
      <c r="J540" s="27">
        <f t="shared" si="49"/>
        <v>-0.16362230598241043</v>
      </c>
      <c r="K540" s="10">
        <f>MAX($C$2:C540)</f>
        <v>29.440999999999999</v>
      </c>
      <c r="L540" s="11">
        <f t="shared" si="50"/>
        <v>-0.32692503651370541</v>
      </c>
    </row>
    <row r="541" spans="1:12" x14ac:dyDescent="0.35">
      <c r="A541" s="5" t="s">
        <v>1319</v>
      </c>
      <c r="B541" s="22">
        <v>1707.1</v>
      </c>
      <c r="C541" s="10">
        <v>19.449000000000002</v>
      </c>
      <c r="D541" s="23">
        <f t="shared" si="51"/>
        <v>-1.3693089900624015E-2</v>
      </c>
      <c r="E541" s="11">
        <f t="shared" si="52"/>
        <v>-1.8520387565603418E-2</v>
      </c>
      <c r="F541" s="24">
        <f>(B541-$B$2)/$B$2</f>
        <v>0.11713893069825274</v>
      </c>
      <c r="G541" s="11">
        <f t="shared" si="53"/>
        <v>7.7745760833425812E-2</v>
      </c>
      <c r="H541" s="25">
        <f t="shared" si="48"/>
        <v>87.773150290503352</v>
      </c>
      <c r="I541" s="26">
        <f>MAX($B$2:B541)</f>
        <v>2069.4</v>
      </c>
      <c r="J541" s="27">
        <f t="shared" si="49"/>
        <v>-0.17507490093746989</v>
      </c>
      <c r="K541" s="10">
        <f>MAX($C$2:C541)</f>
        <v>29.440999999999999</v>
      </c>
      <c r="L541" s="11">
        <f t="shared" si="50"/>
        <v>-0.33939064569817595</v>
      </c>
    </row>
    <row r="542" spans="1:12" x14ac:dyDescent="0.35">
      <c r="A542" s="5" t="s">
        <v>1321</v>
      </c>
      <c r="B542" s="22">
        <v>1698.2</v>
      </c>
      <c r="C542" s="10">
        <v>19.524999999999999</v>
      </c>
      <c r="D542" s="23">
        <f t="shared" si="51"/>
        <v>-5.2135200046862307E-3</v>
      </c>
      <c r="E542" s="11">
        <f t="shared" si="52"/>
        <v>3.9076559206127279E-3</v>
      </c>
      <c r="F542" s="24">
        <f>(B542-$B$2)/$B$2</f>
        <v>0.11131470453504361</v>
      </c>
      <c r="G542" s="11">
        <f t="shared" si="53"/>
        <v>8.1957220436661829E-2</v>
      </c>
      <c r="H542" s="25">
        <f t="shared" si="48"/>
        <v>86.975672215108844</v>
      </c>
      <c r="I542" s="26">
        <f>MAX($B$2:B542)</f>
        <v>2069.4</v>
      </c>
      <c r="J542" s="27">
        <f t="shared" si="49"/>
        <v>-0.17937566444380015</v>
      </c>
      <c r="K542" s="10">
        <f>MAX($C$2:C542)</f>
        <v>29.440999999999999</v>
      </c>
      <c r="L542" s="11">
        <f t="shared" si="50"/>
        <v>-0.33680921164362626</v>
      </c>
    </row>
    <row r="543" spans="1:12" x14ac:dyDescent="0.35">
      <c r="A543" s="5" t="s">
        <v>1323</v>
      </c>
      <c r="B543" s="22">
        <v>1666.8</v>
      </c>
      <c r="C543" s="10">
        <v>19.227</v>
      </c>
      <c r="D543" s="23">
        <f t="shared" si="51"/>
        <v>-1.8490166058179301E-2</v>
      </c>
      <c r="E543" s="11">
        <f t="shared" si="52"/>
        <v>-1.5262483994878274E-2</v>
      </c>
      <c r="F543" s="24">
        <f>(B543-$B$2)/$B$2</f>
        <v>9.0766311105294192E-2</v>
      </c>
      <c r="G543" s="11">
        <f t="shared" si="53"/>
        <v>6.544386567660429E-2</v>
      </c>
      <c r="H543" s="25">
        <f t="shared" si="48"/>
        <v>86.690591355905752</v>
      </c>
      <c r="I543" s="26">
        <f>MAX($B$2:B543)</f>
        <v>2069.4</v>
      </c>
      <c r="J543" s="27">
        <f t="shared" si="49"/>
        <v>-0.19454914467961734</v>
      </c>
      <c r="K543" s="10">
        <f>MAX($C$2:C543)</f>
        <v>29.440999999999999</v>
      </c>
      <c r="L543" s="11">
        <f t="shared" si="50"/>
        <v>-0.34693115043646611</v>
      </c>
    </row>
    <row r="544" spans="1:12" x14ac:dyDescent="0.35">
      <c r="A544" s="5" t="s">
        <v>1325</v>
      </c>
      <c r="B544" s="22">
        <v>1667.6</v>
      </c>
      <c r="C544" s="10">
        <v>19.318999999999999</v>
      </c>
      <c r="D544" s="23">
        <f t="shared" si="51"/>
        <v>4.7996160307172699E-4</v>
      </c>
      <c r="E544" s="11">
        <f t="shared" si="52"/>
        <v>4.7849378478181069E-3</v>
      </c>
      <c r="F544" s="24">
        <f>(B544-$B$2)/$B$2</f>
        <v>9.1289837052548922E-2</v>
      </c>
      <c r="G544" s="11">
        <f t="shared" si="53"/>
        <v>7.0541948354205908E-2</v>
      </c>
      <c r="H544" s="25">
        <f t="shared" si="48"/>
        <v>86.31916765878151</v>
      </c>
      <c r="I544" s="26">
        <f>MAX($B$2:B544)</f>
        <v>2069.4</v>
      </c>
      <c r="J544" s="27">
        <f t="shared" si="49"/>
        <v>-0.19416255919590228</v>
      </c>
      <c r="K544" s="10">
        <f>MAX($C$2:C544)</f>
        <v>29.440999999999999</v>
      </c>
      <c r="L544" s="11">
        <f t="shared" si="50"/>
        <v>-0.34380625658095854</v>
      </c>
    </row>
    <row r="545" spans="1:12" x14ac:dyDescent="0.35">
      <c r="A545" s="5" t="s">
        <v>1327</v>
      </c>
      <c r="B545" s="22">
        <v>1661</v>
      </c>
      <c r="C545" s="10">
        <v>19.146000000000001</v>
      </c>
      <c r="D545" s="23">
        <f t="shared" si="51"/>
        <v>-3.9577836411608955E-3</v>
      </c>
      <c r="E545" s="11">
        <f t="shared" si="52"/>
        <v>-8.9549148506650588E-3</v>
      </c>
      <c r="F545" s="24">
        <f>(B545-$B$2)/$B$2</f>
        <v>8.6970747987697203E-2</v>
      </c>
      <c r="G545" s="11">
        <f t="shared" si="53"/>
        <v>6.0955336362628919E-2</v>
      </c>
      <c r="H545" s="25">
        <f t="shared" si="48"/>
        <v>86.754413454507471</v>
      </c>
      <c r="I545" s="26">
        <f>MAX($B$2:B545)</f>
        <v>2069.4</v>
      </c>
      <c r="J545" s="27">
        <f t="shared" si="49"/>
        <v>-0.19735188943655169</v>
      </c>
      <c r="K545" s="10">
        <f>MAX($C$2:C545)</f>
        <v>29.440999999999999</v>
      </c>
      <c r="L545" s="11">
        <f t="shared" si="50"/>
        <v>-0.34968241567881519</v>
      </c>
    </row>
    <row r="546" spans="1:12" x14ac:dyDescent="0.35">
      <c r="A546" s="5" t="s">
        <v>1329</v>
      </c>
      <c r="B546" s="22">
        <v>1665.8</v>
      </c>
      <c r="C546" s="10">
        <v>19.446999999999999</v>
      </c>
      <c r="D546" s="23">
        <f t="shared" si="51"/>
        <v>2.8898254063816704E-3</v>
      </c>
      <c r="E546" s="11">
        <f t="shared" si="52"/>
        <v>1.5721299488143652E-2</v>
      </c>
      <c r="F546" s="24">
        <f>(B546-$B$2)/$B$2</f>
        <v>9.0111903671225735E-2</v>
      </c>
      <c r="G546" s="11">
        <f t="shared" si="53"/>
        <v>7.7634932949129987E-2</v>
      </c>
      <c r="H546" s="25">
        <f t="shared" si="48"/>
        <v>85.658456317169751</v>
      </c>
      <c r="I546" s="26">
        <f>MAX($B$2:B546)</f>
        <v>2069.4</v>
      </c>
      <c r="J546" s="27">
        <f t="shared" si="49"/>
        <v>-0.1950323765342612</v>
      </c>
      <c r="K546" s="10">
        <f>MAX($C$2:C546)</f>
        <v>29.440999999999999</v>
      </c>
      <c r="L546" s="11">
        <f t="shared" si="50"/>
        <v>-0.33945857817329572</v>
      </c>
    </row>
    <row r="547" spans="1:12" x14ac:dyDescent="0.35">
      <c r="A547" s="5" t="s">
        <v>1331</v>
      </c>
      <c r="B547" s="22">
        <v>1671.4</v>
      </c>
      <c r="C547" s="10">
        <v>19.587</v>
      </c>
      <c r="D547" s="23">
        <f t="shared" si="51"/>
        <v>3.3617481090167708E-3</v>
      </c>
      <c r="E547" s="11">
        <f t="shared" si="52"/>
        <v>7.1990538386383796E-3</v>
      </c>
      <c r="F547" s="24">
        <f>(B547-$B$2)/$B$2</f>
        <v>9.3776585302009149E-2</v>
      </c>
      <c r="G547" s="11">
        <f t="shared" si="53"/>
        <v>8.5392884849828238E-2</v>
      </c>
      <c r="H547" s="25">
        <f t="shared" si="48"/>
        <v>85.332108030836778</v>
      </c>
      <c r="I547" s="26">
        <f>MAX($B$2:B547)</f>
        <v>2069.4</v>
      </c>
      <c r="J547" s="27">
        <f t="shared" si="49"/>
        <v>-0.19232627814825554</v>
      </c>
      <c r="K547" s="10">
        <f>MAX($C$2:C547)</f>
        <v>29.440999999999999</v>
      </c>
      <c r="L547" s="11">
        <f t="shared" si="50"/>
        <v>-0.33470330491491457</v>
      </c>
    </row>
    <row r="548" spans="1:12" x14ac:dyDescent="0.35">
      <c r="A548" s="5" t="s">
        <v>1333</v>
      </c>
      <c r="B548" s="22">
        <v>1623.6</v>
      </c>
      <c r="C548" s="10">
        <v>18.452999999999999</v>
      </c>
      <c r="D548" s="23">
        <f t="shared" si="51"/>
        <v>-2.8598779466315772E-2</v>
      </c>
      <c r="E548" s="11">
        <f t="shared" si="52"/>
        <v>-5.7895542962168804E-2</v>
      </c>
      <c r="F548" s="24">
        <f>(B548-$B$2)/$B$2</f>
        <v>6.2495909953537078E-2</v>
      </c>
      <c r="G548" s="11">
        <f t="shared" si="53"/>
        <v>2.2553474454172672E-2</v>
      </c>
      <c r="H548" s="25">
        <f t="shared" si="48"/>
        <v>87.985693383189727</v>
      </c>
      <c r="I548" s="26">
        <f>MAX($B$2:B548)</f>
        <v>2069.4</v>
      </c>
      <c r="J548" s="27">
        <f t="shared" si="49"/>
        <v>-0.21542476080023204</v>
      </c>
      <c r="K548" s="10">
        <f>MAX($C$2:C548)</f>
        <v>29.440999999999999</v>
      </c>
      <c r="L548" s="11">
        <f t="shared" si="50"/>
        <v>-0.37322101830780202</v>
      </c>
    </row>
    <row r="549" spans="1:12" x14ac:dyDescent="0.35">
      <c r="A549" s="5" t="s">
        <v>1335</v>
      </c>
      <c r="B549" s="22">
        <v>1626.5</v>
      </c>
      <c r="C549" s="10">
        <v>18.302</v>
      </c>
      <c r="D549" s="23">
        <f t="shared" si="51"/>
        <v>1.7861542251786716E-3</v>
      </c>
      <c r="E549" s="11">
        <f t="shared" si="52"/>
        <v>-8.1829512816344128E-3</v>
      </c>
      <c r="F549" s="24">
        <f>(B549-$B$2)/$B$2</f>
        <v>6.4393691512335649E-2</v>
      </c>
      <c r="G549" s="11">
        <f t="shared" si="53"/>
        <v>1.4185969189848179E-2</v>
      </c>
      <c r="H549" s="25">
        <f t="shared" si="48"/>
        <v>88.870068844934977</v>
      </c>
      <c r="I549" s="26">
        <f>MAX($B$2:B549)</f>
        <v>2069.4</v>
      </c>
      <c r="J549" s="27">
        <f t="shared" si="49"/>
        <v>-0.2140233884217648</v>
      </c>
      <c r="K549" s="10">
        <f>MAX($C$2:C549)</f>
        <v>29.440999999999999</v>
      </c>
      <c r="L549" s="11">
        <f t="shared" si="50"/>
        <v>-0.37834992017934171</v>
      </c>
    </row>
    <row r="550" spans="1:12" x14ac:dyDescent="0.35">
      <c r="A550" s="5" t="s">
        <v>1337</v>
      </c>
      <c r="B550" s="22">
        <v>1660.3</v>
      </c>
      <c r="C550" s="10">
        <v>18.841000000000001</v>
      </c>
      <c r="D550" s="23">
        <f t="shared" si="51"/>
        <v>2.0780817706732218E-2</v>
      </c>
      <c r="E550" s="11">
        <f t="shared" si="52"/>
        <v>2.9450333296907522E-2</v>
      </c>
      <c r="F550" s="24">
        <f>(B550-$B$2)/$B$2</f>
        <v>8.6512662783849253E-2</v>
      </c>
      <c r="G550" s="11">
        <f t="shared" si="53"/>
        <v>4.4054084007536395E-2</v>
      </c>
      <c r="H550" s="25">
        <f t="shared" si="48"/>
        <v>88.121649593970588</v>
      </c>
      <c r="I550" s="26">
        <f>MAX($B$2:B550)</f>
        <v>2069.4</v>
      </c>
      <c r="J550" s="27">
        <f t="shared" si="49"/>
        <v>-0.19769015173480242</v>
      </c>
      <c r="K550" s="10">
        <f>MAX($C$2:C550)</f>
        <v>29.440999999999999</v>
      </c>
      <c r="L550" s="11">
        <f t="shared" si="50"/>
        <v>-0.36004211813457415</v>
      </c>
    </row>
    <row r="551" spans="1:12" x14ac:dyDescent="0.35">
      <c r="A551" s="5" t="s">
        <v>1339</v>
      </c>
      <c r="B551" s="22">
        <v>1663.6</v>
      </c>
      <c r="C551" s="10">
        <v>18.712</v>
      </c>
      <c r="D551" s="23">
        <f t="shared" si="51"/>
        <v>1.9875926037462837E-3</v>
      </c>
      <c r="E551" s="11">
        <f t="shared" si="52"/>
        <v>-6.8467703412770729E-3</v>
      </c>
      <c r="F551" s="24">
        <f>(B551-$B$2)/$B$2</f>
        <v>8.867220731627512E-2</v>
      </c>
      <c r="G551" s="11">
        <f t="shared" si="53"/>
        <v>3.690568547046439E-2</v>
      </c>
      <c r="H551" s="25">
        <f t="shared" si="48"/>
        <v>88.905515177426253</v>
      </c>
      <c r="I551" s="26">
        <f>MAX($B$2:B551)</f>
        <v>2069.4</v>
      </c>
      <c r="J551" s="27">
        <f t="shared" si="49"/>
        <v>-0.1960954866144777</v>
      </c>
      <c r="K551" s="10">
        <f>MAX($C$2:C551)</f>
        <v>29.440999999999999</v>
      </c>
      <c r="L551" s="11">
        <f t="shared" si="50"/>
        <v>-0.36442376277979688</v>
      </c>
    </row>
    <row r="552" spans="1:12" x14ac:dyDescent="0.35">
      <c r="A552" s="5" t="s">
        <v>1341</v>
      </c>
      <c r="B552" s="22">
        <v>1697.2</v>
      </c>
      <c r="C552" s="10">
        <v>20.588999999999999</v>
      </c>
      <c r="D552" s="23">
        <f t="shared" si="51"/>
        <v>2.0197162779514388E-2</v>
      </c>
      <c r="E552" s="11">
        <f t="shared" si="52"/>
        <v>0.1003099615220179</v>
      </c>
      <c r="F552" s="24">
        <f>(B552-$B$2)/$B$2</f>
        <v>0.11066029710097516</v>
      </c>
      <c r="G552" s="11">
        <f t="shared" si="53"/>
        <v>0.14091765488196828</v>
      </c>
      <c r="H552" s="25">
        <f t="shared" si="48"/>
        <v>82.432366797804661</v>
      </c>
      <c r="I552" s="26">
        <f>MAX($B$2:B552)</f>
        <v>2069.4</v>
      </c>
      <c r="J552" s="27">
        <f t="shared" si="49"/>
        <v>-0.17985889629844401</v>
      </c>
      <c r="K552" s="10">
        <f>MAX($C$2:C552)</f>
        <v>29.440999999999999</v>
      </c>
      <c r="L552" s="11">
        <f t="shared" si="50"/>
        <v>-0.30066913487992936</v>
      </c>
    </row>
    <row r="553" spans="1:12" x14ac:dyDescent="0.35">
      <c r="A553" s="5" t="s">
        <v>1343</v>
      </c>
      <c r="B553" s="22">
        <v>1725.5</v>
      </c>
      <c r="C553" s="10">
        <v>21.099</v>
      </c>
      <c r="D553" s="23">
        <f t="shared" si="51"/>
        <v>1.6674522743341948E-2</v>
      </c>
      <c r="E553" s="11">
        <f t="shared" si="52"/>
        <v>2.4770508523969188E-2</v>
      </c>
      <c r="F553" s="24">
        <f>(B553-$B$2)/$B$2</f>
        <v>0.12918002748511229</v>
      </c>
      <c r="G553" s="11">
        <f t="shared" si="53"/>
        <v>0.16917876537736901</v>
      </c>
      <c r="H553" s="25">
        <f t="shared" si="48"/>
        <v>81.781127067633534</v>
      </c>
      <c r="I553" s="26">
        <f>MAX($B$2:B553)</f>
        <v>2069.4</v>
      </c>
      <c r="J553" s="27">
        <f t="shared" si="49"/>
        <v>-0.16618343481202286</v>
      </c>
      <c r="K553" s="10">
        <f>MAX($C$2:C553)</f>
        <v>29.440999999999999</v>
      </c>
      <c r="L553" s="11">
        <f t="shared" si="50"/>
        <v>-0.28334635372439793</v>
      </c>
    </row>
    <row r="554" spans="1:12" x14ac:dyDescent="0.35">
      <c r="A554" s="5" t="s">
        <v>1345</v>
      </c>
      <c r="B554" s="22">
        <v>1715.6</v>
      </c>
      <c r="C554" s="10">
        <v>20.544</v>
      </c>
      <c r="D554" s="23">
        <f t="shared" si="51"/>
        <v>-5.7374674007534578E-3</v>
      </c>
      <c r="E554" s="11">
        <f t="shared" si="52"/>
        <v>-2.6304564197355312E-2</v>
      </c>
      <c r="F554" s="24">
        <f>(B554-$B$2)/$B$2</f>
        <v>0.12270139388783458</v>
      </c>
      <c r="G554" s="11">
        <f t="shared" si="53"/>
        <v>0.13842402748531538</v>
      </c>
      <c r="H554" s="25">
        <f t="shared" si="48"/>
        <v>83.508566978193144</v>
      </c>
      <c r="I554" s="26">
        <f>MAX($B$2:B554)</f>
        <v>2069.4</v>
      </c>
      <c r="J554" s="27">
        <f t="shared" si="49"/>
        <v>-0.17096743017299709</v>
      </c>
      <c r="K554" s="10">
        <f>MAX($C$2:C554)</f>
        <v>29.440999999999999</v>
      </c>
      <c r="L554" s="11">
        <f t="shared" si="50"/>
        <v>-0.30219761557012326</v>
      </c>
    </row>
    <row r="555" spans="1:12" x14ac:dyDescent="0.35">
      <c r="A555" s="5" t="s">
        <v>1347</v>
      </c>
      <c r="B555" s="22">
        <v>1715.5</v>
      </c>
      <c r="C555" s="10">
        <v>20.66</v>
      </c>
      <c r="D555" s="23">
        <f t="shared" si="51"/>
        <v>-5.8288645371828551E-5</v>
      </c>
      <c r="E555" s="11">
        <f t="shared" si="52"/>
        <v>5.6464174454828493E-3</v>
      </c>
      <c r="F555" s="24">
        <f>(B555-$B$2)/$B$2</f>
        <v>0.12263595314442778</v>
      </c>
      <c r="G555" s="11">
        <f t="shared" si="53"/>
        <v>0.14485204477446531</v>
      </c>
      <c r="H555" s="25">
        <f t="shared" si="48"/>
        <v>83.034849951597295</v>
      </c>
      <c r="I555" s="26">
        <f>MAX($B$2:B555)</f>
        <v>2069.4</v>
      </c>
      <c r="J555" s="27">
        <f t="shared" si="49"/>
        <v>-0.17101575335846142</v>
      </c>
      <c r="K555" s="10">
        <f>MAX($C$2:C555)</f>
        <v>29.440999999999999</v>
      </c>
      <c r="L555" s="11">
        <f t="shared" si="50"/>
        <v>-0.29825753201317889</v>
      </c>
    </row>
    <row r="556" spans="1:12" x14ac:dyDescent="0.35">
      <c r="A556" s="5" t="s">
        <v>1349</v>
      </c>
      <c r="B556" s="22">
        <v>1670.1</v>
      </c>
      <c r="C556" s="10">
        <v>19.614999999999998</v>
      </c>
      <c r="D556" s="23">
        <f t="shared" si="51"/>
        <v>-2.6464587583794864E-2</v>
      </c>
      <c r="E556" s="11">
        <f t="shared" si="52"/>
        <v>-5.0580832526621572E-2</v>
      </c>
      <c r="F556" s="24">
        <f>(B556-$B$2)/$B$2</f>
        <v>9.2925855637720045E-2</v>
      </c>
      <c r="G556" s="11">
        <f t="shared" si="53"/>
        <v>8.6944475229967816E-2</v>
      </c>
      <c r="H556" s="25">
        <f t="shared" si="48"/>
        <v>85.144022431812388</v>
      </c>
      <c r="I556" s="26">
        <f>MAX($B$2:B556)</f>
        <v>2069.4</v>
      </c>
      <c r="J556" s="27">
        <f t="shared" si="49"/>
        <v>-0.19295447955929262</v>
      </c>
      <c r="K556" s="10">
        <f>MAX($C$2:C556)</f>
        <v>29.440999999999999</v>
      </c>
      <c r="L556" s="11">
        <f t="shared" si="50"/>
        <v>-0.33375225026323835</v>
      </c>
    </row>
    <row r="557" spans="1:12" x14ac:dyDescent="0.35">
      <c r="A557" s="5" t="s">
        <v>1351</v>
      </c>
      <c r="B557" s="22">
        <v>1680.9</v>
      </c>
      <c r="C557" s="10">
        <v>19.486999999999998</v>
      </c>
      <c r="D557" s="23">
        <f t="shared" si="51"/>
        <v>6.4666786419975949E-3</v>
      </c>
      <c r="E557" s="11">
        <f t="shared" si="52"/>
        <v>-6.5256181493754846E-3</v>
      </c>
      <c r="F557" s="24">
        <f>(B557-$B$2)/$B$2</f>
        <v>9.9993455925659447E-2</v>
      </c>
      <c r="G557" s="11">
        <f t="shared" si="53"/>
        <v>7.9851490635043723E-2</v>
      </c>
      <c r="H557" s="25">
        <f t="shared" si="48"/>
        <v>86.257505003335567</v>
      </c>
      <c r="I557" s="26">
        <f>MAX($B$2:B557)</f>
        <v>2069.4</v>
      </c>
      <c r="J557" s="27">
        <f t="shared" si="49"/>
        <v>-0.18773557552913886</v>
      </c>
      <c r="K557" s="10">
        <f>MAX($C$2:C557)</f>
        <v>29.440999999999999</v>
      </c>
      <c r="L557" s="11">
        <f t="shared" si="50"/>
        <v>-0.33809992867090116</v>
      </c>
    </row>
    <row r="558" spans="1:12" x14ac:dyDescent="0.35">
      <c r="A558" s="5" t="s">
        <v>1352</v>
      </c>
      <c r="B558" s="22">
        <v>1672.3</v>
      </c>
      <c r="C558" s="10">
        <v>18.937999999999999</v>
      </c>
      <c r="D558" s="23">
        <f t="shared" si="51"/>
        <v>-5.116306740436752E-3</v>
      </c>
      <c r="E558" s="11">
        <f t="shared" si="52"/>
        <v>-2.8172627905783319E-2</v>
      </c>
      <c r="F558" s="24">
        <f>(B558-$B$2)/$B$2</f>
        <v>9.4365551992670674E-2</v>
      </c>
      <c r="G558" s="11">
        <f t="shared" si="53"/>
        <v>4.9429236395877173E-2</v>
      </c>
      <c r="H558" s="25">
        <f t="shared" si="48"/>
        <v>88.303939169922913</v>
      </c>
      <c r="I558" s="26">
        <f>MAX($B$2:B558)</f>
        <v>2069.4</v>
      </c>
      <c r="J558" s="27">
        <f t="shared" si="49"/>
        <v>-0.19189136947907612</v>
      </c>
      <c r="K558" s="10">
        <f>MAX($C$2:C558)</f>
        <v>29.440999999999999</v>
      </c>
      <c r="L558" s="11">
        <f t="shared" si="50"/>
        <v>-0.3567473930912673</v>
      </c>
    </row>
    <row r="559" spans="1:12" x14ac:dyDescent="0.35">
      <c r="A559" s="5" t="s">
        <v>1354</v>
      </c>
      <c r="B559" s="22">
        <v>1671.8</v>
      </c>
      <c r="C559" s="10">
        <v>18.917999999999999</v>
      </c>
      <c r="D559" s="23">
        <f t="shared" si="51"/>
        <v>-2.989894157746816E-4</v>
      </c>
      <c r="E559" s="11">
        <f t="shared" si="52"/>
        <v>-1.0560777273207083E-3</v>
      </c>
      <c r="F559" s="24">
        <f>(B559-$B$2)/$B$2</f>
        <v>9.4038348275636452E-2</v>
      </c>
      <c r="G559" s="11">
        <f t="shared" si="53"/>
        <v>4.8320957552920311E-2</v>
      </c>
      <c r="H559" s="25">
        <f t="shared" si="48"/>
        <v>88.370863727666773</v>
      </c>
      <c r="I559" s="26">
        <f>MAX($B$2:B559)</f>
        <v>2069.4</v>
      </c>
      <c r="J559" s="27">
        <f t="shared" si="49"/>
        <v>-0.19213298540639806</v>
      </c>
      <c r="K559" s="10">
        <f>MAX($C$2:C559)</f>
        <v>29.440999999999999</v>
      </c>
      <c r="L559" s="11">
        <f t="shared" si="50"/>
        <v>-0.3574267178424646</v>
      </c>
    </row>
    <row r="560" spans="1:12" x14ac:dyDescent="0.35">
      <c r="A560" s="5" t="s">
        <v>1356</v>
      </c>
      <c r="B560" s="22">
        <v>1658.9</v>
      </c>
      <c r="C560" s="10">
        <v>18.719000000000001</v>
      </c>
      <c r="D560" s="23">
        <f t="shared" si="51"/>
        <v>-7.7162339992821296E-3</v>
      </c>
      <c r="E560" s="11">
        <f t="shared" si="52"/>
        <v>-1.051908235542859E-2</v>
      </c>
      <c r="F560" s="24">
        <f>(B560-$B$2)/$B$2</f>
        <v>8.5596492376153521E-2</v>
      </c>
      <c r="G560" s="11">
        <f t="shared" si="53"/>
        <v>3.7293583065499382E-2</v>
      </c>
      <c r="H560" s="25">
        <f t="shared" si="48"/>
        <v>88.621187029221645</v>
      </c>
      <c r="I560" s="26">
        <f>MAX($B$2:B560)</f>
        <v>2069.4</v>
      </c>
      <c r="J560" s="27">
        <f t="shared" si="49"/>
        <v>-0.19836667633130375</v>
      </c>
      <c r="K560" s="10">
        <f>MAX($C$2:C560)</f>
        <v>29.440999999999999</v>
      </c>
      <c r="L560" s="11">
        <f t="shared" si="50"/>
        <v>-0.36418599911687777</v>
      </c>
    </row>
    <row r="561" spans="1:12" x14ac:dyDescent="0.35">
      <c r="A561" s="5" t="s">
        <v>1358</v>
      </c>
      <c r="B561" s="22">
        <v>1650.7</v>
      </c>
      <c r="C561" s="10">
        <v>18.600000000000001</v>
      </c>
      <c r="D561" s="23">
        <f t="shared" si="51"/>
        <v>-4.9430345409609052E-3</v>
      </c>
      <c r="E561" s="11">
        <f t="shared" si="52"/>
        <v>-6.3571771996367198E-3</v>
      </c>
      <c r="F561" s="24">
        <f>(B561-$B$2)/$B$2</f>
        <v>8.0230351416792189E-2</v>
      </c>
      <c r="G561" s="11">
        <f t="shared" si="53"/>
        <v>3.0699323949905911E-2</v>
      </c>
      <c r="H561" s="25">
        <f t="shared" si="48"/>
        <v>88.747311827956992</v>
      </c>
      <c r="I561" s="26">
        <f>MAX($B$2:B561)</f>
        <v>2069.4</v>
      </c>
      <c r="J561" s="27">
        <f t="shared" si="49"/>
        <v>-0.2023291775393834</v>
      </c>
      <c r="K561" s="10">
        <f>MAX($C$2:C561)</f>
        <v>29.440999999999999</v>
      </c>
      <c r="L561" s="11">
        <f t="shared" si="50"/>
        <v>-0.36822798138650176</v>
      </c>
    </row>
    <row r="562" spans="1:12" x14ac:dyDescent="0.35">
      <c r="A562" s="5" t="s">
        <v>1360</v>
      </c>
      <c r="B562" s="22">
        <v>1629</v>
      </c>
      <c r="C562" s="10">
        <v>18.359000000000002</v>
      </c>
      <c r="D562" s="23">
        <f t="shared" si="51"/>
        <v>-1.3145938086872264E-2</v>
      </c>
      <c r="E562" s="11">
        <f t="shared" si="52"/>
        <v>-1.2956989247311809E-2</v>
      </c>
      <c r="F562" s="24">
        <f>(B562-$B$2)/$B$2</f>
        <v>6.6029710097506772E-2</v>
      </c>
      <c r="G562" s="11">
        <f t="shared" si="53"/>
        <v>1.7344563892275431E-2</v>
      </c>
      <c r="H562" s="25">
        <f t="shared" si="48"/>
        <v>88.730323002342161</v>
      </c>
      <c r="I562" s="26">
        <f>MAX($B$2:B562)</f>
        <v>2069.4</v>
      </c>
      <c r="J562" s="27">
        <f t="shared" si="49"/>
        <v>-0.21281530878515514</v>
      </c>
      <c r="K562" s="10">
        <f>MAX($C$2:C562)</f>
        <v>29.440999999999999</v>
      </c>
      <c r="L562" s="11">
        <f t="shared" si="50"/>
        <v>-0.37641384463842931</v>
      </c>
    </row>
    <row r="563" spans="1:12" x14ac:dyDescent="0.35">
      <c r="A563" s="5" t="s">
        <v>1362</v>
      </c>
      <c r="B563" s="22">
        <v>1631.8</v>
      </c>
      <c r="C563" s="10">
        <v>18.689</v>
      </c>
      <c r="D563" s="23">
        <f t="shared" si="51"/>
        <v>1.7188459177409174E-3</v>
      </c>
      <c r="E563" s="11">
        <f t="shared" si="52"/>
        <v>1.7974835230676958E-2</v>
      </c>
      <c r="F563" s="24">
        <f>(B563-$B$2)/$B$2</f>
        <v>6.7862050912898403E-2</v>
      </c>
      <c r="G563" s="11">
        <f t="shared" si="53"/>
        <v>3.5631164801063986E-2</v>
      </c>
      <c r="H563" s="25">
        <f t="shared" si="48"/>
        <v>87.313392904917322</v>
      </c>
      <c r="I563" s="26">
        <f>MAX($B$2:B563)</f>
        <v>2069.4</v>
      </c>
      <c r="J563" s="27">
        <f t="shared" si="49"/>
        <v>-0.21146225959215237</v>
      </c>
      <c r="K563" s="10">
        <f>MAX($C$2:C563)</f>
        <v>29.440999999999999</v>
      </c>
      <c r="L563" s="11">
        <f t="shared" si="50"/>
        <v>-0.36520498624367376</v>
      </c>
    </row>
    <row r="564" spans="1:12" x14ac:dyDescent="0.35">
      <c r="A564" s="5" t="s">
        <v>1364</v>
      </c>
      <c r="B564" s="22">
        <v>1649.2</v>
      </c>
      <c r="C564" s="10">
        <v>19.189</v>
      </c>
      <c r="D564" s="23">
        <f t="shared" si="51"/>
        <v>1.0663071454835207E-2</v>
      </c>
      <c r="E564" s="11">
        <f t="shared" si="52"/>
        <v>2.6753705388196266E-2</v>
      </c>
      <c r="F564" s="24">
        <f>(B564-$B$2)/$B$2</f>
        <v>7.924874026568951E-2</v>
      </c>
      <c r="G564" s="11">
        <f t="shared" si="53"/>
        <v>6.3338135874986184E-2</v>
      </c>
      <c r="H564" s="25">
        <f t="shared" si="48"/>
        <v>85.945072697899846</v>
      </c>
      <c r="I564" s="26">
        <f>MAX($B$2:B564)</f>
        <v>2069.4</v>
      </c>
      <c r="J564" s="27">
        <f t="shared" si="49"/>
        <v>-0.2030540253213492</v>
      </c>
      <c r="K564" s="10">
        <f>MAX($C$2:C564)</f>
        <v>29.440999999999999</v>
      </c>
      <c r="L564" s="11">
        <f t="shared" si="50"/>
        <v>-0.34822186746374101</v>
      </c>
    </row>
    <row r="565" spans="1:12" x14ac:dyDescent="0.35">
      <c r="A565" s="5" t="s">
        <v>1365</v>
      </c>
      <c r="B565" s="22">
        <v>1653.3</v>
      </c>
      <c r="C565" s="10">
        <v>19.349</v>
      </c>
      <c r="D565" s="23">
        <f t="shared" si="51"/>
        <v>2.4860538442880845E-3</v>
      </c>
      <c r="E565" s="11">
        <f t="shared" si="52"/>
        <v>8.3381103757361064E-3</v>
      </c>
      <c r="F565" s="24">
        <f>(B565-$B$2)/$B$2</f>
        <v>8.1931810745370107E-2</v>
      </c>
      <c r="G565" s="11">
        <f t="shared" si="53"/>
        <v>7.2204366618641297E-2</v>
      </c>
      <c r="H565" s="25">
        <f t="shared" si="48"/>
        <v>85.44627629334849</v>
      </c>
      <c r="I565" s="26">
        <f>MAX($B$2:B565)</f>
        <v>2069.4</v>
      </c>
      <c r="J565" s="27">
        <f t="shared" si="49"/>
        <v>-0.20107277471730942</v>
      </c>
      <c r="K565" s="10">
        <f>MAX($C$2:C565)</f>
        <v>29.440999999999999</v>
      </c>
      <c r="L565" s="11">
        <f t="shared" si="50"/>
        <v>-0.34278726945416255</v>
      </c>
    </row>
    <row r="566" spans="1:12" x14ac:dyDescent="0.35">
      <c r="A566" s="5" t="s">
        <v>1367</v>
      </c>
      <c r="B566" s="22">
        <v>1664.4</v>
      </c>
      <c r="C566" s="10">
        <v>19.486000000000001</v>
      </c>
      <c r="D566" s="23">
        <f t="shared" si="51"/>
        <v>6.7138450371984132E-3</v>
      </c>
      <c r="E566" s="11">
        <f t="shared" si="52"/>
        <v>7.0804692748979506E-3</v>
      </c>
      <c r="F566" s="24">
        <f>(B566-$B$2)/$B$2</f>
        <v>8.9195733263530003E-2</v>
      </c>
      <c r="G566" s="11">
        <f t="shared" si="53"/>
        <v>7.9796076692896012E-2</v>
      </c>
      <c r="H566" s="25">
        <f t="shared" si="48"/>
        <v>85.415169865544499</v>
      </c>
      <c r="I566" s="26">
        <f>MAX($B$2:B566)</f>
        <v>2069.4</v>
      </c>
      <c r="J566" s="27">
        <f t="shared" si="49"/>
        <v>-0.19570890113076253</v>
      </c>
      <c r="K566" s="10">
        <f>MAX($C$2:C566)</f>
        <v>29.440999999999999</v>
      </c>
      <c r="L566" s="11">
        <f t="shared" si="50"/>
        <v>-0.33813389490846096</v>
      </c>
    </row>
    <row r="567" spans="1:12" x14ac:dyDescent="0.35">
      <c r="A567" s="5" t="s">
        <v>1369</v>
      </c>
      <c r="B567" s="22">
        <v>1660.3</v>
      </c>
      <c r="C567" s="10">
        <v>19.494</v>
      </c>
      <c r="D567" s="23">
        <f t="shared" si="51"/>
        <v>-2.4633501562125308E-3</v>
      </c>
      <c r="E567" s="11">
        <f t="shared" si="52"/>
        <v>4.105511649388853E-4</v>
      </c>
      <c r="F567" s="24">
        <f>(B567-$B$2)/$B$2</f>
        <v>8.6512662783849253E-2</v>
      </c>
      <c r="G567" s="11">
        <f t="shared" si="53"/>
        <v>8.0239388230078715E-2</v>
      </c>
      <c r="H567" s="25">
        <f t="shared" si="48"/>
        <v>85.169795834615783</v>
      </c>
      <c r="I567" s="26">
        <f>MAX($B$2:B567)</f>
        <v>2069.4</v>
      </c>
      <c r="J567" s="27">
        <f t="shared" si="49"/>
        <v>-0.19769015173480242</v>
      </c>
      <c r="K567" s="10">
        <f>MAX($C$2:C567)</f>
        <v>29.440999999999999</v>
      </c>
      <c r="L567" s="11">
        <f t="shared" si="50"/>
        <v>-0.33786216500798205</v>
      </c>
    </row>
    <row r="568" spans="1:12" x14ac:dyDescent="0.35">
      <c r="A568" s="5" t="s">
        <v>1371</v>
      </c>
      <c r="B568" s="22">
        <v>1640.7</v>
      </c>
      <c r="C568" s="10">
        <v>19.184000000000001</v>
      </c>
      <c r="D568" s="23">
        <f t="shared" si="51"/>
        <v>-1.1805095464675005E-2</v>
      </c>
      <c r="E568" s="11">
        <f t="shared" si="52"/>
        <v>-1.5902328921719437E-2</v>
      </c>
      <c r="F568" s="24">
        <f>(B568-$B$2)/$B$2</f>
        <v>7.3686277076107684E-2</v>
      </c>
      <c r="G568" s="11">
        <f t="shared" si="53"/>
        <v>6.3061066164247018E-2</v>
      </c>
      <c r="H568" s="25">
        <f t="shared" si="48"/>
        <v>85.524395329441205</v>
      </c>
      <c r="I568" s="26">
        <f>MAX($B$2:B568)</f>
        <v>2069.4</v>
      </c>
      <c r="J568" s="27">
        <f t="shared" si="49"/>
        <v>-0.20716149608582199</v>
      </c>
      <c r="K568" s="10">
        <f>MAX($C$2:C568)</f>
        <v>29.440999999999999</v>
      </c>
      <c r="L568" s="11">
        <f t="shared" si="50"/>
        <v>-0.34839169865154029</v>
      </c>
    </row>
    <row r="569" spans="1:12" x14ac:dyDescent="0.35">
      <c r="A569" s="5" t="s">
        <v>1373</v>
      </c>
      <c r="B569" s="22">
        <v>1649.7</v>
      </c>
      <c r="C569" s="10">
        <v>19.728000000000002</v>
      </c>
      <c r="D569" s="23">
        <f t="shared" si="51"/>
        <v>5.485463521667581E-3</v>
      </c>
      <c r="E569" s="11">
        <f t="shared" si="52"/>
        <v>2.8356964136780675E-2</v>
      </c>
      <c r="F569" s="24">
        <f>(B569-$B$2)/$B$2</f>
        <v>7.9575943982723732E-2</v>
      </c>
      <c r="G569" s="11">
        <f t="shared" si="53"/>
        <v>9.3206250692674394E-2</v>
      </c>
      <c r="H569" s="25">
        <f t="shared" si="48"/>
        <v>83.622262773722625</v>
      </c>
      <c r="I569" s="26">
        <f>MAX($B$2:B569)</f>
        <v>2069.4</v>
      </c>
      <c r="J569" s="27">
        <f t="shared" si="49"/>
        <v>-0.20281240939402725</v>
      </c>
      <c r="K569" s="10">
        <f>MAX($C$2:C569)</f>
        <v>29.440999999999999</v>
      </c>
      <c r="L569" s="11">
        <f t="shared" si="50"/>
        <v>-0.32991406541897345</v>
      </c>
    </row>
    <row r="570" spans="1:12" x14ac:dyDescent="0.35">
      <c r="A570" s="5" t="s">
        <v>1375</v>
      </c>
      <c r="B570" s="22">
        <v>1650</v>
      </c>
      <c r="C570" s="10">
        <v>19.654</v>
      </c>
      <c r="D570" s="23">
        <f t="shared" si="51"/>
        <v>1.8185124568100534E-4</v>
      </c>
      <c r="E570" s="11">
        <f t="shared" si="52"/>
        <v>-3.7510137875102199E-3</v>
      </c>
      <c r="F570" s="24">
        <f>(B570-$B$2)/$B$2</f>
        <v>7.977226621294424E-2</v>
      </c>
      <c r="G570" s="11">
        <f t="shared" si="53"/>
        <v>8.9105618973733827E-2</v>
      </c>
      <c r="H570" s="25">
        <f t="shared" si="48"/>
        <v>83.952376106644962</v>
      </c>
      <c r="I570" s="26">
        <f>MAX($B$2:B570)</f>
        <v>2069.4</v>
      </c>
      <c r="J570" s="27">
        <f t="shared" si="49"/>
        <v>-0.20266743983763413</v>
      </c>
      <c r="K570" s="10">
        <f>MAX($C$2:C570)</f>
        <v>29.440999999999999</v>
      </c>
      <c r="L570" s="11">
        <f t="shared" si="50"/>
        <v>-0.33242756699840359</v>
      </c>
    </row>
    <row r="571" spans="1:12" x14ac:dyDescent="0.35">
      <c r="A571" s="5" t="s">
        <v>1377</v>
      </c>
      <c r="B571" s="22">
        <v>1630.9</v>
      </c>
      <c r="C571" s="10">
        <v>19.484999999999999</v>
      </c>
      <c r="D571" s="23">
        <f t="shared" si="51"/>
        <v>-1.1575757575757521E-2</v>
      </c>
      <c r="E571" s="11">
        <f t="shared" si="52"/>
        <v>-8.5987585224382053E-3</v>
      </c>
      <c r="F571" s="24">
        <f>(B571-$B$2)/$B$2</f>
        <v>6.7273084222236892E-2</v>
      </c>
      <c r="G571" s="11">
        <f t="shared" si="53"/>
        <v>7.9740662750748093E-2</v>
      </c>
      <c r="H571" s="25">
        <f t="shared" si="48"/>
        <v>83.700282268411613</v>
      </c>
      <c r="I571" s="26">
        <f>MAX($B$2:B571)</f>
        <v>2069.4</v>
      </c>
      <c r="J571" s="27">
        <f t="shared" si="49"/>
        <v>-0.21189716826133179</v>
      </c>
      <c r="K571" s="10">
        <f>MAX($C$2:C571)</f>
        <v>29.440999999999999</v>
      </c>
      <c r="L571" s="11">
        <f t="shared" si="50"/>
        <v>-0.33816786114602088</v>
      </c>
    </row>
    <row r="572" spans="1:12" x14ac:dyDescent="0.35">
      <c r="A572" s="5" t="s">
        <v>1379</v>
      </c>
      <c r="B572" s="22">
        <v>1680.5</v>
      </c>
      <c r="C572" s="10">
        <v>20.981000000000002</v>
      </c>
      <c r="D572" s="23">
        <f t="shared" si="51"/>
        <v>3.0412655588938565E-2</v>
      </c>
      <c r="E572" s="11">
        <f t="shared" si="52"/>
        <v>7.6777007954837176E-2</v>
      </c>
      <c r="F572" s="24">
        <f>(B572-$B$2)/$B$2</f>
        <v>9.9731692952032006E-2</v>
      </c>
      <c r="G572" s="11">
        <f t="shared" si="53"/>
        <v>0.16263992020392343</v>
      </c>
      <c r="H572" s="25">
        <f t="shared" si="48"/>
        <v>80.096277584481186</v>
      </c>
      <c r="I572" s="26">
        <f>MAX($B$2:B572)</f>
        <v>2069.4</v>
      </c>
      <c r="J572" s="27">
        <f t="shared" si="49"/>
        <v>-0.18792886827099645</v>
      </c>
      <c r="K572" s="10">
        <f>MAX($C$2:C572)</f>
        <v>29.440999999999999</v>
      </c>
      <c r="L572" s="11">
        <f t="shared" si="50"/>
        <v>-0.287354369756462</v>
      </c>
    </row>
    <row r="573" spans="1:12" x14ac:dyDescent="0.35">
      <c r="A573" s="5" t="s">
        <v>1381</v>
      </c>
      <c r="B573" s="22">
        <v>1716</v>
      </c>
      <c r="C573" s="10">
        <v>21.567</v>
      </c>
      <c r="D573" s="23">
        <f t="shared" si="51"/>
        <v>2.1124665278191016E-2</v>
      </c>
      <c r="E573" s="11">
        <f t="shared" si="52"/>
        <v>2.7930031933654186E-2</v>
      </c>
      <c r="F573" s="24">
        <f>(B573-$B$2)/$B$2</f>
        <v>0.12296315686146202</v>
      </c>
      <c r="G573" s="11">
        <f t="shared" si="53"/>
        <v>0.19511249030256017</v>
      </c>
      <c r="H573" s="25">
        <f t="shared" si="48"/>
        <v>79.566003616636522</v>
      </c>
      <c r="I573" s="26">
        <f>MAX($B$2:B573)</f>
        <v>2069.4</v>
      </c>
      <c r="J573" s="27">
        <f t="shared" si="49"/>
        <v>-0.17077413743113951</v>
      </c>
      <c r="K573" s="10">
        <f>MAX($C$2:C573)</f>
        <v>29.440999999999999</v>
      </c>
      <c r="L573" s="11">
        <f t="shared" si="50"/>
        <v>-0.26745015454638088</v>
      </c>
    </row>
    <row r="574" spans="1:12" x14ac:dyDescent="0.35">
      <c r="A574" s="5" t="s">
        <v>1383</v>
      </c>
      <c r="B574" s="22">
        <v>1713.7</v>
      </c>
      <c r="C574" s="10">
        <v>21.381</v>
      </c>
      <c r="D574" s="23">
        <f t="shared" si="51"/>
        <v>-1.3403263403263138E-3</v>
      </c>
      <c r="E574" s="11">
        <f t="shared" si="52"/>
        <v>-8.6242871052997615E-3</v>
      </c>
      <c r="F574" s="24">
        <f>(B574-$B$2)/$B$2</f>
        <v>0.12145801976310461</v>
      </c>
      <c r="G574" s="11">
        <f t="shared" si="53"/>
        <v>0.18480549706306112</v>
      </c>
      <c r="H574" s="25">
        <f t="shared" si="48"/>
        <v>80.150601000888642</v>
      </c>
      <c r="I574" s="26">
        <f>MAX($B$2:B574)</f>
        <v>2069.4</v>
      </c>
      <c r="J574" s="27">
        <f t="shared" si="49"/>
        <v>-0.17188557069682034</v>
      </c>
      <c r="K574" s="10">
        <f>MAX($C$2:C574)</f>
        <v>29.440999999999999</v>
      </c>
      <c r="L574" s="11">
        <f t="shared" si="50"/>
        <v>-0.27376787473251585</v>
      </c>
    </row>
    <row r="575" spans="1:12" x14ac:dyDescent="0.35">
      <c r="A575" s="5" t="s">
        <v>1385</v>
      </c>
      <c r="B575" s="22">
        <v>1753.7</v>
      </c>
      <c r="C575" s="10">
        <v>21.771999999999998</v>
      </c>
      <c r="D575" s="23">
        <f t="shared" si="51"/>
        <v>2.3341308280329112E-2</v>
      </c>
      <c r="E575" s="11">
        <f t="shared" si="52"/>
        <v>1.8287264393620422E-2</v>
      </c>
      <c r="F575" s="24">
        <f>(B575-$B$2)/$B$2</f>
        <v>0.14763431712584266</v>
      </c>
      <c r="G575" s="11">
        <f t="shared" si="53"/>
        <v>0.20647234844286819</v>
      </c>
      <c r="H575" s="25">
        <f t="shared" si="48"/>
        <v>80.548410802866073</v>
      </c>
      <c r="I575" s="26">
        <f>MAX($B$2:B575)</f>
        <v>2069.4</v>
      </c>
      <c r="J575" s="27">
        <f t="shared" si="49"/>
        <v>-0.15255629651106603</v>
      </c>
      <c r="K575" s="10">
        <f>MAX($C$2:C575)</f>
        <v>29.440999999999999</v>
      </c>
      <c r="L575" s="11">
        <f t="shared" si="50"/>
        <v>-0.26048707584660852</v>
      </c>
    </row>
    <row r="576" spans="1:12" x14ac:dyDescent="0.35">
      <c r="A576" s="5" t="s">
        <v>1387</v>
      </c>
      <c r="B576" s="22">
        <v>1776.9</v>
      </c>
      <c r="C576" s="10">
        <v>22.178000000000001</v>
      </c>
      <c r="D576" s="23">
        <f t="shared" si="51"/>
        <v>1.3229172606489164E-2</v>
      </c>
      <c r="E576" s="11">
        <f t="shared" si="52"/>
        <v>1.8647804519566526E-2</v>
      </c>
      <c r="F576" s="24">
        <f>(B576-$B$2)/$B$2</f>
        <v>0.16281656959623075</v>
      </c>
      <c r="G576" s="11">
        <f t="shared" si="53"/>
        <v>0.22897040895489315</v>
      </c>
      <c r="H576" s="25">
        <f t="shared" si="48"/>
        <v>80.119938677969159</v>
      </c>
      <c r="I576" s="26">
        <f>MAX($B$2:B576)</f>
        <v>2069.4</v>
      </c>
      <c r="J576" s="27">
        <f t="shared" si="49"/>
        <v>-0.14134531748332849</v>
      </c>
      <c r="K576" s="10">
        <f>MAX($C$2:C576)</f>
        <v>29.440999999999999</v>
      </c>
      <c r="L576" s="11">
        <f t="shared" si="50"/>
        <v>-0.24669678339730303</v>
      </c>
    </row>
    <row r="577" spans="1:12" x14ac:dyDescent="0.35">
      <c r="A577" s="5" t="s">
        <v>1389</v>
      </c>
      <c r="B577" s="22">
        <v>1776.8</v>
      </c>
      <c r="C577" s="10">
        <v>21.593</v>
      </c>
      <c r="D577" s="23">
        <f t="shared" si="51"/>
        <v>-5.6277787157485742E-5</v>
      </c>
      <c r="E577" s="11">
        <f t="shared" si="52"/>
        <v>-2.6377491207502969E-2</v>
      </c>
      <c r="F577" s="24">
        <f>(B577-$B$2)/$B$2</f>
        <v>0.16275112885282381</v>
      </c>
      <c r="G577" s="11">
        <f t="shared" si="53"/>
        <v>0.19655325279840413</v>
      </c>
      <c r="H577" s="25">
        <f t="shared" si="48"/>
        <v>82.285925994535262</v>
      </c>
      <c r="I577" s="26">
        <f>MAX($B$2:B577)</f>
        <v>2069.4</v>
      </c>
      <c r="J577" s="27">
        <f t="shared" si="49"/>
        <v>-0.14139364066879295</v>
      </c>
      <c r="K577" s="10">
        <f>MAX($C$2:C577)</f>
        <v>29.440999999999999</v>
      </c>
      <c r="L577" s="11">
        <f t="shared" si="50"/>
        <v>-0.26656703236982437</v>
      </c>
    </row>
    <row r="578" spans="1:12" x14ac:dyDescent="0.35">
      <c r="A578" s="5" t="s">
        <v>1391</v>
      </c>
      <c r="B578" s="22">
        <v>1775.8</v>
      </c>
      <c r="C578" s="10">
        <v>21.603999999999999</v>
      </c>
      <c r="D578" s="23">
        <f t="shared" si="51"/>
        <v>-5.628095452498875E-4</v>
      </c>
      <c r="E578" s="11">
        <f t="shared" si="52"/>
        <v>5.0942435048391757E-4</v>
      </c>
      <c r="F578" s="24">
        <f>(B578-$B$2)/$B$2</f>
        <v>0.16209672141875536</v>
      </c>
      <c r="G578" s="11">
        <f t="shared" si="53"/>
        <v>0.19716280616203036</v>
      </c>
      <c r="H578" s="25">
        <f t="shared" si="48"/>
        <v>82.197741159044625</v>
      </c>
      <c r="I578" s="26">
        <f>MAX($B$2:B578)</f>
        <v>2069.4</v>
      </c>
      <c r="J578" s="27">
        <f t="shared" si="49"/>
        <v>-0.14187687252343681</v>
      </c>
      <c r="K578" s="10">
        <f>MAX($C$2:C578)</f>
        <v>29.440999999999999</v>
      </c>
      <c r="L578" s="11">
        <f t="shared" si="50"/>
        <v>-0.26619340375666589</v>
      </c>
    </row>
    <row r="579" spans="1:12" x14ac:dyDescent="0.35">
      <c r="A579" s="5" t="s">
        <v>1393</v>
      </c>
      <c r="B579" s="22">
        <v>1763</v>
      </c>
      <c r="C579" s="10">
        <v>21.053999999999998</v>
      </c>
      <c r="D579" s="23">
        <f t="shared" si="51"/>
        <v>-7.208018921049642E-3</v>
      </c>
      <c r="E579" s="11">
        <f t="shared" si="52"/>
        <v>-2.5458248472505125E-2</v>
      </c>
      <c r="F579" s="24">
        <f>(B579-$B$2)/$B$2</f>
        <v>0.15372030626267921</v>
      </c>
      <c r="G579" s="11">
        <f t="shared" si="53"/>
        <v>0.16668513798071591</v>
      </c>
      <c r="H579" s="25">
        <f t="shared" ref="H579:H642" si="54">B579/C579</f>
        <v>83.737057091289074</v>
      </c>
      <c r="I579" s="26">
        <f>MAX($B$2:B579)</f>
        <v>2069.4</v>
      </c>
      <c r="J579" s="27">
        <f t="shared" ref="J579:J642" si="55">(B579-I579)/I579</f>
        <v>-0.14806224026287818</v>
      </c>
      <c r="K579" s="10">
        <f>MAX($C$2:C579)</f>
        <v>29.440999999999999</v>
      </c>
      <c r="L579" s="11">
        <f t="shared" ref="L579:L642" si="56">(C579-K579)/K579</f>
        <v>-0.28487483441459194</v>
      </c>
    </row>
    <row r="580" spans="1:12" x14ac:dyDescent="0.35">
      <c r="A580" s="5" t="s">
        <v>1395</v>
      </c>
      <c r="B580" s="22">
        <v>1739.6</v>
      </c>
      <c r="C580" s="10">
        <v>20.952000000000002</v>
      </c>
      <c r="D580" s="23">
        <f t="shared" ref="D580:D643" si="57">(B580-B579)/B579</f>
        <v>-1.3272830402722683E-2</v>
      </c>
      <c r="E580" s="11">
        <f t="shared" ref="E580:E643" si="58">(C580-C579)/C579</f>
        <v>-4.8446850954686413E-3</v>
      </c>
      <c r="F580" s="24">
        <f>(B580-$B$2)/$B$2</f>
        <v>0.13840717230547739</v>
      </c>
      <c r="G580" s="11">
        <f t="shared" ref="G580:G643" si="59">(C580-$C$2)/$C$2</f>
        <v>0.16103291588163596</v>
      </c>
      <c r="H580" s="25">
        <f t="shared" si="54"/>
        <v>83.027873234058788</v>
      </c>
      <c r="I580" s="26">
        <f>MAX($B$2:B580)</f>
        <v>2069.4</v>
      </c>
      <c r="J580" s="27">
        <f t="shared" si="55"/>
        <v>-0.15936986566154449</v>
      </c>
      <c r="K580" s="10">
        <f>MAX($C$2:C580)</f>
        <v>29.440999999999999</v>
      </c>
      <c r="L580" s="11">
        <f t="shared" si="56"/>
        <v>-0.28833939064569808</v>
      </c>
    </row>
    <row r="581" spans="1:12" x14ac:dyDescent="0.35">
      <c r="A581" s="5" t="s">
        <v>1397</v>
      </c>
      <c r="B581" s="22">
        <v>1739.9</v>
      </c>
      <c r="C581" s="10">
        <v>21.13</v>
      </c>
      <c r="D581" s="23">
        <f t="shared" si="57"/>
        <v>1.7245343757196018E-4</v>
      </c>
      <c r="E581" s="11">
        <f t="shared" si="58"/>
        <v>8.4956090110727984E-3</v>
      </c>
      <c r="F581" s="24">
        <f>(B581-$B$2)/$B$2</f>
        <v>0.13860349453569806</v>
      </c>
      <c r="G581" s="11">
        <f t="shared" si="59"/>
        <v>0.17089659758395212</v>
      </c>
      <c r="H581" s="25">
        <f t="shared" si="54"/>
        <v>82.342640795078097</v>
      </c>
      <c r="I581" s="26">
        <f>MAX($B$2:B581)</f>
        <v>2069.4</v>
      </c>
      <c r="J581" s="27">
        <f t="shared" si="55"/>
        <v>-0.15922489610515125</v>
      </c>
      <c r="K581" s="10">
        <f>MAX($C$2:C581)</f>
        <v>29.440999999999999</v>
      </c>
      <c r="L581" s="11">
        <f t="shared" si="56"/>
        <v>-0.28229340036004213</v>
      </c>
    </row>
    <row r="582" spans="1:12" x14ac:dyDescent="0.35">
      <c r="A582" s="5" t="s">
        <v>1399</v>
      </c>
      <c r="B582" s="22">
        <v>1745.6</v>
      </c>
      <c r="C582" s="10">
        <v>21.436</v>
      </c>
      <c r="D582" s="23">
        <f t="shared" si="57"/>
        <v>3.2760503477210286E-3</v>
      </c>
      <c r="E582" s="11">
        <f t="shared" si="58"/>
        <v>1.4481779460482772E-2</v>
      </c>
      <c r="F582" s="24">
        <f>(B582-$B$2)/$B$2</f>
        <v>0.14233361690988811</v>
      </c>
      <c r="G582" s="11">
        <f t="shared" si="59"/>
        <v>0.18785326388119256</v>
      </c>
      <c r="H582" s="25">
        <f t="shared" si="54"/>
        <v>81.433103190893817</v>
      </c>
      <c r="I582" s="26">
        <f>MAX($B$2:B582)</f>
        <v>2069.4</v>
      </c>
      <c r="J582" s="27">
        <f t="shared" si="55"/>
        <v>-0.15647047453368135</v>
      </c>
      <c r="K582" s="10">
        <f>MAX($C$2:C582)</f>
        <v>29.440999999999999</v>
      </c>
      <c r="L582" s="11">
        <f t="shared" si="56"/>
        <v>-0.27189973166672327</v>
      </c>
    </row>
    <row r="583" spans="1:12" x14ac:dyDescent="0.35">
      <c r="A583" s="5" t="s">
        <v>1401</v>
      </c>
      <c r="B583" s="22">
        <v>1740.3</v>
      </c>
      <c r="C583" s="10">
        <v>21.001999999999999</v>
      </c>
      <c r="D583" s="23">
        <f t="shared" si="57"/>
        <v>-3.0362053162236221E-3</v>
      </c>
      <c r="E583" s="11">
        <f t="shared" si="58"/>
        <v>-2.0246314610934926E-2</v>
      </c>
      <c r="F583" s="24">
        <f>(B583-$B$2)/$B$2</f>
        <v>0.13886525750932535</v>
      </c>
      <c r="G583" s="11">
        <f t="shared" si="59"/>
        <v>0.16380361298902801</v>
      </c>
      <c r="H583" s="25">
        <f t="shared" si="54"/>
        <v>82.863536806018473</v>
      </c>
      <c r="I583" s="26">
        <f>MAX($B$2:B583)</f>
        <v>2069.4</v>
      </c>
      <c r="J583" s="27">
        <f t="shared" si="55"/>
        <v>-0.15903160336329378</v>
      </c>
      <c r="K583" s="10">
        <f>MAX($C$2:C583)</f>
        <v>29.440999999999999</v>
      </c>
      <c r="L583" s="11">
        <f t="shared" si="56"/>
        <v>-0.28664107876770489</v>
      </c>
    </row>
    <row r="584" spans="1:12" x14ac:dyDescent="0.35">
      <c r="A584" s="5" t="s">
        <v>1403</v>
      </c>
      <c r="B584" s="22">
        <v>1756.3</v>
      </c>
      <c r="C584" s="10">
        <v>21.391999999999999</v>
      </c>
      <c r="D584" s="23">
        <f t="shared" si="57"/>
        <v>9.1938171579612708E-3</v>
      </c>
      <c r="E584" s="11">
        <f t="shared" si="58"/>
        <v>1.8569660032377897E-2</v>
      </c>
      <c r="F584" s="24">
        <f>(B584-$B$2)/$B$2</f>
        <v>0.14933577645442056</v>
      </c>
      <c r="G584" s="11">
        <f t="shared" si="59"/>
        <v>0.18541505042668738</v>
      </c>
      <c r="H584" s="25">
        <f t="shared" si="54"/>
        <v>82.100785340314133</v>
      </c>
      <c r="I584" s="26">
        <f>MAX($B$2:B584)</f>
        <v>2069.4</v>
      </c>
      <c r="J584" s="27">
        <f t="shared" si="55"/>
        <v>-0.15129989368899205</v>
      </c>
      <c r="K584" s="10">
        <f>MAX($C$2:C584)</f>
        <v>29.440999999999999</v>
      </c>
      <c r="L584" s="11">
        <f t="shared" si="56"/>
        <v>-0.27339424611935736</v>
      </c>
    </row>
    <row r="585" spans="1:12" x14ac:dyDescent="0.35">
      <c r="A585" s="5" t="s">
        <v>1405</v>
      </c>
      <c r="B585" s="22">
        <v>1753.2</v>
      </c>
      <c r="C585" s="10">
        <v>21.727</v>
      </c>
      <c r="D585" s="23">
        <f t="shared" si="57"/>
        <v>-1.7650743039343559E-3</v>
      </c>
      <c r="E585" s="11">
        <f t="shared" si="58"/>
        <v>1.5660059835452544E-2</v>
      </c>
      <c r="F585" s="24">
        <f>(B585-$B$2)/$B$2</f>
        <v>0.14730711340880842</v>
      </c>
      <c r="G585" s="11">
        <f t="shared" si="59"/>
        <v>0.20397872104621528</v>
      </c>
      <c r="H585" s="25">
        <f t="shared" si="54"/>
        <v>80.692226262254337</v>
      </c>
      <c r="I585" s="26">
        <f>MAX($B$2:B585)</f>
        <v>2069.4</v>
      </c>
      <c r="J585" s="27">
        <f t="shared" si="55"/>
        <v>-0.15279791243838795</v>
      </c>
      <c r="K585" s="10">
        <f>MAX($C$2:C585)</f>
        <v>29.440999999999999</v>
      </c>
      <c r="L585" s="11">
        <f t="shared" si="56"/>
        <v>-0.26201555653680236</v>
      </c>
    </row>
    <row r="586" spans="1:12" x14ac:dyDescent="0.35">
      <c r="A586" s="5" t="s">
        <v>1407</v>
      </c>
      <c r="B586" s="22">
        <v>1808.2</v>
      </c>
      <c r="C586" s="10">
        <v>22.786000000000001</v>
      </c>
      <c r="D586" s="23">
        <f t="shared" si="57"/>
        <v>3.1371206935888657E-2</v>
      </c>
      <c r="E586" s="11">
        <f t="shared" si="58"/>
        <v>4.8741197588254292E-2</v>
      </c>
      <c r="F586" s="24">
        <f>(B586-$B$2)/$B$2</f>
        <v>0.18329952228257324</v>
      </c>
      <c r="G586" s="11">
        <f t="shared" si="59"/>
        <v>0.26266208578078254</v>
      </c>
      <c r="H586" s="25">
        <f t="shared" si="54"/>
        <v>79.355744755551655</v>
      </c>
      <c r="I586" s="26">
        <f>MAX($B$2:B586)</f>
        <v>2069.4</v>
      </c>
      <c r="J586" s="27">
        <f t="shared" si="55"/>
        <v>-0.12622016043297576</v>
      </c>
      <c r="K586" s="10">
        <f>MAX($C$2:C586)</f>
        <v>29.440999999999999</v>
      </c>
      <c r="L586" s="11">
        <f t="shared" si="56"/>
        <v>-0.2260453109609048</v>
      </c>
    </row>
    <row r="587" spans="1:12" x14ac:dyDescent="0.35">
      <c r="A587" s="5" t="s">
        <v>1409</v>
      </c>
      <c r="B587" s="22">
        <v>1774.3</v>
      </c>
      <c r="C587" s="10">
        <v>22.324000000000002</v>
      </c>
      <c r="D587" s="23">
        <f t="shared" si="57"/>
        <v>-1.874792611436793E-2</v>
      </c>
      <c r="E587" s="11">
        <f t="shared" si="58"/>
        <v>-2.0275607829368898E-2</v>
      </c>
      <c r="F587" s="24">
        <f>(B587-$B$2)/$B$2</f>
        <v>0.16111511026765268</v>
      </c>
      <c r="G587" s="11">
        <f t="shared" si="59"/>
        <v>0.23706084450847847</v>
      </c>
      <c r="H587" s="25">
        <f t="shared" si="54"/>
        <v>79.479483963447407</v>
      </c>
      <c r="I587" s="26">
        <f>MAX($B$2:B587)</f>
        <v>2069.4</v>
      </c>
      <c r="J587" s="27">
        <f t="shared" si="55"/>
        <v>-0.14260172030540258</v>
      </c>
      <c r="K587" s="10">
        <f>MAX($C$2:C587)</f>
        <v>29.440999999999999</v>
      </c>
      <c r="L587" s="11">
        <f t="shared" si="56"/>
        <v>-0.24173771271356265</v>
      </c>
    </row>
    <row r="588" spans="1:12" x14ac:dyDescent="0.35">
      <c r="A588" s="5" t="s">
        <v>1411</v>
      </c>
      <c r="B588" s="22">
        <v>1775.5</v>
      </c>
      <c r="C588" s="10">
        <v>22.256</v>
      </c>
      <c r="D588" s="23">
        <f t="shared" si="57"/>
        <v>6.7632305698024316E-4</v>
      </c>
      <c r="E588" s="11">
        <f t="shared" si="58"/>
        <v>-3.0460490951443016E-3</v>
      </c>
      <c r="F588" s="24">
        <f>(B588-$B$2)/$B$2</f>
        <v>0.16190039918853485</v>
      </c>
      <c r="G588" s="11">
        <f t="shared" si="59"/>
        <v>0.23329269644242498</v>
      </c>
      <c r="H588" s="25">
        <f t="shared" si="54"/>
        <v>79.776240115025161</v>
      </c>
      <c r="I588" s="26">
        <f>MAX($B$2:B588)</f>
        <v>2069.4</v>
      </c>
      <c r="J588" s="27">
        <f t="shared" si="55"/>
        <v>-0.14202184207982993</v>
      </c>
      <c r="K588" s="10">
        <f>MAX($C$2:C588)</f>
        <v>29.440999999999999</v>
      </c>
      <c r="L588" s="11">
        <f t="shared" si="56"/>
        <v>-0.24404741686763354</v>
      </c>
    </row>
    <row r="589" spans="1:12" x14ac:dyDescent="0.35">
      <c r="A589" s="5" t="s">
        <v>1413</v>
      </c>
      <c r="B589" s="22">
        <v>1791</v>
      </c>
      <c r="C589" s="10">
        <v>22.837</v>
      </c>
      <c r="D589" s="23">
        <f t="shared" si="57"/>
        <v>8.7299352295128127E-3</v>
      </c>
      <c r="E589" s="11">
        <f t="shared" si="58"/>
        <v>2.6105319913731106E-2</v>
      </c>
      <c r="F589" s="24">
        <f>(B589-$B$2)/$B$2</f>
        <v>0.17204371441659586</v>
      </c>
      <c r="G589" s="11">
        <f t="shared" si="59"/>
        <v>0.26548819683032254</v>
      </c>
      <c r="H589" s="25">
        <f t="shared" si="54"/>
        <v>78.425362350571447</v>
      </c>
      <c r="I589" s="26">
        <f>MAX($B$2:B589)</f>
        <v>2069.4</v>
      </c>
      <c r="J589" s="27">
        <f t="shared" si="55"/>
        <v>-0.13453174833285014</v>
      </c>
      <c r="K589" s="10">
        <f>MAX($C$2:C589)</f>
        <v>29.440999999999999</v>
      </c>
      <c r="L589" s="11">
        <f t="shared" si="56"/>
        <v>-0.2243130328453517</v>
      </c>
    </row>
    <row r="590" spans="1:12" x14ac:dyDescent="0.35">
      <c r="A590" s="5" t="s">
        <v>1415</v>
      </c>
      <c r="B590" s="22">
        <v>1794.2</v>
      </c>
      <c r="C590" s="10">
        <v>23.157</v>
      </c>
      <c r="D590" s="23">
        <f t="shared" si="57"/>
        <v>1.7867113344500532E-3</v>
      </c>
      <c r="E590" s="11">
        <f t="shared" si="58"/>
        <v>1.4012348382011661E-2</v>
      </c>
      <c r="F590" s="24">
        <f>(B590-$B$2)/$B$2</f>
        <v>0.17413781820561491</v>
      </c>
      <c r="G590" s="11">
        <f t="shared" si="59"/>
        <v>0.28322065831763277</v>
      </c>
      <c r="H590" s="25">
        <f t="shared" si="54"/>
        <v>77.479811719998281</v>
      </c>
      <c r="I590" s="26">
        <f>MAX($B$2:B590)</f>
        <v>2069.4</v>
      </c>
      <c r="J590" s="27">
        <f t="shared" si="55"/>
        <v>-0.13298540639798978</v>
      </c>
      <c r="K590" s="10">
        <f>MAX($C$2:C590)</f>
        <v>29.440999999999999</v>
      </c>
      <c r="L590" s="11">
        <f t="shared" si="56"/>
        <v>-0.21344383682619472</v>
      </c>
    </row>
    <row r="591" spans="1:12" x14ac:dyDescent="0.35">
      <c r="A591" s="5" t="s">
        <v>1417</v>
      </c>
      <c r="B591" s="22">
        <v>1785</v>
      </c>
      <c r="C591" s="10">
        <v>23.314</v>
      </c>
      <c r="D591" s="23">
        <f t="shared" si="57"/>
        <v>-5.1276334856760926E-3</v>
      </c>
      <c r="E591" s="11">
        <f t="shared" si="58"/>
        <v>6.7798074016496108E-3</v>
      </c>
      <c r="F591" s="24">
        <f>(B591-$B$2)/$B$2</f>
        <v>0.16811726981218514</v>
      </c>
      <c r="G591" s="11">
        <f t="shared" si="59"/>
        <v>0.29192064723484434</v>
      </c>
      <c r="H591" s="25">
        <f t="shared" si="54"/>
        <v>76.563438277429867</v>
      </c>
      <c r="I591" s="26">
        <f>MAX($B$2:B591)</f>
        <v>2069.4</v>
      </c>
      <c r="J591" s="27">
        <f t="shared" si="55"/>
        <v>-0.13743113946071328</v>
      </c>
      <c r="K591" s="10">
        <f>MAX($C$2:C591)</f>
        <v>29.440999999999999</v>
      </c>
      <c r="L591" s="11">
        <f t="shared" si="56"/>
        <v>-0.20811113752929586</v>
      </c>
    </row>
    <row r="592" spans="1:12" x14ac:dyDescent="0.35">
      <c r="A592" s="5" t="s">
        <v>1419</v>
      </c>
      <c r="B592" s="22">
        <v>1818.3</v>
      </c>
      <c r="C592" s="10">
        <v>23.908999999999999</v>
      </c>
      <c r="D592" s="23">
        <f t="shared" si="57"/>
        <v>1.8655462184873923E-2</v>
      </c>
      <c r="E592" s="11">
        <f t="shared" si="58"/>
        <v>2.5521146092476573E-2</v>
      </c>
      <c r="F592" s="24">
        <f>(B592-$B$2)/$B$2</f>
        <v>0.18990903736666453</v>
      </c>
      <c r="G592" s="11">
        <f t="shared" si="59"/>
        <v>0.3248919428128117</v>
      </c>
      <c r="H592" s="25">
        <f t="shared" si="54"/>
        <v>76.050859508971513</v>
      </c>
      <c r="I592" s="26">
        <f>MAX($B$2:B592)</f>
        <v>2069.4</v>
      </c>
      <c r="J592" s="27">
        <f t="shared" si="55"/>
        <v>-0.12133951870107283</v>
      </c>
      <c r="K592" s="10">
        <f>MAX($C$2:C592)</f>
        <v>29.440999999999999</v>
      </c>
      <c r="L592" s="11">
        <f t="shared" si="56"/>
        <v>-0.18790122618117591</v>
      </c>
    </row>
    <row r="593" spans="1:12" x14ac:dyDescent="0.35">
      <c r="A593" s="5" t="s">
        <v>1421</v>
      </c>
      <c r="B593" s="22">
        <v>1811.5</v>
      </c>
      <c r="C593" s="10">
        <v>24.048999999999999</v>
      </c>
      <c r="D593" s="23">
        <f t="shared" si="57"/>
        <v>-3.739756915800448E-3</v>
      </c>
      <c r="E593" s="11">
        <f t="shared" si="58"/>
        <v>5.8555355723786265E-3</v>
      </c>
      <c r="F593" s="24">
        <f>(B593-$B$2)/$B$2</f>
        <v>0.1854590668149991</v>
      </c>
      <c r="G593" s="11">
        <f t="shared" si="59"/>
        <v>0.33264989471350992</v>
      </c>
      <c r="H593" s="25">
        <f t="shared" si="54"/>
        <v>75.325377354567763</v>
      </c>
      <c r="I593" s="26">
        <f>MAX($B$2:B593)</f>
        <v>2069.4</v>
      </c>
      <c r="J593" s="27">
        <f t="shared" si="55"/>
        <v>-0.12462549531265105</v>
      </c>
      <c r="K593" s="10">
        <f>MAX($C$2:C593)</f>
        <v>29.440999999999999</v>
      </c>
      <c r="L593" s="11">
        <f t="shared" si="56"/>
        <v>-0.18314595292279473</v>
      </c>
    </row>
    <row r="594" spans="1:12" x14ac:dyDescent="0.35">
      <c r="A594" s="5" t="s">
        <v>1422</v>
      </c>
      <c r="B594" s="22">
        <v>1780.6</v>
      </c>
      <c r="C594" s="10">
        <v>23.228999999999999</v>
      </c>
      <c r="D594" s="23">
        <f t="shared" si="57"/>
        <v>-1.7057686999724035E-2</v>
      </c>
      <c r="E594" s="11">
        <f t="shared" si="58"/>
        <v>-3.4097051852467891E-2</v>
      </c>
      <c r="F594" s="24">
        <f>(B594-$B$2)/$B$2</f>
        <v>0.16523787710228388</v>
      </c>
      <c r="G594" s="11">
        <f t="shared" si="59"/>
        <v>0.28721046215227752</v>
      </c>
      <c r="H594" s="25">
        <f t="shared" si="54"/>
        <v>76.654182272159801</v>
      </c>
      <c r="I594" s="26">
        <f>MAX($B$2:B594)</f>
        <v>2069.4</v>
      </c>
      <c r="J594" s="27">
        <f t="shared" si="55"/>
        <v>-0.13955735962114632</v>
      </c>
      <c r="K594" s="10">
        <f>MAX($C$2:C594)</f>
        <v>29.440999999999999</v>
      </c>
      <c r="L594" s="11">
        <f t="shared" si="56"/>
        <v>-0.21099826772188446</v>
      </c>
    </row>
    <row r="595" spans="1:12" x14ac:dyDescent="0.35">
      <c r="A595" s="5" t="s">
        <v>1424</v>
      </c>
      <c r="B595" s="22">
        <v>1791</v>
      </c>
      <c r="C595" s="10">
        <v>23.117000000000001</v>
      </c>
      <c r="D595" s="23">
        <f t="shared" si="57"/>
        <v>5.8407278445468331E-3</v>
      </c>
      <c r="E595" s="11">
        <f t="shared" si="58"/>
        <v>-4.8215592578241991E-3</v>
      </c>
      <c r="F595" s="24">
        <f>(B595-$B$2)/$B$2</f>
        <v>0.17204371441659586</v>
      </c>
      <c r="G595" s="11">
        <f t="shared" si="59"/>
        <v>0.28100410063171904</v>
      </c>
      <c r="H595" s="25">
        <f t="shared" si="54"/>
        <v>77.475450966820958</v>
      </c>
      <c r="I595" s="26">
        <f>MAX($B$2:B595)</f>
        <v>2069.4</v>
      </c>
      <c r="J595" s="27">
        <f t="shared" si="55"/>
        <v>-0.13453174833285014</v>
      </c>
      <c r="K595" s="10">
        <f>MAX($C$2:C595)</f>
        <v>29.440999999999999</v>
      </c>
      <c r="L595" s="11">
        <f t="shared" si="56"/>
        <v>-0.21480248632858934</v>
      </c>
    </row>
    <row r="596" spans="1:12" x14ac:dyDescent="0.35">
      <c r="A596" s="5" t="s">
        <v>1426</v>
      </c>
      <c r="B596" s="22">
        <v>1818.6</v>
      </c>
      <c r="C596" s="10">
        <v>24.183</v>
      </c>
      <c r="D596" s="23">
        <f t="shared" si="57"/>
        <v>1.541038525963144E-2</v>
      </c>
      <c r="E596" s="11">
        <f t="shared" si="58"/>
        <v>4.6113249989185402E-2</v>
      </c>
      <c r="F596" s="24">
        <f>(B596-$B$2)/$B$2</f>
        <v>0.19010535959688504</v>
      </c>
      <c r="G596" s="11">
        <f t="shared" si="59"/>
        <v>0.34007536296132113</v>
      </c>
      <c r="H596" s="25">
        <f t="shared" si="54"/>
        <v>75.201587892321044</v>
      </c>
      <c r="I596" s="26">
        <f>MAX($B$2:B596)</f>
        <v>2069.4</v>
      </c>
      <c r="J596" s="27">
        <f t="shared" si="55"/>
        <v>-0.1211945491446797</v>
      </c>
      <c r="K596" s="10">
        <f>MAX($C$2:C596)</f>
        <v>29.440999999999999</v>
      </c>
      <c r="L596" s="11">
        <f t="shared" si="56"/>
        <v>-0.17859447708977275</v>
      </c>
    </row>
    <row r="597" spans="1:12" x14ac:dyDescent="0.35">
      <c r="A597" s="5" t="s">
        <v>1428</v>
      </c>
      <c r="B597" s="22">
        <v>1818.5</v>
      </c>
      <c r="C597" s="10">
        <v>24.120999999999999</v>
      </c>
      <c r="D597" s="23">
        <f t="shared" si="57"/>
        <v>-5.4987352908780961E-5</v>
      </c>
      <c r="E597" s="11">
        <f t="shared" si="58"/>
        <v>-2.5637844766985556E-3</v>
      </c>
      <c r="F597" s="24">
        <f>(B597-$B$2)/$B$2</f>
        <v>0.19003991885347823</v>
      </c>
      <c r="G597" s="11">
        <f t="shared" si="59"/>
        <v>0.33663969854815468</v>
      </c>
      <c r="H597" s="25">
        <f t="shared" si="54"/>
        <v>75.390738360764487</v>
      </c>
      <c r="I597" s="26">
        <f>MAX($B$2:B597)</f>
        <v>2069.4</v>
      </c>
      <c r="J597" s="27">
        <f t="shared" si="55"/>
        <v>-0.12124287233014404</v>
      </c>
      <c r="K597" s="10">
        <f>MAX($C$2:C597)</f>
        <v>29.440999999999999</v>
      </c>
      <c r="L597" s="11">
        <f t="shared" si="56"/>
        <v>-0.18070038381848444</v>
      </c>
    </row>
    <row r="598" spans="1:12" x14ac:dyDescent="0.35">
      <c r="A598" s="5" t="s">
        <v>1430</v>
      </c>
      <c r="B598" s="22">
        <v>1788.5</v>
      </c>
      <c r="C598" s="10">
        <v>23.561</v>
      </c>
      <c r="D598" s="23">
        <f t="shared" si="57"/>
        <v>-1.6497113005224086E-2</v>
      </c>
      <c r="E598" s="11">
        <f t="shared" si="58"/>
        <v>-2.3216284565316478E-2</v>
      </c>
      <c r="F598" s="24">
        <f>(B598-$B$2)/$B$2</f>
        <v>0.1704076958314247</v>
      </c>
      <c r="G598" s="11">
        <f t="shared" si="59"/>
        <v>0.30560789094536189</v>
      </c>
      <c r="H598" s="25">
        <f t="shared" si="54"/>
        <v>75.909341708755989</v>
      </c>
      <c r="I598" s="26">
        <f>MAX($B$2:B598)</f>
        <v>2069.4</v>
      </c>
      <c r="J598" s="27">
        <f t="shared" si="55"/>
        <v>-0.1357398279694598</v>
      </c>
      <c r="K598" s="10">
        <f>MAX($C$2:C598)</f>
        <v>29.440999999999999</v>
      </c>
      <c r="L598" s="11">
        <f t="shared" si="56"/>
        <v>-0.19972147685200908</v>
      </c>
    </row>
    <row r="599" spans="1:12" x14ac:dyDescent="0.35">
      <c r="A599" s="5" t="s">
        <v>1432</v>
      </c>
      <c r="B599" s="22">
        <v>1816.3</v>
      </c>
      <c r="C599" s="10">
        <v>24.141999999999999</v>
      </c>
      <c r="D599" s="23">
        <f t="shared" si="57"/>
        <v>1.5543751747274227E-2</v>
      </c>
      <c r="E599" s="11">
        <f t="shared" si="58"/>
        <v>2.4659394762531282E-2</v>
      </c>
      <c r="F599" s="24">
        <f>(B599-$B$2)/$B$2</f>
        <v>0.18860022249852762</v>
      </c>
      <c r="G599" s="11">
        <f t="shared" si="59"/>
        <v>0.33780339133325948</v>
      </c>
      <c r="H599" s="25">
        <f t="shared" si="54"/>
        <v>75.234031977466657</v>
      </c>
      <c r="I599" s="26">
        <f>MAX($B$2:B599)</f>
        <v>2069.4</v>
      </c>
      <c r="J599" s="27">
        <f t="shared" si="55"/>
        <v>-0.12230598241036054</v>
      </c>
      <c r="K599" s="10">
        <f>MAX($C$2:C599)</f>
        <v>29.440999999999999</v>
      </c>
      <c r="L599" s="11">
        <f t="shared" si="56"/>
        <v>-0.17998709282972725</v>
      </c>
    </row>
    <row r="600" spans="1:12" x14ac:dyDescent="0.35">
      <c r="A600" s="5" t="s">
        <v>1434</v>
      </c>
      <c r="B600" s="22">
        <v>1808.8</v>
      </c>
      <c r="C600" s="10">
        <v>23.756</v>
      </c>
      <c r="D600" s="23">
        <f t="shared" si="57"/>
        <v>-4.1292737983813247E-3</v>
      </c>
      <c r="E600" s="11">
        <f t="shared" si="58"/>
        <v>-1.5988733327810423E-2</v>
      </c>
      <c r="F600" s="24">
        <f>(B600-$B$2)/$B$2</f>
        <v>0.18369216674301425</v>
      </c>
      <c r="G600" s="11">
        <f t="shared" si="59"/>
        <v>0.31641360966419158</v>
      </c>
      <c r="H600" s="25">
        <f t="shared" si="54"/>
        <v>76.140764438457651</v>
      </c>
      <c r="I600" s="26">
        <f>MAX($B$2:B600)</f>
        <v>2069.4</v>
      </c>
      <c r="J600" s="27">
        <f t="shared" si="55"/>
        <v>-0.12593022132018949</v>
      </c>
      <c r="K600" s="10">
        <f>MAX($C$2:C600)</f>
        <v>29.440999999999999</v>
      </c>
      <c r="L600" s="11">
        <f t="shared" si="56"/>
        <v>-0.19309806052783529</v>
      </c>
    </row>
    <row r="601" spans="1:12" x14ac:dyDescent="0.35">
      <c r="A601" s="5" t="s">
        <v>1436</v>
      </c>
      <c r="B601" s="22">
        <v>1826</v>
      </c>
      <c r="C601" s="10">
        <v>24.25</v>
      </c>
      <c r="D601" s="23">
        <f t="shared" si="57"/>
        <v>9.5090667846086056E-3</v>
      </c>
      <c r="E601" s="11">
        <f t="shared" si="58"/>
        <v>2.0794746590335065E-2</v>
      </c>
      <c r="F601" s="24">
        <f>(B601-$B$2)/$B$2</f>
        <v>0.19494797460899163</v>
      </c>
      <c r="G601" s="11">
        <f t="shared" si="59"/>
        <v>0.34378809708522667</v>
      </c>
      <c r="H601" s="25">
        <f t="shared" si="54"/>
        <v>75.298969072164951</v>
      </c>
      <c r="I601" s="26">
        <f>MAX($B$2:B601)</f>
        <v>2069.4</v>
      </c>
      <c r="J601" s="27">
        <f t="shared" si="55"/>
        <v>-0.1176186334203151</v>
      </c>
      <c r="K601" s="10">
        <f>MAX($C$2:C601)</f>
        <v>29.440999999999999</v>
      </c>
      <c r="L601" s="11">
        <f t="shared" si="56"/>
        <v>-0.17631873917326174</v>
      </c>
    </row>
    <row r="602" spans="1:12" x14ac:dyDescent="0.35">
      <c r="A602" s="5" t="s">
        <v>1438</v>
      </c>
      <c r="B602" s="22">
        <v>1846.1</v>
      </c>
      <c r="C602" s="10">
        <v>24.236000000000001</v>
      </c>
      <c r="D602" s="23">
        <f t="shared" si="57"/>
        <v>1.1007667031763367E-2</v>
      </c>
      <c r="E602" s="11">
        <f t="shared" si="58"/>
        <v>-5.77319587628839E-4</v>
      </c>
      <c r="F602" s="24">
        <f>(B602-$B$2)/$B$2</f>
        <v>0.20810156403376742</v>
      </c>
      <c r="G602" s="11">
        <f t="shared" si="59"/>
        <v>0.34301230189515691</v>
      </c>
      <c r="H602" s="25">
        <f t="shared" si="54"/>
        <v>76.171810529790392</v>
      </c>
      <c r="I602" s="26">
        <f>MAX($B$2:B602)</f>
        <v>2069.4</v>
      </c>
      <c r="J602" s="27">
        <f t="shared" si="55"/>
        <v>-0.10790567314197361</v>
      </c>
      <c r="K602" s="10">
        <f>MAX($C$2:C602)</f>
        <v>29.440999999999999</v>
      </c>
      <c r="L602" s="11">
        <f t="shared" si="56"/>
        <v>-0.17679426649909985</v>
      </c>
    </row>
    <row r="603" spans="1:12" x14ac:dyDescent="0.35">
      <c r="A603" s="5" t="s">
        <v>1440</v>
      </c>
      <c r="B603" s="22">
        <v>1859</v>
      </c>
      <c r="C603" s="10">
        <v>23.963999999999999</v>
      </c>
      <c r="D603" s="23">
        <f t="shared" si="57"/>
        <v>6.9877038080277841E-3</v>
      </c>
      <c r="E603" s="11">
        <f t="shared" si="58"/>
        <v>-1.1222974088133438E-2</v>
      </c>
      <c r="F603" s="24">
        <f>(B603-$B$2)/$B$2</f>
        <v>0.21654341993325052</v>
      </c>
      <c r="G603" s="11">
        <f t="shared" si="59"/>
        <v>0.3279397096309431</v>
      </c>
      <c r="H603" s="25">
        <f t="shared" si="54"/>
        <v>77.574695376397941</v>
      </c>
      <c r="I603" s="26">
        <f>MAX($B$2:B603)</f>
        <v>2069.4</v>
      </c>
      <c r="J603" s="27">
        <f t="shared" si="55"/>
        <v>-0.10167198221706779</v>
      </c>
      <c r="K603" s="10">
        <f>MAX($C$2:C603)</f>
        <v>29.440999999999999</v>
      </c>
      <c r="L603" s="11">
        <f t="shared" si="56"/>
        <v>-0.18603308311538333</v>
      </c>
    </row>
    <row r="604" spans="1:12" x14ac:dyDescent="0.35">
      <c r="A604" s="5" t="s">
        <v>1442</v>
      </c>
      <c r="B604" s="22">
        <v>1840.6</v>
      </c>
      <c r="C604" s="10">
        <v>23.423999999999999</v>
      </c>
      <c r="D604" s="23">
        <f t="shared" si="57"/>
        <v>-9.8977945131791777E-3</v>
      </c>
      <c r="E604" s="11">
        <f t="shared" si="58"/>
        <v>-2.2533800701051543E-2</v>
      </c>
      <c r="F604" s="24">
        <f>(B604-$B$2)/$B$2</f>
        <v>0.20450232314639097</v>
      </c>
      <c r="G604" s="11">
        <f t="shared" si="59"/>
        <v>0.29801618087110721</v>
      </c>
      <c r="H604" s="25">
        <f t="shared" si="54"/>
        <v>78.577527322404364</v>
      </c>
      <c r="I604" s="26">
        <f>MAX($B$2:B604)</f>
        <v>2069.4</v>
      </c>
      <c r="J604" s="27">
        <f t="shared" si="55"/>
        <v>-0.11056344834251482</v>
      </c>
      <c r="K604" s="10">
        <f>MAX($C$2:C604)</f>
        <v>29.440999999999999</v>
      </c>
      <c r="L604" s="11">
        <f t="shared" si="56"/>
        <v>-0.20437485139771067</v>
      </c>
    </row>
    <row r="605" spans="1:12" x14ac:dyDescent="0.35">
      <c r="A605" s="5" t="s">
        <v>1444</v>
      </c>
      <c r="B605" s="22">
        <v>1877.8</v>
      </c>
      <c r="C605" s="10">
        <v>23.870999999999999</v>
      </c>
      <c r="D605" s="23">
        <f t="shared" si="57"/>
        <v>2.0210800825817693E-2</v>
      </c>
      <c r="E605" s="11">
        <f t="shared" si="58"/>
        <v>1.9082991803278652E-2</v>
      </c>
      <c r="F605" s="24">
        <f>(B605-$B$2)/$B$2</f>
        <v>0.22884627969373736</v>
      </c>
      <c r="G605" s="11">
        <f t="shared" si="59"/>
        <v>0.32278621301119359</v>
      </c>
      <c r="H605" s="25">
        <f t="shared" si="54"/>
        <v>78.664488291232047</v>
      </c>
      <c r="I605" s="26">
        <f>MAX($B$2:B605)</f>
        <v>2069.4</v>
      </c>
      <c r="J605" s="27">
        <f t="shared" si="55"/>
        <v>-9.2587223349763284E-2</v>
      </c>
      <c r="K605" s="10">
        <f>MAX($C$2:C605)</f>
        <v>29.440999999999999</v>
      </c>
      <c r="L605" s="11">
        <f t="shared" si="56"/>
        <v>-0.18919194320845081</v>
      </c>
    </row>
    <row r="606" spans="1:12" x14ac:dyDescent="0.35">
      <c r="A606" s="5" t="s">
        <v>1446</v>
      </c>
      <c r="B606" s="22">
        <v>1876.5</v>
      </c>
      <c r="C606" s="10">
        <v>23.664999999999999</v>
      </c>
      <c r="D606" s="23">
        <f t="shared" si="57"/>
        <v>-6.922994994141839E-4</v>
      </c>
      <c r="E606" s="11">
        <f t="shared" si="58"/>
        <v>-8.6297180679485372E-3</v>
      </c>
      <c r="F606" s="24">
        <f>(B606-$B$2)/$B$2</f>
        <v>0.22799555002944841</v>
      </c>
      <c r="G606" s="11">
        <f t="shared" si="59"/>
        <v>0.31137094092873768</v>
      </c>
      <c r="H606" s="25">
        <f t="shared" si="54"/>
        <v>79.294316501162058</v>
      </c>
      <c r="I606" s="26">
        <f>MAX($B$2:B606)</f>
        <v>2069.4</v>
      </c>
      <c r="J606" s="27">
        <f t="shared" si="55"/>
        <v>-9.3215424760800275E-2</v>
      </c>
      <c r="K606" s="10">
        <f>MAX($C$2:C606)</f>
        <v>29.440999999999999</v>
      </c>
      <c r="L606" s="11">
        <f t="shared" si="56"/>
        <v>-0.19618898814578309</v>
      </c>
    </row>
    <row r="607" spans="1:12" x14ac:dyDescent="0.35">
      <c r="A607" s="5" t="s">
        <v>1448</v>
      </c>
      <c r="B607" s="22">
        <v>1878.9</v>
      </c>
      <c r="C607" s="10">
        <v>23.481000000000002</v>
      </c>
      <c r="D607" s="23">
        <f t="shared" si="57"/>
        <v>1.2789768185452123E-3</v>
      </c>
      <c r="E607" s="11">
        <f t="shared" si="58"/>
        <v>-7.7751954362982253E-3</v>
      </c>
      <c r="F607" s="24">
        <f>(B607-$B$2)/$B$2</f>
        <v>0.22956612787121275</v>
      </c>
      <c r="G607" s="11">
        <f t="shared" si="59"/>
        <v>0.30117477557353445</v>
      </c>
      <c r="H607" s="25">
        <f t="shared" si="54"/>
        <v>80.017886802095305</v>
      </c>
      <c r="I607" s="26">
        <f>MAX($B$2:B607)</f>
        <v>2069.4</v>
      </c>
      <c r="J607" s="27">
        <f t="shared" si="55"/>
        <v>-9.2055668309654962E-2</v>
      </c>
      <c r="K607" s="10">
        <f>MAX($C$2:C607)</f>
        <v>29.440999999999999</v>
      </c>
      <c r="L607" s="11">
        <f t="shared" si="56"/>
        <v>-0.20243877585679826</v>
      </c>
    </row>
    <row r="608" spans="1:12" x14ac:dyDescent="0.35">
      <c r="A608" s="5" t="s">
        <v>1450</v>
      </c>
      <c r="B608" s="22">
        <v>1898.8</v>
      </c>
      <c r="C608" s="10">
        <v>24.004000000000001</v>
      </c>
      <c r="D608" s="23">
        <f t="shared" si="57"/>
        <v>1.0591303422215053E-2</v>
      </c>
      <c r="E608" s="11">
        <f t="shared" si="58"/>
        <v>2.2273327371065955E-2</v>
      </c>
      <c r="F608" s="24">
        <f>(B608-$B$2)/$B$2</f>
        <v>0.24258883580917484</v>
      </c>
      <c r="G608" s="11">
        <f t="shared" si="59"/>
        <v>0.33015626731685704</v>
      </c>
      <c r="H608" s="25">
        <f t="shared" si="54"/>
        <v>79.103482752874513</v>
      </c>
      <c r="I608" s="26">
        <f>MAX($B$2:B608)</f>
        <v>2069.4</v>
      </c>
      <c r="J608" s="27">
        <f t="shared" si="55"/>
        <v>-8.243935440224226E-2</v>
      </c>
      <c r="K608" s="10">
        <f>MAX($C$2:C608)</f>
        <v>29.440999999999999</v>
      </c>
      <c r="L608" s="11">
        <f t="shared" si="56"/>
        <v>-0.1846744336129886</v>
      </c>
    </row>
    <row r="609" spans="1:12" x14ac:dyDescent="0.35">
      <c r="A609" s="5" t="s">
        <v>1452</v>
      </c>
      <c r="B609" s="22">
        <v>1909.9</v>
      </c>
      <c r="C609" s="10">
        <v>24.068000000000001</v>
      </c>
      <c r="D609" s="23">
        <f t="shared" si="57"/>
        <v>5.8457973456920876E-3</v>
      </c>
      <c r="E609" s="11">
        <f t="shared" si="58"/>
        <v>2.666222296283955E-3</v>
      </c>
      <c r="F609" s="24">
        <f>(B609-$B$2)/$B$2</f>
        <v>0.24985275832733472</v>
      </c>
      <c r="G609" s="11">
        <f t="shared" si="59"/>
        <v>0.33370275961431911</v>
      </c>
      <c r="H609" s="25">
        <f t="shared" si="54"/>
        <v>79.354329400033237</v>
      </c>
      <c r="I609" s="26">
        <f>MAX($B$2:B609)</f>
        <v>2069.4</v>
      </c>
      <c r="J609" s="27">
        <f t="shared" si="55"/>
        <v>-7.7075480815695374E-2</v>
      </c>
      <c r="K609" s="10">
        <f>MAX($C$2:C609)</f>
        <v>29.440999999999999</v>
      </c>
      <c r="L609" s="11">
        <f t="shared" si="56"/>
        <v>-0.18250059440915722</v>
      </c>
    </row>
    <row r="610" spans="1:12" x14ac:dyDescent="0.35">
      <c r="A610" s="5" t="s">
        <v>1454</v>
      </c>
      <c r="B610" s="22">
        <v>1907</v>
      </c>
      <c r="C610" s="10">
        <v>23.646999999999998</v>
      </c>
      <c r="D610" s="23">
        <f t="shared" si="57"/>
        <v>-1.5184041049270071E-3</v>
      </c>
      <c r="E610" s="11">
        <f t="shared" si="58"/>
        <v>-1.7492105700515327E-2</v>
      </c>
      <c r="F610" s="24">
        <f>(B610-$B$2)/$B$2</f>
        <v>0.24795497676853617</v>
      </c>
      <c r="G610" s="11">
        <f t="shared" si="59"/>
        <v>0.31037348997007641</v>
      </c>
      <c r="H610" s="25">
        <f t="shared" si="54"/>
        <v>80.644479215122431</v>
      </c>
      <c r="I610" s="26">
        <f>MAX($B$2:B610)</f>
        <v>2069.4</v>
      </c>
      <c r="J610" s="27">
        <f t="shared" si="55"/>
        <v>-7.8476853194162602E-2</v>
      </c>
      <c r="K610" s="10">
        <f>MAX($C$2:C610)</f>
        <v>29.440999999999999</v>
      </c>
      <c r="L610" s="11">
        <f t="shared" si="56"/>
        <v>-0.19680038042186068</v>
      </c>
    </row>
    <row r="611" spans="1:12" x14ac:dyDescent="0.35">
      <c r="A611" s="5" t="s">
        <v>1456</v>
      </c>
      <c r="B611" s="22">
        <v>1923.9</v>
      </c>
      <c r="C611" s="10">
        <v>23.87</v>
      </c>
      <c r="D611" s="23">
        <f t="shared" si="57"/>
        <v>8.8620870477189775E-3</v>
      </c>
      <c r="E611" s="11">
        <f t="shared" si="58"/>
        <v>9.4303717173426886E-3</v>
      </c>
      <c r="F611" s="24">
        <f>(B611-$B$2)/$B$2</f>
        <v>0.25901446240429304</v>
      </c>
      <c r="G611" s="11">
        <f t="shared" si="59"/>
        <v>0.32273079906904589</v>
      </c>
      <c r="H611" s="25">
        <f t="shared" si="54"/>
        <v>80.599078341013822</v>
      </c>
      <c r="I611" s="26">
        <f>MAX($B$2:B611)</f>
        <v>2069.4</v>
      </c>
      <c r="J611" s="27">
        <f t="shared" si="55"/>
        <v>-7.0310234850681358E-2</v>
      </c>
      <c r="K611" s="10">
        <f>MAX($C$2:C611)</f>
        <v>29.440999999999999</v>
      </c>
      <c r="L611" s="11">
        <f t="shared" si="56"/>
        <v>-0.18922590944601062</v>
      </c>
    </row>
    <row r="612" spans="1:12" x14ac:dyDescent="0.35">
      <c r="A612" s="5" t="s">
        <v>1458</v>
      </c>
      <c r="B612" s="22">
        <v>1928.6</v>
      </c>
      <c r="C612" s="10">
        <v>23.553999999999998</v>
      </c>
      <c r="D612" s="23">
        <f t="shared" si="57"/>
        <v>2.4429544155100671E-3</v>
      </c>
      <c r="E612" s="11">
        <f t="shared" si="58"/>
        <v>-1.3238374528697213E-2</v>
      </c>
      <c r="F612" s="24">
        <f>(B612-$B$2)/$B$2</f>
        <v>0.26209017734441464</v>
      </c>
      <c r="G612" s="11">
        <f t="shared" si="59"/>
        <v>0.3052199933503269</v>
      </c>
      <c r="H612" s="25">
        <f t="shared" si="54"/>
        <v>81.879935467436525</v>
      </c>
      <c r="I612" s="26">
        <f>MAX($B$2:B612)</f>
        <v>2069.4</v>
      </c>
      <c r="J612" s="27">
        <f t="shared" si="55"/>
        <v>-6.8039045133855308E-2</v>
      </c>
      <c r="K612" s="10">
        <f>MAX($C$2:C612)</f>
        <v>29.440999999999999</v>
      </c>
      <c r="L612" s="11">
        <f t="shared" si="56"/>
        <v>-0.19995924051492819</v>
      </c>
    </row>
    <row r="613" spans="1:12" x14ac:dyDescent="0.35">
      <c r="A613" s="5" t="s">
        <v>1460</v>
      </c>
      <c r="B613" s="22">
        <v>1935.4</v>
      </c>
      <c r="C613" s="10">
        <v>23.748999999999999</v>
      </c>
      <c r="D613" s="23">
        <f t="shared" si="57"/>
        <v>3.5258736907602312E-3</v>
      </c>
      <c r="E613" s="11">
        <f t="shared" si="58"/>
        <v>8.2788486032096577E-3</v>
      </c>
      <c r="F613" s="24">
        <f>(B613-$B$2)/$B$2</f>
        <v>0.26654014789608022</v>
      </c>
      <c r="G613" s="11">
        <f t="shared" si="59"/>
        <v>0.31602571206915658</v>
      </c>
      <c r="H613" s="25">
        <f t="shared" si="54"/>
        <v>81.49395764032171</v>
      </c>
      <c r="I613" s="26">
        <f>MAX($B$2:B613)</f>
        <v>2069.4</v>
      </c>
      <c r="J613" s="27">
        <f t="shared" si="55"/>
        <v>-6.4753068522276983E-2</v>
      </c>
      <c r="K613" s="10">
        <f>MAX($C$2:C613)</f>
        <v>29.440999999999999</v>
      </c>
      <c r="L613" s="11">
        <f t="shared" si="56"/>
        <v>-0.1933358241907544</v>
      </c>
    </row>
    <row r="614" spans="1:12" x14ac:dyDescent="0.35">
      <c r="A614" s="5" t="s">
        <v>1462</v>
      </c>
      <c r="B614" s="22">
        <v>1942.6</v>
      </c>
      <c r="C614" s="10">
        <v>23.940999999999999</v>
      </c>
      <c r="D614" s="23">
        <f t="shared" si="57"/>
        <v>3.720161206985542E-3</v>
      </c>
      <c r="E614" s="11">
        <f t="shared" si="58"/>
        <v>8.0845509284601536E-3</v>
      </c>
      <c r="F614" s="24">
        <f>(B614-$B$2)/$B$2</f>
        <v>0.27125188142137296</v>
      </c>
      <c r="G614" s="11">
        <f t="shared" si="59"/>
        <v>0.32666518896154273</v>
      </c>
      <c r="H614" s="25">
        <f t="shared" si="54"/>
        <v>81.141138632471495</v>
      </c>
      <c r="I614" s="26">
        <f>MAX($B$2:B614)</f>
        <v>2069.4</v>
      </c>
      <c r="J614" s="27">
        <f t="shared" si="55"/>
        <v>-6.1273799168841292E-2</v>
      </c>
      <c r="K614" s="10">
        <f>MAX($C$2:C614)</f>
        <v>29.440999999999999</v>
      </c>
      <c r="L614" s="11">
        <f t="shared" si="56"/>
        <v>-0.18681430657926021</v>
      </c>
    </row>
    <row r="615" spans="1:12" x14ac:dyDescent="0.35">
      <c r="A615" s="5" t="s">
        <v>1464</v>
      </c>
      <c r="B615" s="22">
        <v>1930</v>
      </c>
      <c r="C615" s="10">
        <v>24.02</v>
      </c>
      <c r="D615" s="23">
        <f t="shared" si="57"/>
        <v>-6.4861525790177645E-3</v>
      </c>
      <c r="E615" s="11">
        <f t="shared" si="58"/>
        <v>3.2997786224468746E-3</v>
      </c>
      <c r="F615" s="24">
        <f>(B615-$B$2)/$B$2</f>
        <v>0.26300634775211051</v>
      </c>
      <c r="G615" s="11">
        <f t="shared" si="59"/>
        <v>0.33104289039122248</v>
      </c>
      <c r="H615" s="25">
        <f t="shared" si="54"/>
        <v>80.349708576186515</v>
      </c>
      <c r="I615" s="26">
        <f>MAX($B$2:B615)</f>
        <v>2069.4</v>
      </c>
      <c r="J615" s="27">
        <f t="shared" si="55"/>
        <v>-6.7362520537353865E-2</v>
      </c>
      <c r="K615" s="10">
        <f>MAX($C$2:C615)</f>
        <v>29.440999999999999</v>
      </c>
      <c r="L615" s="11">
        <f t="shared" si="56"/>
        <v>-0.18413097381203083</v>
      </c>
    </row>
    <row r="616" spans="1:12" x14ac:dyDescent="0.35">
      <c r="A616" s="5" t="s">
        <v>1466</v>
      </c>
      <c r="B616" s="22">
        <v>1930.2</v>
      </c>
      <c r="C616" s="10">
        <v>23.821000000000002</v>
      </c>
      <c r="D616" s="23">
        <f t="shared" si="57"/>
        <v>1.0362694300520492E-4</v>
      </c>
      <c r="E616" s="11">
        <f t="shared" si="58"/>
        <v>-8.2847626977517932E-3</v>
      </c>
      <c r="F616" s="24">
        <f>(B616-$B$2)/$B$2</f>
        <v>0.26313722923892424</v>
      </c>
      <c r="G616" s="11">
        <f t="shared" si="59"/>
        <v>0.32001551590380151</v>
      </c>
      <c r="H616" s="25">
        <f t="shared" si="54"/>
        <v>81.029343856261278</v>
      </c>
      <c r="I616" s="26">
        <f>MAX($B$2:B616)</f>
        <v>2069.4</v>
      </c>
      <c r="J616" s="27">
        <f t="shared" si="55"/>
        <v>-6.7265874166425071E-2</v>
      </c>
      <c r="K616" s="10">
        <f>MAX($C$2:C616)</f>
        <v>29.440999999999999</v>
      </c>
      <c r="L616" s="11">
        <f t="shared" si="56"/>
        <v>-0.190890255086444</v>
      </c>
    </row>
    <row r="617" spans="1:12" x14ac:dyDescent="0.35">
      <c r="A617" s="5" t="s">
        <v>1468</v>
      </c>
      <c r="B617" s="22">
        <v>1936.6</v>
      </c>
      <c r="C617" s="10">
        <v>23.93</v>
      </c>
      <c r="D617" s="23">
        <f t="shared" si="57"/>
        <v>3.3157185783855886E-3</v>
      </c>
      <c r="E617" s="11">
        <f t="shared" si="58"/>
        <v>4.5757944670667986E-3</v>
      </c>
      <c r="F617" s="24">
        <f>(B617-$B$2)/$B$2</f>
        <v>0.26732543681696225</v>
      </c>
      <c r="G617" s="11">
        <f t="shared" si="59"/>
        <v>0.32605563559791645</v>
      </c>
      <c r="H617" s="25">
        <f t="shared" si="54"/>
        <v>80.927705808608437</v>
      </c>
      <c r="I617" s="26">
        <f>MAX($B$2:B617)</f>
        <v>2069.4</v>
      </c>
      <c r="J617" s="27">
        <f t="shared" si="55"/>
        <v>-6.4173190296704444E-2</v>
      </c>
      <c r="K617" s="10">
        <f>MAX($C$2:C617)</f>
        <v>29.440999999999999</v>
      </c>
      <c r="L617" s="11">
        <f t="shared" si="56"/>
        <v>-0.18718793519241872</v>
      </c>
    </row>
    <row r="618" spans="1:12" x14ac:dyDescent="0.35">
      <c r="A618" s="5" t="s">
        <v>1470</v>
      </c>
      <c r="B618" s="22">
        <v>1934.3</v>
      </c>
      <c r="C618" s="10">
        <v>23.702999999999999</v>
      </c>
      <c r="D618" s="23">
        <f t="shared" si="57"/>
        <v>-1.1876484560569838E-3</v>
      </c>
      <c r="E618" s="11">
        <f t="shared" si="58"/>
        <v>-9.4860008357710111E-3</v>
      </c>
      <c r="F618" s="24">
        <f>(B618-$B$2)/$B$2</f>
        <v>0.26582029971860482</v>
      </c>
      <c r="G618" s="11">
        <f t="shared" si="59"/>
        <v>0.31347667073035579</v>
      </c>
      <c r="H618" s="25">
        <f t="shared" si="54"/>
        <v>81.605703919335099</v>
      </c>
      <c r="I618" s="26">
        <f>MAX($B$2:B618)</f>
        <v>2069.4</v>
      </c>
      <c r="J618" s="27">
        <f t="shared" si="55"/>
        <v>-6.5284623562385291E-2</v>
      </c>
      <c r="K618" s="10">
        <f>MAX($C$2:C618)</f>
        <v>29.440999999999999</v>
      </c>
      <c r="L618" s="11">
        <f t="shared" si="56"/>
        <v>-0.19489827111850819</v>
      </c>
    </row>
    <row r="619" spans="1:12" x14ac:dyDescent="0.35">
      <c r="A619" s="5" t="s">
        <v>1472</v>
      </c>
      <c r="B619" s="22">
        <v>1922.2</v>
      </c>
      <c r="C619" s="10">
        <v>23.715</v>
      </c>
      <c r="D619" s="23">
        <f t="shared" si="57"/>
        <v>-6.2554929431835335E-3</v>
      </c>
      <c r="E619" s="11">
        <f t="shared" si="58"/>
        <v>5.0626502974308971E-4</v>
      </c>
      <c r="F619" s="24">
        <f>(B619-$B$2)/$B$2</f>
        <v>0.25790196976637664</v>
      </c>
      <c r="G619" s="11">
        <f t="shared" si="59"/>
        <v>0.31414163803612993</v>
      </c>
      <c r="H619" s="25">
        <f t="shared" si="54"/>
        <v>81.054185114906176</v>
      </c>
      <c r="I619" s="26">
        <f>MAX($B$2:B619)</f>
        <v>2069.4</v>
      </c>
      <c r="J619" s="27">
        <f t="shared" si="55"/>
        <v>-7.1131729003575936E-2</v>
      </c>
      <c r="K619" s="10">
        <f>MAX($C$2:C619)</f>
        <v>29.440999999999999</v>
      </c>
      <c r="L619" s="11">
        <f t="shared" si="56"/>
        <v>-0.19449067626778979</v>
      </c>
    </row>
    <row r="620" spans="1:12" x14ac:dyDescent="0.35">
      <c r="A620" s="5" t="s">
        <v>1474</v>
      </c>
      <c r="B620" s="22">
        <v>1871.2</v>
      </c>
      <c r="C620" s="10">
        <v>22.337</v>
      </c>
      <c r="D620" s="23">
        <f t="shared" si="57"/>
        <v>-2.653209863697846E-2</v>
      </c>
      <c r="E620" s="11">
        <f t="shared" si="58"/>
        <v>-5.8106683533628509E-2</v>
      </c>
      <c r="F620" s="24">
        <f>(B620-$B$2)/$B$2</f>
        <v>0.22452719062888565</v>
      </c>
      <c r="G620" s="11">
        <f t="shared" si="59"/>
        <v>0.23778122575640034</v>
      </c>
      <c r="H620" s="25">
        <f t="shared" si="54"/>
        <v>83.771321126382233</v>
      </c>
      <c r="I620" s="26">
        <f>MAX($B$2:B620)</f>
        <v>2069.4</v>
      </c>
      <c r="J620" s="27">
        <f t="shared" si="55"/>
        <v>-9.5776553590412691E-2</v>
      </c>
      <c r="K620" s="10">
        <f>MAX($C$2:C620)</f>
        <v>29.440999999999999</v>
      </c>
      <c r="L620" s="11">
        <f t="shared" si="56"/>
        <v>-0.24129615162528445</v>
      </c>
    </row>
    <row r="621" spans="1:12" x14ac:dyDescent="0.35">
      <c r="A621" s="5" t="s">
        <v>1476</v>
      </c>
      <c r="B621" s="22">
        <v>1876.5</v>
      </c>
      <c r="C621" s="10">
        <v>22.277000000000001</v>
      </c>
      <c r="D621" s="23">
        <f t="shared" si="57"/>
        <v>2.8324070115433703E-3</v>
      </c>
      <c r="E621" s="11">
        <f t="shared" si="58"/>
        <v>-2.6861261583918487E-3</v>
      </c>
      <c r="F621" s="24">
        <f>(B621-$B$2)/$B$2</f>
        <v>0.22799555002944841</v>
      </c>
      <c r="G621" s="11">
        <f t="shared" si="59"/>
        <v>0.23445638922752973</v>
      </c>
      <c r="H621" s="25">
        <f t="shared" si="54"/>
        <v>84.234861067468685</v>
      </c>
      <c r="I621" s="26">
        <f>MAX($B$2:B621)</f>
        <v>2069.4</v>
      </c>
      <c r="J621" s="27">
        <f t="shared" si="55"/>
        <v>-9.3215424760800275E-2</v>
      </c>
      <c r="K621" s="10">
        <f>MAX($C$2:C621)</f>
        <v>29.440999999999999</v>
      </c>
      <c r="L621" s="11">
        <f t="shared" si="56"/>
        <v>-0.24333412587887635</v>
      </c>
    </row>
    <row r="622" spans="1:12" x14ac:dyDescent="0.35">
      <c r="A622" s="5" t="s">
        <v>1478</v>
      </c>
      <c r="B622" s="22">
        <v>1882.2</v>
      </c>
      <c r="C622" s="10">
        <v>22.52</v>
      </c>
      <c r="D622" s="23">
        <f t="shared" si="57"/>
        <v>3.0375699440447885E-3</v>
      </c>
      <c r="E622" s="11">
        <f t="shared" si="58"/>
        <v>1.0908111505139765E-2</v>
      </c>
      <c r="F622" s="24">
        <f>(B622-$B$2)/$B$2</f>
        <v>0.23172567240363862</v>
      </c>
      <c r="G622" s="11">
        <f t="shared" si="59"/>
        <v>0.24792197716945585</v>
      </c>
      <c r="H622" s="25">
        <f t="shared" si="54"/>
        <v>83.579040852575488</v>
      </c>
      <c r="I622" s="26">
        <f>MAX($B$2:B622)</f>
        <v>2069.4</v>
      </c>
      <c r="J622" s="27">
        <f t="shared" si="55"/>
        <v>-9.0461003189330258E-2</v>
      </c>
      <c r="K622" s="10">
        <f>MAX($C$2:C622)</f>
        <v>29.440999999999999</v>
      </c>
      <c r="L622" s="11">
        <f t="shared" si="56"/>
        <v>-0.23508033015182908</v>
      </c>
    </row>
    <row r="623" spans="1:12" x14ac:dyDescent="0.35">
      <c r="A623" s="5" t="s">
        <v>1480</v>
      </c>
      <c r="B623" s="22">
        <v>1870</v>
      </c>
      <c r="C623" s="10">
        <v>22.241</v>
      </c>
      <c r="D623" s="23">
        <f t="shared" si="57"/>
        <v>-6.4817766443523777E-3</v>
      </c>
      <c r="E623" s="11">
        <f t="shared" si="58"/>
        <v>-1.2388987566607456E-2</v>
      </c>
      <c r="F623" s="24">
        <f>(B623-$B$2)/$B$2</f>
        <v>0.22374190170800348</v>
      </c>
      <c r="G623" s="11">
        <f t="shared" si="59"/>
        <v>0.23246148731020727</v>
      </c>
      <c r="H623" s="25">
        <f t="shared" si="54"/>
        <v>84.078953284474622</v>
      </c>
      <c r="I623" s="26">
        <f>MAX($B$2:B623)</f>
        <v>2069.4</v>
      </c>
      <c r="J623" s="27">
        <f t="shared" si="55"/>
        <v>-9.6356431815985355E-2</v>
      </c>
      <c r="K623" s="10">
        <f>MAX($C$2:C623)</f>
        <v>29.440999999999999</v>
      </c>
      <c r="L623" s="11">
        <f t="shared" si="56"/>
        <v>-0.24455691043103153</v>
      </c>
    </row>
    <row r="624" spans="1:12" x14ac:dyDescent="0.35">
      <c r="A624" s="5" t="s">
        <v>1482</v>
      </c>
      <c r="B624" s="22">
        <v>1855.1</v>
      </c>
      <c r="C624" s="10">
        <v>21.942</v>
      </c>
      <c r="D624" s="23">
        <f t="shared" si="57"/>
        <v>-7.9679144385027233E-3</v>
      </c>
      <c r="E624" s="11">
        <f t="shared" si="58"/>
        <v>-1.3443640124095118E-2</v>
      </c>
      <c r="F624" s="24">
        <f>(B624-$B$2)/$B$2</f>
        <v>0.2139912309403835</v>
      </c>
      <c r="G624" s="11">
        <f t="shared" si="59"/>
        <v>0.21589271860800183</v>
      </c>
      <c r="H624" s="25">
        <f t="shared" si="54"/>
        <v>84.545620271625182</v>
      </c>
      <c r="I624" s="26">
        <f>MAX($B$2:B624)</f>
        <v>2069.4</v>
      </c>
      <c r="J624" s="27">
        <f t="shared" si="55"/>
        <v>-0.10355658645017887</v>
      </c>
      <c r="K624" s="10">
        <f>MAX($C$2:C624)</f>
        <v>29.440999999999999</v>
      </c>
      <c r="L624" s="11">
        <f t="shared" si="56"/>
        <v>-0.25471281546143132</v>
      </c>
    </row>
    <row r="625" spans="1:12" x14ac:dyDescent="0.35">
      <c r="A625" s="5" t="s">
        <v>1484</v>
      </c>
      <c r="B625" s="22">
        <v>1857</v>
      </c>
      <c r="C625" s="10">
        <v>21.960999999999999</v>
      </c>
      <c r="D625" s="23">
        <f t="shared" si="57"/>
        <v>1.0242035469786486E-3</v>
      </c>
      <c r="E625" s="11">
        <f t="shared" si="58"/>
        <v>8.6591924163696796E-4</v>
      </c>
      <c r="F625" s="24">
        <f>(B625-$B$2)/$B$2</f>
        <v>0.2152346050651136</v>
      </c>
      <c r="G625" s="11">
        <f t="shared" si="59"/>
        <v>0.21694558350881077</v>
      </c>
      <c r="H625" s="25">
        <f t="shared" si="54"/>
        <v>84.558990938481855</v>
      </c>
      <c r="I625" s="26">
        <f>MAX($B$2:B625)</f>
        <v>2069.4</v>
      </c>
      <c r="J625" s="27">
        <f t="shared" si="55"/>
        <v>-0.1026384459263555</v>
      </c>
      <c r="K625" s="10">
        <f>MAX($C$2:C625)</f>
        <v>29.440999999999999</v>
      </c>
      <c r="L625" s="11">
        <f t="shared" si="56"/>
        <v>-0.25406745694779392</v>
      </c>
    </row>
    <row r="626" spans="1:12" x14ac:dyDescent="0.35">
      <c r="A626" s="5" t="s">
        <v>1486</v>
      </c>
      <c r="B626" s="22">
        <v>1837</v>
      </c>
      <c r="C626" s="10">
        <v>21.658999999999999</v>
      </c>
      <c r="D626" s="23">
        <f t="shared" si="57"/>
        <v>-1.0770059235325794E-2</v>
      </c>
      <c r="E626" s="11">
        <f t="shared" si="58"/>
        <v>-1.3751650653431065E-2</v>
      </c>
      <c r="F626" s="24">
        <f>(B626-$B$2)/$B$2</f>
        <v>0.20214645638374459</v>
      </c>
      <c r="G626" s="11">
        <f t="shared" si="59"/>
        <v>0.20021057298016179</v>
      </c>
      <c r="H626" s="25">
        <f t="shared" si="54"/>
        <v>84.814626714068055</v>
      </c>
      <c r="I626" s="26">
        <f>MAX($B$2:B626)</f>
        <v>2069.4</v>
      </c>
      <c r="J626" s="27">
        <f t="shared" si="55"/>
        <v>-0.11230308301923267</v>
      </c>
      <c r="K626" s="10">
        <f>MAX($C$2:C626)</f>
        <v>29.440999999999999</v>
      </c>
      <c r="L626" s="11">
        <f t="shared" si="56"/>
        <v>-0.26432526069087331</v>
      </c>
    </row>
    <row r="627" spans="1:12" x14ac:dyDescent="0.35">
      <c r="A627" s="5" t="s">
        <v>1488</v>
      </c>
      <c r="B627" s="22">
        <v>1843.4</v>
      </c>
      <c r="C627" s="10">
        <v>21.81</v>
      </c>
      <c r="D627" s="23">
        <f t="shared" si="57"/>
        <v>3.4839412084921562E-3</v>
      </c>
      <c r="E627" s="11">
        <f t="shared" si="58"/>
        <v>6.9716976776397713E-3</v>
      </c>
      <c r="F627" s="24">
        <f>(B627-$B$2)/$B$2</f>
        <v>0.20633466396178274</v>
      </c>
      <c r="G627" s="11">
        <f t="shared" si="59"/>
        <v>0.20857807824448629</v>
      </c>
      <c r="H627" s="25">
        <f t="shared" si="54"/>
        <v>84.520861989912888</v>
      </c>
      <c r="I627" s="26">
        <f>MAX($B$2:B627)</f>
        <v>2069.4</v>
      </c>
      <c r="J627" s="27">
        <f t="shared" si="55"/>
        <v>-0.10921039914951193</v>
      </c>
      <c r="K627" s="10">
        <f>MAX($C$2:C627)</f>
        <v>29.440999999999999</v>
      </c>
      <c r="L627" s="11">
        <f t="shared" si="56"/>
        <v>-0.25919635881933362</v>
      </c>
    </row>
    <row r="628" spans="1:12" x14ac:dyDescent="0.35">
      <c r="A628" s="5" t="s">
        <v>1490</v>
      </c>
      <c r="B628" s="22">
        <v>1834.2</v>
      </c>
      <c r="C628" s="10">
        <v>21.97</v>
      </c>
      <c r="D628" s="23">
        <f t="shared" si="57"/>
        <v>-4.9907779103830121E-3</v>
      </c>
      <c r="E628" s="11">
        <f t="shared" si="58"/>
        <v>7.3360843649702039E-3</v>
      </c>
      <c r="F628" s="24">
        <f>(B628-$B$2)/$B$2</f>
        <v>0.20031411556835296</v>
      </c>
      <c r="G628" s="11">
        <f t="shared" si="59"/>
        <v>0.2174443089881414</v>
      </c>
      <c r="H628" s="25">
        <f t="shared" si="54"/>
        <v>83.486572598998634</v>
      </c>
      <c r="I628" s="26">
        <f>MAX($B$2:B628)</f>
        <v>2069.4</v>
      </c>
      <c r="J628" s="27">
        <f t="shared" si="55"/>
        <v>-0.11365613221223544</v>
      </c>
      <c r="K628" s="10">
        <f>MAX($C$2:C628)</f>
        <v>29.440999999999999</v>
      </c>
      <c r="L628" s="11">
        <f t="shared" si="56"/>
        <v>-0.2537617608097551</v>
      </c>
    </row>
    <row r="629" spans="1:12" x14ac:dyDescent="0.35">
      <c r="A629" s="5" t="s">
        <v>1492</v>
      </c>
      <c r="B629" s="22">
        <v>1833.3</v>
      </c>
      <c r="C629" s="10">
        <v>21.748000000000001</v>
      </c>
      <c r="D629" s="23">
        <f t="shared" si="57"/>
        <v>-4.9067713444558446E-4</v>
      </c>
      <c r="E629" s="11">
        <f t="shared" si="58"/>
        <v>-1.0104688211196986E-2</v>
      </c>
      <c r="F629" s="24">
        <f>(B629-$B$2)/$B$2</f>
        <v>0.1997251488776913</v>
      </c>
      <c r="G629" s="11">
        <f t="shared" si="59"/>
        <v>0.20514241383132006</v>
      </c>
      <c r="H629" s="25">
        <f t="shared" si="54"/>
        <v>84.297406658083489</v>
      </c>
      <c r="I629" s="26">
        <f>MAX($B$2:B629)</f>
        <v>2069.4</v>
      </c>
      <c r="J629" s="27">
        <f t="shared" si="55"/>
        <v>-0.11409104088141496</v>
      </c>
      <c r="K629" s="10">
        <f>MAX($C$2:C629)</f>
        <v>29.440999999999999</v>
      </c>
      <c r="L629" s="11">
        <f t="shared" si="56"/>
        <v>-0.2613022655480452</v>
      </c>
    </row>
    <row r="630" spans="1:12" x14ac:dyDescent="0.35">
      <c r="A630" s="5" t="s">
        <v>1494</v>
      </c>
      <c r="B630" s="22">
        <v>1818.8</v>
      </c>
      <c r="C630" s="10">
        <v>21.376000000000001</v>
      </c>
      <c r="D630" s="23">
        <f t="shared" si="57"/>
        <v>-7.9092347133584255E-3</v>
      </c>
      <c r="E630" s="11">
        <f t="shared" si="58"/>
        <v>-1.7105021151370234E-2</v>
      </c>
      <c r="F630" s="24">
        <f>(B630-$B$2)/$B$2</f>
        <v>0.19023624108369874</v>
      </c>
      <c r="G630" s="11">
        <f t="shared" si="59"/>
        <v>0.18452842735232194</v>
      </c>
      <c r="H630" s="25">
        <f t="shared" si="54"/>
        <v>85.086077844311376</v>
      </c>
      <c r="I630" s="26">
        <f>MAX($B$2:B630)</f>
        <v>2069.4</v>
      </c>
      <c r="J630" s="27">
        <f t="shared" si="55"/>
        <v>-0.1210979027737509</v>
      </c>
      <c r="K630" s="10">
        <f>MAX($C$2:C630)</f>
        <v>29.440999999999999</v>
      </c>
      <c r="L630" s="11">
        <f t="shared" si="56"/>
        <v>-0.27393770592031513</v>
      </c>
    </row>
    <row r="631" spans="1:12" x14ac:dyDescent="0.35">
      <c r="A631" s="5" t="s">
        <v>1496</v>
      </c>
      <c r="B631" s="22">
        <v>1824.9</v>
      </c>
      <c r="C631" s="10">
        <v>20.792999999999999</v>
      </c>
      <c r="D631" s="23">
        <f t="shared" si="57"/>
        <v>3.3538596877062551E-3</v>
      </c>
      <c r="E631" s="11">
        <f t="shared" si="58"/>
        <v>-2.7273577844311468E-2</v>
      </c>
      <c r="F631" s="24">
        <f>(B631-$B$2)/$B$2</f>
        <v>0.19422812643151638</v>
      </c>
      <c r="G631" s="11">
        <f t="shared" si="59"/>
        <v>0.15222209908012857</v>
      </c>
      <c r="H631" s="25">
        <f t="shared" si="54"/>
        <v>87.765113259269953</v>
      </c>
      <c r="I631" s="26">
        <f>MAX($B$2:B631)</f>
        <v>2069.4</v>
      </c>
      <c r="J631" s="27">
        <f t="shared" si="55"/>
        <v>-0.1181501884604233</v>
      </c>
      <c r="K631" s="10">
        <f>MAX($C$2:C631)</f>
        <v>29.440999999999999</v>
      </c>
      <c r="L631" s="11">
        <f t="shared" si="56"/>
        <v>-0.2937400224177168</v>
      </c>
    </row>
    <row r="632" spans="1:12" x14ac:dyDescent="0.35">
      <c r="A632" s="5" t="s">
        <v>1498</v>
      </c>
      <c r="B632" s="22">
        <v>1836.7</v>
      </c>
      <c r="C632" s="10">
        <v>21.071000000000002</v>
      </c>
      <c r="D632" s="23">
        <f t="shared" si="57"/>
        <v>6.4661077319304915E-3</v>
      </c>
      <c r="E632" s="11">
        <f t="shared" si="58"/>
        <v>1.3369884095609208E-2</v>
      </c>
      <c r="F632" s="24">
        <f>(B632-$B$2)/$B$2</f>
        <v>0.20195013415352409</v>
      </c>
      <c r="G632" s="11">
        <f t="shared" si="59"/>
        <v>0.16762717499722943</v>
      </c>
      <c r="H632" s="25">
        <f t="shared" si="54"/>
        <v>87.167196620948218</v>
      </c>
      <c r="I632" s="26">
        <f>MAX($B$2:B632)</f>
        <v>2069.4</v>
      </c>
      <c r="J632" s="27">
        <f t="shared" si="55"/>
        <v>-0.1124480525756258</v>
      </c>
      <c r="K632" s="10">
        <f>MAX($C$2:C632)</f>
        <v>29.440999999999999</v>
      </c>
      <c r="L632" s="11">
        <f t="shared" si="56"/>
        <v>-0.28429740837607409</v>
      </c>
    </row>
    <row r="633" spans="1:12" x14ac:dyDescent="0.35">
      <c r="A633" s="5" t="s">
        <v>1500</v>
      </c>
      <c r="B633" s="22">
        <v>1845.4</v>
      </c>
      <c r="C633" s="10">
        <v>21.094999999999999</v>
      </c>
      <c r="D633" s="23">
        <f t="shared" si="57"/>
        <v>4.7367561387270897E-3</v>
      </c>
      <c r="E633" s="11">
        <f t="shared" si="58"/>
        <v>1.139006217075476E-3</v>
      </c>
      <c r="F633" s="24">
        <f>(B633-$B$2)/$B$2</f>
        <v>0.20764347882991963</v>
      </c>
      <c r="G633" s="11">
        <f t="shared" si="59"/>
        <v>0.16895710960877755</v>
      </c>
      <c r="H633" s="25">
        <f t="shared" si="54"/>
        <v>87.480445603223515</v>
      </c>
      <c r="I633" s="26">
        <f>MAX($B$2:B633)</f>
        <v>2069.4</v>
      </c>
      <c r="J633" s="27">
        <f t="shared" si="55"/>
        <v>-0.10824393544022422</v>
      </c>
      <c r="K633" s="10">
        <f>MAX($C$2:C633)</f>
        <v>29.440999999999999</v>
      </c>
      <c r="L633" s="11">
        <f t="shared" si="56"/>
        <v>-0.28348221867463741</v>
      </c>
    </row>
    <row r="634" spans="1:12" x14ac:dyDescent="0.35">
      <c r="A634" s="5" t="s">
        <v>1502</v>
      </c>
      <c r="B634" s="22">
        <v>1840.5</v>
      </c>
      <c r="C634" s="10">
        <v>20.901</v>
      </c>
      <c r="D634" s="23">
        <f t="shared" si="57"/>
        <v>-2.6552508941151461E-3</v>
      </c>
      <c r="E634" s="11">
        <f t="shared" si="58"/>
        <v>-9.1964920597297495E-3</v>
      </c>
      <c r="F634" s="24">
        <f>(B634-$B$2)/$B$2</f>
        <v>0.20443688240298416</v>
      </c>
      <c r="G634" s="11">
        <f t="shared" si="59"/>
        <v>0.15820680483209579</v>
      </c>
      <c r="H634" s="25">
        <f t="shared" si="54"/>
        <v>88.057987656093005</v>
      </c>
      <c r="I634" s="26">
        <f>MAX($B$2:B634)</f>
        <v>2069.4</v>
      </c>
      <c r="J634" s="27">
        <f t="shared" si="55"/>
        <v>-0.11061177152797916</v>
      </c>
      <c r="K634" s="10">
        <f>MAX($C$2:C634)</f>
        <v>29.440999999999999</v>
      </c>
      <c r="L634" s="11">
        <f t="shared" si="56"/>
        <v>-0.29007166876125129</v>
      </c>
    </row>
    <row r="635" spans="1:12" x14ac:dyDescent="0.35">
      <c r="A635" s="5" t="s">
        <v>1504</v>
      </c>
      <c r="B635" s="22">
        <v>1854.6</v>
      </c>
      <c r="C635" s="10">
        <v>21.135000000000002</v>
      </c>
      <c r="D635" s="23">
        <f t="shared" si="57"/>
        <v>7.6609616951914747E-3</v>
      </c>
      <c r="E635" s="11">
        <f t="shared" si="58"/>
        <v>1.1195636572412888E-2</v>
      </c>
      <c r="F635" s="24">
        <f>(B635-$B$2)/$B$2</f>
        <v>0.21366402722334926</v>
      </c>
      <c r="G635" s="11">
        <f t="shared" si="59"/>
        <v>0.17117366729469147</v>
      </c>
      <c r="H635" s="25">
        <f t="shared" si="54"/>
        <v>87.750177430801983</v>
      </c>
      <c r="I635" s="26">
        <f>MAX($B$2:B635)</f>
        <v>2069.4</v>
      </c>
      <c r="J635" s="27">
        <f t="shared" si="55"/>
        <v>-0.10379820237750081</v>
      </c>
      <c r="K635" s="10">
        <f>MAX($C$2:C635)</f>
        <v>29.440999999999999</v>
      </c>
      <c r="L635" s="11">
        <f t="shared" si="56"/>
        <v>-0.28212356917224274</v>
      </c>
    </row>
    <row r="636" spans="1:12" x14ac:dyDescent="0.35">
      <c r="A636" s="5" t="s">
        <v>1506</v>
      </c>
      <c r="B636" s="22">
        <v>1820</v>
      </c>
      <c r="C636" s="10">
        <v>20.199000000000002</v>
      </c>
      <c r="D636" s="23">
        <f t="shared" si="57"/>
        <v>-1.8656314029979464E-2</v>
      </c>
      <c r="E636" s="11">
        <f t="shared" si="58"/>
        <v>-4.4286728176011349E-2</v>
      </c>
      <c r="F636" s="24">
        <f>(B636-$B$2)/$B$2</f>
        <v>0.19102153000458091</v>
      </c>
      <c r="G636" s="11">
        <f t="shared" si="59"/>
        <v>0.11930621744430912</v>
      </c>
      <c r="H636" s="25">
        <f t="shared" si="54"/>
        <v>90.103470468835084</v>
      </c>
      <c r="I636" s="26">
        <f>MAX($B$2:B636)</f>
        <v>2069.4</v>
      </c>
      <c r="J636" s="27">
        <f t="shared" si="55"/>
        <v>-0.12051802454817825</v>
      </c>
      <c r="K636" s="10">
        <f>MAX($C$2:C636)</f>
        <v>29.440999999999999</v>
      </c>
      <c r="L636" s="11">
        <f t="shared" si="56"/>
        <v>-0.31391596752827683</v>
      </c>
    </row>
    <row r="637" spans="1:12" x14ac:dyDescent="0.35">
      <c r="A637" s="5" t="s">
        <v>1508</v>
      </c>
      <c r="B637" s="22">
        <v>1818.6</v>
      </c>
      <c r="C637" s="10">
        <v>20.151</v>
      </c>
      <c r="D637" s="23">
        <f t="shared" si="57"/>
        <v>-7.6923076923081921E-4</v>
      </c>
      <c r="E637" s="11">
        <f t="shared" si="58"/>
        <v>-2.376355265112224E-3</v>
      </c>
      <c r="F637" s="24">
        <f>(B637-$B$2)/$B$2</f>
        <v>0.19010535959688504</v>
      </c>
      <c r="G637" s="11">
        <f t="shared" si="59"/>
        <v>0.11664634822121249</v>
      </c>
      <c r="H637" s="25">
        <f t="shared" si="54"/>
        <v>90.248622897126694</v>
      </c>
      <c r="I637" s="26">
        <f>MAX($B$2:B637)</f>
        <v>2069.4</v>
      </c>
      <c r="J637" s="27">
        <f t="shared" si="55"/>
        <v>-0.1211945491446797</v>
      </c>
      <c r="K637" s="10">
        <f>MAX($C$2:C637)</f>
        <v>29.440999999999999</v>
      </c>
      <c r="L637" s="11">
        <f t="shared" si="56"/>
        <v>-0.31554634693115041</v>
      </c>
    </row>
    <row r="638" spans="1:12" x14ac:dyDescent="0.35">
      <c r="A638" s="5" t="s">
        <v>1510</v>
      </c>
      <c r="B638" s="22">
        <v>1834.6</v>
      </c>
      <c r="C638" s="10">
        <v>20.164999999999999</v>
      </c>
      <c r="D638" s="23">
        <f t="shared" si="57"/>
        <v>8.7979764654129555E-3</v>
      </c>
      <c r="E638" s="11">
        <f t="shared" si="58"/>
        <v>6.947546027492108E-4</v>
      </c>
      <c r="F638" s="24">
        <f>(B638-$B$2)/$B$2</f>
        <v>0.20057587854198025</v>
      </c>
      <c r="G638" s="11">
        <f t="shared" si="59"/>
        <v>0.11742214341128226</v>
      </c>
      <c r="H638" s="25">
        <f t="shared" si="54"/>
        <v>90.979419786759237</v>
      </c>
      <c r="I638" s="26">
        <f>MAX($B$2:B638)</f>
        <v>2069.4</v>
      </c>
      <c r="J638" s="27">
        <f t="shared" si="55"/>
        <v>-0.11346283947037797</v>
      </c>
      <c r="K638" s="10">
        <f>MAX($C$2:C638)</f>
        <v>29.440999999999999</v>
      </c>
      <c r="L638" s="11">
        <f t="shared" si="56"/>
        <v>-0.3150708196053123</v>
      </c>
    </row>
    <row r="639" spans="1:12" x14ac:dyDescent="0.35">
      <c r="A639" s="5" t="s">
        <v>1512</v>
      </c>
      <c r="B639" s="22">
        <v>1916.5</v>
      </c>
      <c r="C639" s="10">
        <v>21.922999999999998</v>
      </c>
      <c r="D639" s="23">
        <f t="shared" si="57"/>
        <v>4.4641883789381935E-2</v>
      </c>
      <c r="E639" s="11">
        <f t="shared" si="58"/>
        <v>8.7180758740391731E-2</v>
      </c>
      <c r="F639" s="24">
        <f>(B639-$B$2)/$B$2</f>
        <v>0.25417184739218646</v>
      </c>
      <c r="G639" s="11">
        <f t="shared" si="59"/>
        <v>0.21483985370719266</v>
      </c>
      <c r="H639" s="25">
        <f t="shared" si="54"/>
        <v>87.419604981070123</v>
      </c>
      <c r="I639" s="26">
        <f>MAX($B$2:B639)</f>
        <v>2069.4</v>
      </c>
      <c r="J639" s="27">
        <f t="shared" si="55"/>
        <v>-7.3886150575045953E-2</v>
      </c>
      <c r="K639" s="10">
        <f>MAX($C$2:C639)</f>
        <v>29.440999999999999</v>
      </c>
      <c r="L639" s="11">
        <f t="shared" si="56"/>
        <v>-0.25535817397506883</v>
      </c>
    </row>
    <row r="640" spans="1:12" x14ac:dyDescent="0.35">
      <c r="A640" s="5" t="s">
        <v>1514</v>
      </c>
      <c r="B640" s="22">
        <v>1910.9</v>
      </c>
      <c r="C640" s="10">
        <v>22.04</v>
      </c>
      <c r="D640" s="23">
        <f t="shared" si="57"/>
        <v>-2.9219932168014135E-3</v>
      </c>
      <c r="E640" s="11">
        <f t="shared" si="58"/>
        <v>5.336860831090676E-3</v>
      </c>
      <c r="F640" s="24">
        <f>(B640-$B$2)/$B$2</f>
        <v>0.25050716576140319</v>
      </c>
      <c r="G640" s="11">
        <f t="shared" si="59"/>
        <v>0.22132328493849052</v>
      </c>
      <c r="H640" s="25">
        <f t="shared" si="54"/>
        <v>86.701451905626143</v>
      </c>
      <c r="I640" s="26">
        <f>MAX($B$2:B640)</f>
        <v>2069.4</v>
      </c>
      <c r="J640" s="27">
        <f t="shared" si="55"/>
        <v>-7.6592248961051504E-2</v>
      </c>
      <c r="K640" s="10">
        <f>MAX($C$2:C640)</f>
        <v>29.440999999999999</v>
      </c>
      <c r="L640" s="11">
        <f t="shared" si="56"/>
        <v>-0.25138412418056449</v>
      </c>
    </row>
    <row r="641" spans="1:12" x14ac:dyDescent="0.35">
      <c r="A641" s="5" t="s">
        <v>1516</v>
      </c>
      <c r="B641" s="22">
        <v>1931.3</v>
      </c>
      <c r="C641" s="10">
        <v>21.882000000000001</v>
      </c>
      <c r="D641" s="23">
        <f t="shared" si="57"/>
        <v>1.0675597885812895E-2</v>
      </c>
      <c r="E641" s="11">
        <f t="shared" si="58"/>
        <v>-7.1687840290380082E-3</v>
      </c>
      <c r="F641" s="24">
        <f>(B641-$B$2)/$B$2</f>
        <v>0.26385707741639952</v>
      </c>
      <c r="G641" s="11">
        <f t="shared" si="59"/>
        <v>0.21256788207913124</v>
      </c>
      <c r="H641" s="25">
        <f t="shared" si="54"/>
        <v>88.259756877799092</v>
      </c>
      <c r="I641" s="26">
        <f>MAX($B$2:B641)</f>
        <v>2069.4</v>
      </c>
      <c r="J641" s="27">
        <f t="shared" si="55"/>
        <v>-6.6734319126316874E-2</v>
      </c>
      <c r="K641" s="10">
        <f>MAX($C$2:C641)</f>
        <v>29.440999999999999</v>
      </c>
      <c r="L641" s="11">
        <f t="shared" si="56"/>
        <v>-0.25675078971502319</v>
      </c>
    </row>
    <row r="642" spans="1:12" x14ac:dyDescent="0.35">
      <c r="A642" s="5" t="s">
        <v>1518</v>
      </c>
      <c r="B642" s="22">
        <v>1923</v>
      </c>
      <c r="C642" s="10">
        <v>21.692</v>
      </c>
      <c r="D642" s="23">
        <f t="shared" si="57"/>
        <v>-4.2976233625019187E-3</v>
      </c>
      <c r="E642" s="11">
        <f t="shared" si="58"/>
        <v>-8.6829357462755354E-3</v>
      </c>
      <c r="F642" s="24">
        <f>(B642-$B$2)/$B$2</f>
        <v>0.25842549571363138</v>
      </c>
      <c r="G642" s="11">
        <f t="shared" si="59"/>
        <v>0.20203923307104071</v>
      </c>
      <c r="H642" s="25">
        <f t="shared" si="54"/>
        <v>88.650193619767649</v>
      </c>
      <c r="I642" s="26">
        <f>MAX($B$2:B642)</f>
        <v>2069.4</v>
      </c>
      <c r="J642" s="27">
        <f t="shared" si="55"/>
        <v>-7.0745143519860873E-2</v>
      </c>
      <c r="K642" s="10">
        <f>MAX($C$2:C642)</f>
        <v>29.440999999999999</v>
      </c>
      <c r="L642" s="11">
        <f t="shared" si="56"/>
        <v>-0.26320437485139769</v>
      </c>
    </row>
    <row r="643" spans="1:12" x14ac:dyDescent="0.35">
      <c r="A643" s="5" t="s">
        <v>1520</v>
      </c>
      <c r="B643" s="22">
        <v>1982.8</v>
      </c>
      <c r="C643" s="10">
        <v>22.646000000000001</v>
      </c>
      <c r="D643" s="23">
        <f t="shared" si="57"/>
        <v>3.1097243889755568E-2</v>
      </c>
      <c r="E643" s="11">
        <f t="shared" si="58"/>
        <v>4.3979347224783361E-2</v>
      </c>
      <c r="F643" s="24">
        <f>(B643-$B$2)/$B$2</f>
        <v>0.29755906027092471</v>
      </c>
      <c r="G643" s="11">
        <f t="shared" si="59"/>
        <v>0.25490413388008432</v>
      </c>
      <c r="H643" s="25">
        <f t="shared" ref="H643:H706" si="60">B643/C643</f>
        <v>87.55630133356884</v>
      </c>
      <c r="I643" s="26">
        <f>MAX($B$2:B643)</f>
        <v>2069.4</v>
      </c>
      <c r="J643" s="27">
        <f t="shared" ref="J643:J706" si="61">(B643-I643)/I643</f>
        <v>-4.1847878612158176E-2</v>
      </c>
      <c r="K643" s="10">
        <f>MAX($C$2:C643)</f>
        <v>29.440999999999999</v>
      </c>
      <c r="L643" s="11">
        <f t="shared" ref="L643:L706" si="62">(C643-K643)/K643</f>
        <v>-0.23080058421928598</v>
      </c>
    </row>
    <row r="644" spans="1:12" x14ac:dyDescent="0.35">
      <c r="A644" s="5" t="s">
        <v>1522</v>
      </c>
      <c r="B644" s="22">
        <v>1941.1</v>
      </c>
      <c r="C644" s="10">
        <v>22.425000000000001</v>
      </c>
      <c r="D644" s="23">
        <f t="shared" ref="D644:D707" si="63">(B644-B643)/B643</f>
        <v>-2.1030865442808175E-2</v>
      </c>
      <c r="E644" s="11">
        <f t="shared" ref="E644:E707" si="64">(C644-C643)/C643</f>
        <v>-9.7588978185993141E-3</v>
      </c>
      <c r="F644" s="24">
        <f>(B644-$B$2)/$B$2</f>
        <v>0.27027027027027029</v>
      </c>
      <c r="G644" s="11">
        <f t="shared" ref="G644:G707" si="65">(C644-$C$2)/$C$2</f>
        <v>0.2426576526654107</v>
      </c>
      <c r="H644" s="25">
        <f t="shared" si="60"/>
        <v>86.559643255295427</v>
      </c>
      <c r="I644" s="26">
        <f>MAX($B$2:B644)</f>
        <v>2069.4</v>
      </c>
      <c r="J644" s="27">
        <f t="shared" si="61"/>
        <v>-6.1998646950807083E-2</v>
      </c>
      <c r="K644" s="10">
        <f>MAX($C$2:C644)</f>
        <v>29.440999999999999</v>
      </c>
      <c r="L644" s="11">
        <f t="shared" si="62"/>
        <v>-0.23830712272001625</v>
      </c>
    </row>
    <row r="645" spans="1:12" x14ac:dyDescent="0.35">
      <c r="A645" s="5" t="s">
        <v>1524</v>
      </c>
      <c r="B645" s="22">
        <v>1949.6</v>
      </c>
      <c r="C645" s="10">
        <v>22.786000000000001</v>
      </c>
      <c r="D645" s="23">
        <f t="shared" si="63"/>
        <v>4.3789603832878263E-3</v>
      </c>
      <c r="E645" s="11">
        <f t="shared" si="64"/>
        <v>1.6098104793756996E-2</v>
      </c>
      <c r="F645" s="24">
        <f>(B645-$B$2)/$B$2</f>
        <v>0.2758327334598521</v>
      </c>
      <c r="G645" s="11">
        <f t="shared" si="65"/>
        <v>0.26266208578078254</v>
      </c>
      <c r="H645" s="25">
        <f t="shared" si="60"/>
        <v>85.561309576055464</v>
      </c>
      <c r="I645" s="26">
        <f>MAX($B$2:B645)</f>
        <v>2069.4</v>
      </c>
      <c r="J645" s="27">
        <f t="shared" si="61"/>
        <v>-5.7891176186334291E-2</v>
      </c>
      <c r="K645" s="10">
        <f>MAX($C$2:C645)</f>
        <v>29.440999999999999</v>
      </c>
      <c r="L645" s="11">
        <f t="shared" si="62"/>
        <v>-0.2260453109609048</v>
      </c>
    </row>
    <row r="646" spans="1:12" x14ac:dyDescent="0.35">
      <c r="A646" s="5" t="s">
        <v>1526</v>
      </c>
      <c r="B646" s="22">
        <v>1995.9</v>
      </c>
      <c r="C646" s="10">
        <v>23.256</v>
      </c>
      <c r="D646" s="23">
        <f t="shared" si="63"/>
        <v>2.3748461222815032E-2</v>
      </c>
      <c r="E646" s="11">
        <f t="shared" si="64"/>
        <v>2.0626700605634988E-2</v>
      </c>
      <c r="F646" s="24">
        <f>(B646-$B$2)/$B$2</f>
        <v>0.30613179765722154</v>
      </c>
      <c r="G646" s="11">
        <f t="shared" si="65"/>
        <v>0.28870663859026935</v>
      </c>
      <c r="H646" s="25">
        <f t="shared" si="60"/>
        <v>85.823013415892675</v>
      </c>
      <c r="I646" s="26">
        <f>MAX($B$2:B646)</f>
        <v>2069.4</v>
      </c>
      <c r="J646" s="27">
        <f t="shared" si="61"/>
        <v>-3.5517541316323571E-2</v>
      </c>
      <c r="K646" s="10">
        <f>MAX($C$2:C646)</f>
        <v>29.440999999999999</v>
      </c>
      <c r="L646" s="11">
        <f t="shared" si="62"/>
        <v>-0.21008117930776804</v>
      </c>
    </row>
    <row r="647" spans="1:12" x14ac:dyDescent="0.35">
      <c r="A647" s="5" t="s">
        <v>1528</v>
      </c>
      <c r="B647" s="22">
        <v>1953.8</v>
      </c>
      <c r="C647" s="10">
        <v>23.145</v>
      </c>
      <c r="D647" s="23">
        <f t="shared" si="63"/>
        <v>-2.1093241144345975E-2</v>
      </c>
      <c r="E647" s="11">
        <f t="shared" si="64"/>
        <v>-4.7729618163054972E-3</v>
      </c>
      <c r="F647" s="24">
        <f>(B647-$B$2)/$B$2</f>
        <v>0.27858124468293965</v>
      </c>
      <c r="G647" s="11">
        <f t="shared" si="65"/>
        <v>0.28255569101185862</v>
      </c>
      <c r="H647" s="25">
        <f t="shared" si="60"/>
        <v>84.415640527111691</v>
      </c>
      <c r="I647" s="26">
        <f>MAX($B$2:B647)</f>
        <v>2069.4</v>
      </c>
      <c r="J647" s="27">
        <f t="shared" si="61"/>
        <v>-5.5861602396830065E-2</v>
      </c>
      <c r="K647" s="10">
        <f>MAX($C$2:C647)</f>
        <v>29.440999999999999</v>
      </c>
      <c r="L647" s="11">
        <f t="shared" si="62"/>
        <v>-0.21385143167691315</v>
      </c>
    </row>
    <row r="648" spans="1:12" x14ac:dyDescent="0.35">
      <c r="A648" s="5" t="s">
        <v>1530</v>
      </c>
      <c r="B648" s="22">
        <v>1973.5</v>
      </c>
      <c r="C648" s="10">
        <v>23.42</v>
      </c>
      <c r="D648" s="23">
        <f t="shared" si="63"/>
        <v>1.008291534445698E-2</v>
      </c>
      <c r="E648" s="11">
        <f t="shared" si="64"/>
        <v>1.1881615899762461E-2</v>
      </c>
      <c r="F648" s="24">
        <f>(B648-$B$2)/$B$2</f>
        <v>0.29147307113408816</v>
      </c>
      <c r="G648" s="11">
        <f t="shared" si="65"/>
        <v>0.29779452510251592</v>
      </c>
      <c r="H648" s="25">
        <f t="shared" si="60"/>
        <v>84.265584970111007</v>
      </c>
      <c r="I648" s="26">
        <f>MAX($B$2:B648)</f>
        <v>2069.4</v>
      </c>
      <c r="J648" s="27">
        <f t="shared" si="61"/>
        <v>-4.6341934860346039E-2</v>
      </c>
      <c r="K648" s="10">
        <f>MAX($C$2:C648)</f>
        <v>29.440999999999999</v>
      </c>
      <c r="L648" s="11">
        <f t="shared" si="62"/>
        <v>-0.20451071634795004</v>
      </c>
    </row>
    <row r="649" spans="1:12" x14ac:dyDescent="0.35">
      <c r="A649" s="5" t="s">
        <v>1532</v>
      </c>
      <c r="B649" s="22">
        <v>1966.9</v>
      </c>
      <c r="C649" s="10">
        <v>23.466000000000001</v>
      </c>
      <c r="D649" s="23">
        <f t="shared" si="63"/>
        <v>-3.3443121357992953E-3</v>
      </c>
      <c r="E649" s="11">
        <f t="shared" si="64"/>
        <v>1.9641332194705111E-3</v>
      </c>
      <c r="F649" s="24">
        <f>(B649-$B$2)/$B$2</f>
        <v>0.28715398206923642</v>
      </c>
      <c r="G649" s="11">
        <f t="shared" si="65"/>
        <v>0.30034356644131677</v>
      </c>
      <c r="H649" s="25">
        <f t="shared" si="60"/>
        <v>83.819142589278101</v>
      </c>
      <c r="I649" s="26">
        <f>MAX($B$2:B649)</f>
        <v>2069.4</v>
      </c>
      <c r="J649" s="27">
        <f t="shared" si="61"/>
        <v>-4.9531265100995453E-2</v>
      </c>
      <c r="K649" s="10">
        <f>MAX($C$2:C649)</f>
        <v>29.440999999999999</v>
      </c>
      <c r="L649" s="11">
        <f t="shared" si="62"/>
        <v>-0.20294826942019625</v>
      </c>
    </row>
    <row r="650" spans="1:12" x14ac:dyDescent="0.35">
      <c r="A650" s="5" t="s">
        <v>1534</v>
      </c>
      <c r="B650" s="22">
        <v>1988.5</v>
      </c>
      <c r="C650" s="10">
        <v>24.076000000000001</v>
      </c>
      <c r="D650" s="23">
        <f t="shared" si="63"/>
        <v>1.098174792821186E-2</v>
      </c>
      <c r="E650" s="11">
        <f t="shared" si="64"/>
        <v>2.59950566777465E-2</v>
      </c>
      <c r="F650" s="24">
        <f>(B650-$B$2)/$B$2</f>
        <v>0.30128918264511495</v>
      </c>
      <c r="G650" s="11">
        <f t="shared" si="65"/>
        <v>0.3341460711515018</v>
      </c>
      <c r="H650" s="25">
        <f t="shared" si="60"/>
        <v>82.592623359362022</v>
      </c>
      <c r="I650" s="26">
        <f>MAX($B$2:B650)</f>
        <v>2069.4</v>
      </c>
      <c r="J650" s="27">
        <f t="shared" si="61"/>
        <v>-3.9093457040688166E-2</v>
      </c>
      <c r="K650" s="10">
        <f>MAX($C$2:C650)</f>
        <v>29.440999999999999</v>
      </c>
      <c r="L650" s="11">
        <f t="shared" si="62"/>
        <v>-0.18222886450867834</v>
      </c>
    </row>
    <row r="651" spans="1:12" x14ac:dyDescent="0.35">
      <c r="A651" s="5" t="s">
        <v>1536</v>
      </c>
      <c r="B651" s="22">
        <v>1991.3</v>
      </c>
      <c r="C651" s="10">
        <v>24.117999999999999</v>
      </c>
      <c r="D651" s="23">
        <f t="shared" si="63"/>
        <v>1.4080965551923333E-3</v>
      </c>
      <c r="E651" s="11">
        <f t="shared" si="64"/>
        <v>1.7444758265491792E-3</v>
      </c>
      <c r="F651" s="24">
        <f>(B651-$B$2)/$B$2</f>
        <v>0.30312152346050658</v>
      </c>
      <c r="G651" s="11">
        <f t="shared" si="65"/>
        <v>0.33647345672171114</v>
      </c>
      <c r="H651" s="25">
        <f t="shared" si="60"/>
        <v>82.564889294303015</v>
      </c>
      <c r="I651" s="26">
        <f>MAX($B$2:B651)</f>
        <v>2069.4</v>
      </c>
      <c r="J651" s="27">
        <f t="shared" si="61"/>
        <v>-3.7740407847685384E-2</v>
      </c>
      <c r="K651" s="10">
        <f>MAX($C$2:C651)</f>
        <v>29.440999999999999</v>
      </c>
      <c r="L651" s="11">
        <f t="shared" si="62"/>
        <v>-0.18080228253116404</v>
      </c>
    </row>
    <row r="652" spans="1:12" x14ac:dyDescent="0.35">
      <c r="A652" s="5" t="s">
        <v>1538</v>
      </c>
      <c r="B652" s="22">
        <v>2029.4</v>
      </c>
      <c r="C652" s="10">
        <v>25.201000000000001</v>
      </c>
      <c r="D652" s="23">
        <f t="shared" si="63"/>
        <v>1.9133229548536201E-2</v>
      </c>
      <c r="E652" s="11">
        <f t="shared" si="64"/>
        <v>4.4904220913840366E-2</v>
      </c>
      <c r="F652" s="24">
        <f>(B652-$B$2)/$B$2</f>
        <v>0.32805444669851463</v>
      </c>
      <c r="G652" s="11">
        <f t="shared" si="65"/>
        <v>0.39648675606782674</v>
      </c>
      <c r="H652" s="25">
        <f t="shared" si="60"/>
        <v>80.528550454347055</v>
      </c>
      <c r="I652" s="26">
        <f>MAX($B$2:B652)</f>
        <v>2069.4</v>
      </c>
      <c r="J652" s="27">
        <f t="shared" si="61"/>
        <v>-1.9329274185754326E-2</v>
      </c>
      <c r="K652" s="10">
        <f>MAX($C$2:C652)</f>
        <v>29.440999999999999</v>
      </c>
      <c r="L652" s="11">
        <f t="shared" si="62"/>
        <v>-0.14401684725382966</v>
      </c>
    </row>
    <row r="653" spans="1:12" x14ac:dyDescent="0.35">
      <c r="A653" s="5" t="s">
        <v>1540</v>
      </c>
      <c r="B653" s="22">
        <v>2026.8</v>
      </c>
      <c r="C653" s="10">
        <v>25.143000000000001</v>
      </c>
      <c r="D653" s="23">
        <f t="shared" si="63"/>
        <v>-1.2811668473441098E-3</v>
      </c>
      <c r="E653" s="11">
        <f t="shared" si="64"/>
        <v>-2.3014959723820414E-3</v>
      </c>
      <c r="F653" s="24">
        <f>(B653-$B$2)/$B$2</f>
        <v>0.32635298736993656</v>
      </c>
      <c r="G653" s="11">
        <f t="shared" si="65"/>
        <v>0.3932727474232518</v>
      </c>
      <c r="H653" s="25">
        <f t="shared" si="60"/>
        <v>80.610905619854435</v>
      </c>
      <c r="I653" s="26">
        <f>MAX($B$2:B653)</f>
        <v>2069.4</v>
      </c>
      <c r="J653" s="27">
        <f t="shared" si="61"/>
        <v>-2.0585677007828422E-2</v>
      </c>
      <c r="K653" s="10">
        <f>MAX($C$2:C653)</f>
        <v>29.440999999999999</v>
      </c>
      <c r="L653" s="11">
        <f t="shared" si="62"/>
        <v>-0.14598688903230184</v>
      </c>
    </row>
    <row r="654" spans="1:12" x14ac:dyDescent="0.35">
      <c r="A654" s="5" t="s">
        <v>1542</v>
      </c>
      <c r="B654" s="22">
        <v>1994.8</v>
      </c>
      <c r="C654" s="10">
        <v>25.02</v>
      </c>
      <c r="D654" s="23">
        <f t="shared" si="63"/>
        <v>-1.578843497138346E-2</v>
      </c>
      <c r="E654" s="11">
        <f t="shared" si="64"/>
        <v>-4.8920176589906175E-3</v>
      </c>
      <c r="F654" s="24">
        <f>(B654-$B$2)/$B$2</f>
        <v>0.30541194947974615</v>
      </c>
      <c r="G654" s="11">
        <f t="shared" si="65"/>
        <v>0.38645683253906687</v>
      </c>
      <c r="H654" s="25">
        <f t="shared" si="60"/>
        <v>79.728217426059146</v>
      </c>
      <c r="I654" s="26">
        <f>MAX($B$2:B654)</f>
        <v>2069.4</v>
      </c>
      <c r="J654" s="27">
        <f t="shared" si="61"/>
        <v>-3.604909635643188E-2</v>
      </c>
      <c r="K654" s="10">
        <f>MAX($C$2:C654)</f>
        <v>29.440999999999999</v>
      </c>
      <c r="L654" s="11">
        <f t="shared" si="62"/>
        <v>-0.15016473625216534</v>
      </c>
    </row>
    <row r="655" spans="1:12" x14ac:dyDescent="0.35">
      <c r="A655" s="5" t="s">
        <v>1544</v>
      </c>
      <c r="B655" s="22">
        <v>2010</v>
      </c>
      <c r="C655" s="10">
        <v>25.295999999999999</v>
      </c>
      <c r="D655" s="23">
        <f t="shared" si="63"/>
        <v>7.6198115099258305E-3</v>
      </c>
      <c r="E655" s="11">
        <f t="shared" si="64"/>
        <v>1.103117505995203E-2</v>
      </c>
      <c r="F655" s="24">
        <f>(B655-$B$2)/$B$2</f>
        <v>0.31535894247758661</v>
      </c>
      <c r="G655" s="11">
        <f t="shared" si="65"/>
        <v>0.40175108057187192</v>
      </c>
      <c r="H655" s="25">
        <f t="shared" si="60"/>
        <v>79.45920303605314</v>
      </c>
      <c r="I655" s="26">
        <f>MAX($B$2:B655)</f>
        <v>2069.4</v>
      </c>
      <c r="J655" s="27">
        <f t="shared" si="61"/>
        <v>-2.8703972165845214E-2</v>
      </c>
      <c r="K655" s="10">
        <f>MAX($C$2:C655)</f>
        <v>29.440999999999999</v>
      </c>
      <c r="L655" s="11">
        <f t="shared" si="62"/>
        <v>-0.14079005468564246</v>
      </c>
    </row>
    <row r="656" spans="1:12" x14ac:dyDescent="0.35">
      <c r="A656" s="5" t="s">
        <v>1546</v>
      </c>
      <c r="B656" s="22">
        <v>2015.7</v>
      </c>
      <c r="C656" s="10">
        <v>25.562999999999999</v>
      </c>
      <c r="D656" s="23">
        <f t="shared" si="63"/>
        <v>2.8358208955224107E-3</v>
      </c>
      <c r="E656" s="11">
        <f t="shared" si="64"/>
        <v>1.0555028462998082E-2</v>
      </c>
      <c r="F656" s="24">
        <f>(B656-$B$2)/$B$2</f>
        <v>0.31908906485177685</v>
      </c>
      <c r="G656" s="11">
        <f t="shared" si="65"/>
        <v>0.4165466031253463</v>
      </c>
      <c r="H656" s="25">
        <f t="shared" si="60"/>
        <v>78.85224738880413</v>
      </c>
      <c r="I656" s="26">
        <f>MAX($B$2:B656)</f>
        <v>2069.4</v>
      </c>
      <c r="J656" s="27">
        <f t="shared" si="61"/>
        <v>-2.5949550594375204E-2</v>
      </c>
      <c r="K656" s="10">
        <f>MAX($C$2:C656)</f>
        <v>29.440999999999999</v>
      </c>
      <c r="L656" s="11">
        <f t="shared" si="62"/>
        <v>-0.1317210692571584</v>
      </c>
    </row>
    <row r="657" spans="1:12" x14ac:dyDescent="0.35">
      <c r="A657" s="5" t="s">
        <v>1548</v>
      </c>
      <c r="B657" s="22">
        <v>2045.8</v>
      </c>
      <c r="C657" s="10">
        <v>26.035</v>
      </c>
      <c r="D657" s="23">
        <f t="shared" si="63"/>
        <v>1.493277769509347E-2</v>
      </c>
      <c r="E657" s="11">
        <f t="shared" si="64"/>
        <v>1.846418651957913E-2</v>
      </c>
      <c r="F657" s="24">
        <f>(B657-$B$2)/$B$2</f>
        <v>0.33878672861723713</v>
      </c>
      <c r="G657" s="11">
        <f t="shared" si="65"/>
        <v>0.44270198381912895</v>
      </c>
      <c r="H657" s="25">
        <f t="shared" si="60"/>
        <v>78.578836182062602</v>
      </c>
      <c r="I657" s="26">
        <f>MAX($B$2:B657)</f>
        <v>2069.4</v>
      </c>
      <c r="J657" s="27">
        <f t="shared" si="61"/>
        <v>-1.1404271769595117E-2</v>
      </c>
      <c r="K657" s="10">
        <f>MAX($C$2:C657)</f>
        <v>29.440999999999999</v>
      </c>
      <c r="L657" s="11">
        <f t="shared" si="62"/>
        <v>-0.11568900512890183</v>
      </c>
    </row>
    <row r="658" spans="1:12" x14ac:dyDescent="0.35">
      <c r="A658" s="5" t="s">
        <v>1550</v>
      </c>
      <c r="B658" s="22">
        <v>1997.6</v>
      </c>
      <c r="C658" s="10">
        <v>25.196999999999999</v>
      </c>
      <c r="D658" s="23">
        <f t="shared" si="63"/>
        <v>-2.3560465343630876E-2</v>
      </c>
      <c r="E658" s="11">
        <f t="shared" si="64"/>
        <v>-3.2187439984636107E-2</v>
      </c>
      <c r="F658" s="24">
        <f>(B658-$B$2)/$B$2</f>
        <v>0.30724429029513778</v>
      </c>
      <c r="G658" s="11">
        <f t="shared" si="65"/>
        <v>0.39626510029923528</v>
      </c>
      <c r="H658" s="25">
        <f t="shared" si="60"/>
        <v>79.27927927927928</v>
      </c>
      <c r="I658" s="26">
        <f>MAX($B$2:B658)</f>
        <v>2069.4</v>
      </c>
      <c r="J658" s="27">
        <f t="shared" si="61"/>
        <v>-3.4696047163429097E-2</v>
      </c>
      <c r="K658" s="10">
        <f>MAX($C$2:C658)</f>
        <v>29.440999999999999</v>
      </c>
      <c r="L658" s="11">
        <f t="shared" si="62"/>
        <v>-0.14415271220406914</v>
      </c>
    </row>
    <row r="659" spans="1:12" x14ac:dyDescent="0.35">
      <c r="A659" s="5" t="s">
        <v>1552</v>
      </c>
      <c r="B659" s="22">
        <v>2010.3</v>
      </c>
      <c r="C659" s="10">
        <v>25.367999999999999</v>
      </c>
      <c r="D659" s="23">
        <f t="shared" si="63"/>
        <v>6.3576291549860059E-3</v>
      </c>
      <c r="E659" s="11">
        <f t="shared" si="64"/>
        <v>6.7865222050243834E-3</v>
      </c>
      <c r="F659" s="24">
        <f>(B659-$B$2)/$B$2</f>
        <v>0.31555526470780715</v>
      </c>
      <c r="G659" s="11">
        <f t="shared" si="65"/>
        <v>0.40574088440651662</v>
      </c>
      <c r="H659" s="25">
        <f t="shared" si="60"/>
        <v>79.245506149479667</v>
      </c>
      <c r="I659" s="26">
        <f>MAX($B$2:B659)</f>
        <v>2069.4</v>
      </c>
      <c r="J659" s="27">
        <f t="shared" si="61"/>
        <v>-2.8559002609452079E-2</v>
      </c>
      <c r="K659" s="10">
        <f>MAX($C$2:C659)</f>
        <v>29.440999999999999</v>
      </c>
      <c r="L659" s="11">
        <f t="shared" si="62"/>
        <v>-0.13834448558133217</v>
      </c>
    </row>
    <row r="660" spans="1:12" x14ac:dyDescent="0.35">
      <c r="A660" s="5" t="s">
        <v>1554</v>
      </c>
      <c r="B660" s="22">
        <v>1998</v>
      </c>
      <c r="C660" s="10">
        <v>25.471</v>
      </c>
      <c r="D660" s="23">
        <f t="shared" si="63"/>
        <v>-6.118489777645105E-3</v>
      </c>
      <c r="E660" s="11">
        <f t="shared" si="64"/>
        <v>4.0602333648691868E-3</v>
      </c>
      <c r="F660" s="24">
        <f>(B660-$B$2)/$B$2</f>
        <v>0.30750605326876523</v>
      </c>
      <c r="G660" s="11">
        <f t="shared" si="65"/>
        <v>0.41144852044774471</v>
      </c>
      <c r="H660" s="25">
        <f t="shared" si="60"/>
        <v>78.442149895960114</v>
      </c>
      <c r="I660" s="26">
        <f>MAX($B$2:B660)</f>
        <v>2069.4</v>
      </c>
      <c r="J660" s="27">
        <f t="shared" si="61"/>
        <v>-3.450275442157151E-2</v>
      </c>
      <c r="K660" s="10">
        <f>MAX($C$2:C660)</f>
        <v>29.440999999999999</v>
      </c>
      <c r="L660" s="11">
        <f t="shared" si="62"/>
        <v>-0.13484596311266597</v>
      </c>
    </row>
    <row r="661" spans="1:12" x14ac:dyDescent="0.35">
      <c r="A661" s="5" t="s">
        <v>1556</v>
      </c>
      <c r="B661" s="22">
        <v>2009.8</v>
      </c>
      <c r="C661" s="10">
        <v>25.478000000000002</v>
      </c>
      <c r="D661" s="23">
        <f t="shared" si="63"/>
        <v>5.9059059059058828E-3</v>
      </c>
      <c r="E661" s="11">
        <f t="shared" si="64"/>
        <v>2.7482234698290013E-4</v>
      </c>
      <c r="F661" s="24">
        <f>(B661-$B$2)/$B$2</f>
        <v>0.31522806099077288</v>
      </c>
      <c r="G661" s="11">
        <f t="shared" si="65"/>
        <v>0.41183641804277971</v>
      </c>
      <c r="H661" s="25">
        <f t="shared" si="60"/>
        <v>78.883742836957367</v>
      </c>
      <c r="I661" s="26">
        <f>MAX($B$2:B661)</f>
        <v>2069.4</v>
      </c>
      <c r="J661" s="27">
        <f t="shared" si="61"/>
        <v>-2.8800618536774007E-2</v>
      </c>
      <c r="K661" s="10">
        <f>MAX($C$2:C661)</f>
        <v>29.440999999999999</v>
      </c>
      <c r="L661" s="11">
        <f t="shared" si="62"/>
        <v>-0.13460819944974686</v>
      </c>
    </row>
    <row r="662" spans="1:12" x14ac:dyDescent="0.35">
      <c r="A662" s="5" t="s">
        <v>1558</v>
      </c>
      <c r="B662" s="22">
        <v>1990.6</v>
      </c>
      <c r="C662" s="10">
        <v>25.411000000000001</v>
      </c>
      <c r="D662" s="23">
        <f t="shared" si="63"/>
        <v>-9.5531893720768469E-3</v>
      </c>
      <c r="E662" s="11">
        <f t="shared" si="64"/>
        <v>-2.6297197582227871E-3</v>
      </c>
      <c r="F662" s="24">
        <f>(B662-$B$2)/$B$2</f>
        <v>0.30266343825665859</v>
      </c>
      <c r="G662" s="11">
        <f t="shared" si="65"/>
        <v>0.4081236839188741</v>
      </c>
      <c r="H662" s="25">
        <f t="shared" si="60"/>
        <v>78.336153634252881</v>
      </c>
      <c r="I662" s="26">
        <f>MAX($B$2:B662)</f>
        <v>2069.4</v>
      </c>
      <c r="J662" s="27">
        <f t="shared" si="61"/>
        <v>-3.8078670145936105E-2</v>
      </c>
      <c r="K662" s="10">
        <f>MAX($C$2:C662)</f>
        <v>29.440999999999999</v>
      </c>
      <c r="L662" s="11">
        <f t="shared" si="62"/>
        <v>-0.13688393736625787</v>
      </c>
    </row>
    <row r="663" spans="1:12" x14ac:dyDescent="0.35">
      <c r="A663" s="5" t="s">
        <v>1560</v>
      </c>
      <c r="B663" s="22">
        <v>1995.1</v>
      </c>
      <c r="C663" s="10">
        <v>24.978000000000002</v>
      </c>
      <c r="D663" s="23">
        <f t="shared" si="63"/>
        <v>2.2606249372048629E-3</v>
      </c>
      <c r="E663" s="11">
        <f t="shared" si="64"/>
        <v>-1.7039864625555855E-2</v>
      </c>
      <c r="F663" s="24">
        <f>(B663-$B$2)/$B$2</f>
        <v>0.30560827170996663</v>
      </c>
      <c r="G663" s="11">
        <f t="shared" si="65"/>
        <v>0.38412944696885748</v>
      </c>
      <c r="H663" s="25">
        <f t="shared" si="60"/>
        <v>79.874289374649678</v>
      </c>
      <c r="I663" s="26">
        <f>MAX($B$2:B663)</f>
        <v>2069.4</v>
      </c>
      <c r="J663" s="27">
        <f t="shared" si="61"/>
        <v>-3.5904126800038745E-2</v>
      </c>
      <c r="K663" s="10">
        <f>MAX($C$2:C663)</f>
        <v>29.440999999999999</v>
      </c>
      <c r="L663" s="11">
        <f t="shared" si="62"/>
        <v>-0.15159131822967961</v>
      </c>
    </row>
    <row r="664" spans="1:12" x14ac:dyDescent="0.35">
      <c r="A664" s="5" t="s">
        <v>1562</v>
      </c>
      <c r="B664" s="22">
        <v>1986.9</v>
      </c>
      <c r="C664" s="10">
        <v>24.972000000000001</v>
      </c>
      <c r="D664" s="23">
        <f t="shared" si="63"/>
        <v>-4.110069670693107E-3</v>
      </c>
      <c r="E664" s="11">
        <f t="shared" si="64"/>
        <v>-2.4021138601970643E-4</v>
      </c>
      <c r="F664" s="24">
        <f>(B664-$B$2)/$B$2</f>
        <v>0.30024213075060546</v>
      </c>
      <c r="G664" s="11">
        <f t="shared" si="65"/>
        <v>0.38379696331597041</v>
      </c>
      <c r="H664" s="25">
        <f t="shared" si="60"/>
        <v>79.565112926477653</v>
      </c>
      <c r="I664" s="26">
        <f>MAX($B$2:B664)</f>
        <v>2069.4</v>
      </c>
      <c r="J664" s="27">
        <f t="shared" si="61"/>
        <v>-3.9866628008118292E-2</v>
      </c>
      <c r="K664" s="10">
        <f>MAX($C$2:C664)</f>
        <v>29.440999999999999</v>
      </c>
      <c r="L664" s="11">
        <f t="shared" si="62"/>
        <v>-0.15179511565503881</v>
      </c>
    </row>
    <row r="665" spans="1:12" x14ac:dyDescent="0.35">
      <c r="A665" s="5" t="s">
        <v>1564</v>
      </c>
      <c r="B665" s="22">
        <v>1999</v>
      </c>
      <c r="C665" s="10">
        <v>25.209</v>
      </c>
      <c r="D665" s="23">
        <f t="shared" si="63"/>
        <v>6.0898887714529708E-3</v>
      </c>
      <c r="E665" s="11">
        <f t="shared" si="64"/>
        <v>9.4906295050455839E-3</v>
      </c>
      <c r="F665" s="24">
        <f>(B665-$B$2)/$B$2</f>
        <v>0.30816046070283365</v>
      </c>
      <c r="G665" s="11">
        <f t="shared" si="65"/>
        <v>0.39693006760500943</v>
      </c>
      <c r="H665" s="25">
        <f t="shared" si="60"/>
        <v>79.297076440953632</v>
      </c>
      <c r="I665" s="26">
        <f>MAX($B$2:B665)</f>
        <v>2069.4</v>
      </c>
      <c r="J665" s="27">
        <f t="shared" si="61"/>
        <v>-3.4019522566927654E-2</v>
      </c>
      <c r="K665" s="10">
        <f>MAX($C$2:C665)</f>
        <v>29.440999999999999</v>
      </c>
      <c r="L665" s="11">
        <f t="shared" si="62"/>
        <v>-0.14374511735335074</v>
      </c>
    </row>
    <row r="666" spans="1:12" x14ac:dyDescent="0.35">
      <c r="A666" s="5" t="s">
        <v>1566</v>
      </c>
      <c r="B666" s="22">
        <v>1992.2</v>
      </c>
      <c r="C666" s="10">
        <v>25.23</v>
      </c>
      <c r="D666" s="23">
        <f t="shared" si="63"/>
        <v>-3.40170085042519E-3</v>
      </c>
      <c r="E666" s="11">
        <f t="shared" si="64"/>
        <v>8.3303582054031482E-4</v>
      </c>
      <c r="F666" s="24">
        <f>(B666-$B$2)/$B$2</f>
        <v>0.30371049015116824</v>
      </c>
      <c r="G666" s="11">
        <f t="shared" si="65"/>
        <v>0.39809376039011424</v>
      </c>
      <c r="H666" s="25">
        <f t="shared" si="60"/>
        <v>78.961553705905672</v>
      </c>
      <c r="I666" s="26">
        <f>MAX($B$2:B666)</f>
        <v>2069.4</v>
      </c>
      <c r="J666" s="27">
        <f t="shared" si="61"/>
        <v>-3.7305499178505869E-2</v>
      </c>
      <c r="K666" s="10">
        <f>MAX($C$2:C666)</f>
        <v>29.440999999999999</v>
      </c>
      <c r="L666" s="11">
        <f t="shared" si="62"/>
        <v>-0.14303182636459355</v>
      </c>
    </row>
    <row r="667" spans="1:12" x14ac:dyDescent="0.35">
      <c r="A667" s="5" t="s">
        <v>1568</v>
      </c>
      <c r="B667" s="22">
        <v>2023.3</v>
      </c>
      <c r="C667" s="10">
        <v>25.619</v>
      </c>
      <c r="D667" s="23">
        <f t="shared" si="63"/>
        <v>1.561088244152189E-2</v>
      </c>
      <c r="E667" s="11">
        <f t="shared" si="64"/>
        <v>1.5418152992469257E-2</v>
      </c>
      <c r="F667" s="24">
        <f>(B667-$B$2)/$B$2</f>
        <v>0.324062561350697</v>
      </c>
      <c r="G667" s="11">
        <f t="shared" si="65"/>
        <v>0.41964978388562568</v>
      </c>
      <c r="H667" s="25">
        <f t="shared" si="60"/>
        <v>78.97654084858894</v>
      </c>
      <c r="I667" s="26">
        <f>MAX($B$2:B667)</f>
        <v>2069.4</v>
      </c>
      <c r="J667" s="27">
        <f t="shared" si="61"/>
        <v>-2.2276988499081926E-2</v>
      </c>
      <c r="K667" s="10">
        <f>MAX($C$2:C667)</f>
        <v>29.440999999999999</v>
      </c>
      <c r="L667" s="11">
        <f t="shared" si="62"/>
        <v>-0.12981895995380591</v>
      </c>
    </row>
    <row r="668" spans="1:12" x14ac:dyDescent="0.35">
      <c r="A668" s="5" t="s">
        <v>1570</v>
      </c>
      <c r="B668" s="22">
        <v>2037</v>
      </c>
      <c r="C668" s="10">
        <v>25.681000000000001</v>
      </c>
      <c r="D668" s="23">
        <f t="shared" si="63"/>
        <v>6.7711164928582245E-3</v>
      </c>
      <c r="E668" s="11">
        <f t="shared" si="64"/>
        <v>2.4200788477302458E-3</v>
      </c>
      <c r="F668" s="24">
        <f>(B668-$B$2)/$B$2</f>
        <v>0.33302794319743478</v>
      </c>
      <c r="G668" s="11">
        <f t="shared" si="65"/>
        <v>0.42308544829879208</v>
      </c>
      <c r="H668" s="25">
        <f t="shared" si="60"/>
        <v>79.31934114715159</v>
      </c>
      <c r="I668" s="26">
        <f>MAX($B$2:B668)</f>
        <v>2069.4</v>
      </c>
      <c r="J668" s="27">
        <f t="shared" si="61"/>
        <v>-1.5656712090461048E-2</v>
      </c>
      <c r="K668" s="10">
        <f>MAX($C$2:C668)</f>
        <v>29.440999999999999</v>
      </c>
      <c r="L668" s="11">
        <f t="shared" si="62"/>
        <v>-0.12771305322509419</v>
      </c>
    </row>
    <row r="669" spans="1:12" x14ac:dyDescent="0.35">
      <c r="A669" s="5" t="s">
        <v>1572</v>
      </c>
      <c r="B669" s="22">
        <v>2055.6999999999998</v>
      </c>
      <c r="C669" s="10">
        <v>26.227</v>
      </c>
      <c r="D669" s="23">
        <f t="shared" si="63"/>
        <v>9.1801669121255852E-3</v>
      </c>
      <c r="E669" s="11">
        <f t="shared" si="64"/>
        <v>2.1260854328102465E-2</v>
      </c>
      <c r="F669" s="24">
        <f>(B669-$B$2)/$B$2</f>
        <v>0.3452653622145147</v>
      </c>
      <c r="G669" s="11">
        <f t="shared" si="65"/>
        <v>0.4533414607115151</v>
      </c>
      <c r="H669" s="25">
        <f t="shared" si="60"/>
        <v>78.381057688641462</v>
      </c>
      <c r="I669" s="26">
        <f>MAX($B$2:B669)</f>
        <v>2069.4</v>
      </c>
      <c r="J669" s="27">
        <f t="shared" si="61"/>
        <v>-6.6202764086209882E-3</v>
      </c>
      <c r="K669" s="10">
        <f>MAX($C$2:C669)</f>
        <v>29.440999999999999</v>
      </c>
      <c r="L669" s="11">
        <f t="shared" si="62"/>
        <v>-0.10916748751740765</v>
      </c>
    </row>
    <row r="670" spans="1:12" x14ac:dyDescent="0.35">
      <c r="A670" s="5" t="s">
        <v>1574</v>
      </c>
      <c r="B670" s="22">
        <v>2033.2</v>
      </c>
      <c r="C670" s="10">
        <v>25.834</v>
      </c>
      <c r="D670" s="23">
        <f t="shared" si="63"/>
        <v>-1.0945176825412158E-2</v>
      </c>
      <c r="E670" s="11">
        <f t="shared" si="64"/>
        <v>-1.4984557898349056E-2</v>
      </c>
      <c r="F670" s="24">
        <f>(B670-$B$2)/$B$2</f>
        <v>0.33054119494797474</v>
      </c>
      <c r="G670" s="11">
        <f t="shared" si="65"/>
        <v>0.4315637814474122</v>
      </c>
      <c r="H670" s="25">
        <f t="shared" si="60"/>
        <v>78.702485097158785</v>
      </c>
      <c r="I670" s="26">
        <f>MAX($B$2:B670)</f>
        <v>2069.4</v>
      </c>
      <c r="J670" s="27">
        <f t="shared" si="61"/>
        <v>-1.7492993138107687E-2</v>
      </c>
      <c r="K670" s="10">
        <f>MAX($C$2:C670)</f>
        <v>29.440999999999999</v>
      </c>
      <c r="L670" s="11">
        <f t="shared" si="62"/>
        <v>-0.12251621887843482</v>
      </c>
    </row>
    <row r="671" spans="1:12" x14ac:dyDescent="0.35">
      <c r="A671" s="5" t="s">
        <v>1576</v>
      </c>
      <c r="B671" s="22">
        <v>2042.9</v>
      </c>
      <c r="C671" s="10">
        <v>25.898</v>
      </c>
      <c r="D671" s="23">
        <f t="shared" si="63"/>
        <v>4.7708046429274275E-3</v>
      </c>
      <c r="E671" s="11">
        <f t="shared" si="64"/>
        <v>2.4773554230858581E-3</v>
      </c>
      <c r="F671" s="24">
        <f>(B671-$B$2)/$B$2</f>
        <v>0.33688894705843875</v>
      </c>
      <c r="G671" s="11">
        <f t="shared" si="65"/>
        <v>0.43511027374487427</v>
      </c>
      <c r="H671" s="25">
        <f t="shared" si="60"/>
        <v>78.882539192215617</v>
      </c>
      <c r="I671" s="26">
        <f>MAX($B$2:B671)</f>
        <v>2069.4</v>
      </c>
      <c r="J671" s="27">
        <f t="shared" si="61"/>
        <v>-1.2805644148062239E-2</v>
      </c>
      <c r="K671" s="10">
        <f>MAX($C$2:C671)</f>
        <v>29.440999999999999</v>
      </c>
      <c r="L671" s="11">
        <f t="shared" si="62"/>
        <v>-0.12034237967460343</v>
      </c>
    </row>
    <row r="672" spans="1:12" x14ac:dyDescent="0.35">
      <c r="A672" s="5" t="s">
        <v>1577</v>
      </c>
      <c r="B672" s="22">
        <v>2037.1</v>
      </c>
      <c r="C672" s="10">
        <v>25.658000000000001</v>
      </c>
      <c r="D672" s="23">
        <f t="shared" si="63"/>
        <v>-2.839101277595664E-3</v>
      </c>
      <c r="E672" s="11">
        <f t="shared" si="64"/>
        <v>-9.2671248745076241E-3</v>
      </c>
      <c r="F672" s="24">
        <f>(B672-$B$2)/$B$2</f>
        <v>0.33309338394084159</v>
      </c>
      <c r="G672" s="11">
        <f t="shared" si="65"/>
        <v>0.42181092762939165</v>
      </c>
      <c r="H672" s="25">
        <f t="shared" si="60"/>
        <v>79.394340946293539</v>
      </c>
      <c r="I672" s="26">
        <f>MAX($B$2:B672)</f>
        <v>2069.4</v>
      </c>
      <c r="J672" s="27">
        <f t="shared" si="61"/>
        <v>-1.5608388904996705E-2</v>
      </c>
      <c r="K672" s="10">
        <f>MAX($C$2:C672)</f>
        <v>29.440999999999999</v>
      </c>
      <c r="L672" s="11">
        <f t="shared" si="62"/>
        <v>-0.12849427668897109</v>
      </c>
    </row>
    <row r="673" spans="1:12" x14ac:dyDescent="0.35">
      <c r="A673" s="5" t="s">
        <v>1579</v>
      </c>
      <c r="B673" s="22">
        <v>2020.5</v>
      </c>
      <c r="C673" s="10">
        <v>24.423999999999999</v>
      </c>
      <c r="D673" s="23">
        <f t="shared" si="63"/>
        <v>-8.1488390358843005E-3</v>
      </c>
      <c r="E673" s="11">
        <f t="shared" si="64"/>
        <v>-4.8094161664977854E-2</v>
      </c>
      <c r="F673" s="24">
        <f>(B673-$B$2)/$B$2</f>
        <v>0.32223022053530537</v>
      </c>
      <c r="G673" s="11">
        <f t="shared" si="65"/>
        <v>0.3534301230189516</v>
      </c>
      <c r="H673" s="25">
        <f t="shared" si="60"/>
        <v>82.726007206026864</v>
      </c>
      <c r="I673" s="26">
        <f>MAX($B$2:B673)</f>
        <v>2069.4</v>
      </c>
      <c r="J673" s="27">
        <f t="shared" si="61"/>
        <v>-2.3630037692084705E-2</v>
      </c>
      <c r="K673" s="10">
        <f>MAX($C$2:C673)</f>
        <v>29.440999999999999</v>
      </c>
      <c r="L673" s="11">
        <f t="shared" si="62"/>
        <v>-0.17040861383784517</v>
      </c>
    </row>
    <row r="674" spans="1:12" x14ac:dyDescent="0.35">
      <c r="A674" s="5" t="s">
        <v>1581</v>
      </c>
      <c r="B674" s="22">
        <v>2022.7</v>
      </c>
      <c r="C674" s="10">
        <v>24.291</v>
      </c>
      <c r="D674" s="23">
        <f t="shared" si="63"/>
        <v>1.0888393961890847E-3</v>
      </c>
      <c r="E674" s="11">
        <f t="shared" si="64"/>
        <v>-5.4454634785456564E-3</v>
      </c>
      <c r="F674" s="24">
        <f>(B674-$B$2)/$B$2</f>
        <v>0.32366991689025598</v>
      </c>
      <c r="G674" s="11">
        <f t="shared" si="65"/>
        <v>0.34606006871328832</v>
      </c>
      <c r="H674" s="25">
        <f t="shared" si="60"/>
        <v>83.26952369190235</v>
      </c>
      <c r="I674" s="26">
        <f>MAX($B$2:B674)</f>
        <v>2069.4</v>
      </c>
      <c r="J674" s="27">
        <f t="shared" si="61"/>
        <v>-2.2566927611868196E-2</v>
      </c>
      <c r="K674" s="10">
        <f>MAX($C$2:C674)</f>
        <v>29.440999999999999</v>
      </c>
      <c r="L674" s="11">
        <f t="shared" si="62"/>
        <v>-0.17492612343330724</v>
      </c>
    </row>
    <row r="675" spans="1:12" x14ac:dyDescent="0.35">
      <c r="A675" s="5" t="s">
        <v>1583</v>
      </c>
      <c r="B675" s="22">
        <v>1993</v>
      </c>
      <c r="C675" s="10">
        <v>23.893000000000001</v>
      </c>
      <c r="D675" s="23">
        <f t="shared" si="63"/>
        <v>-1.4683344045088271E-2</v>
      </c>
      <c r="E675" s="11">
        <f t="shared" si="64"/>
        <v>-1.6384669219052312E-2</v>
      </c>
      <c r="F675" s="24">
        <f>(B675-$B$2)/$B$2</f>
        <v>0.30423401609842293</v>
      </c>
      <c r="G675" s="11">
        <f t="shared" si="65"/>
        <v>0.32400531973844626</v>
      </c>
      <c r="H675" s="25">
        <f t="shared" si="60"/>
        <v>83.413552086385138</v>
      </c>
      <c r="I675" s="26">
        <f>MAX($B$2:B675)</f>
        <v>2069.4</v>
      </c>
      <c r="J675" s="27">
        <f t="shared" si="61"/>
        <v>-3.6918913694790806E-2</v>
      </c>
      <c r="K675" s="10">
        <f>MAX($C$2:C675)</f>
        <v>29.440999999999999</v>
      </c>
      <c r="L675" s="11">
        <f t="shared" si="62"/>
        <v>-0.18844468598213371</v>
      </c>
    </row>
    <row r="676" spans="1:12" x14ac:dyDescent="0.35">
      <c r="A676" s="5" t="s">
        <v>1585</v>
      </c>
      <c r="B676" s="22">
        <v>1984.9</v>
      </c>
      <c r="C676" s="10">
        <v>23.896999999999998</v>
      </c>
      <c r="D676" s="23">
        <f t="shared" si="63"/>
        <v>-4.0642247867535919E-3</v>
      </c>
      <c r="E676" s="11">
        <f t="shared" si="64"/>
        <v>1.6741304984714282E-4</v>
      </c>
      <c r="F676" s="24">
        <f>(B676-$B$2)/$B$2</f>
        <v>0.29893331588246858</v>
      </c>
      <c r="G676" s="11">
        <f t="shared" si="65"/>
        <v>0.32422697550703755</v>
      </c>
      <c r="H676" s="25">
        <f t="shared" si="60"/>
        <v>83.060635226179031</v>
      </c>
      <c r="I676" s="26">
        <f>MAX($B$2:B676)</f>
        <v>2069.4</v>
      </c>
      <c r="J676" s="27">
        <f t="shared" si="61"/>
        <v>-4.0833091717406012E-2</v>
      </c>
      <c r="K676" s="10">
        <f>MAX($C$2:C676)</f>
        <v>29.440999999999999</v>
      </c>
      <c r="L676" s="11">
        <f t="shared" si="62"/>
        <v>-0.18830882103189431</v>
      </c>
    </row>
    <row r="677" spans="1:12" x14ac:dyDescent="0.35">
      <c r="A677" s="5" t="s">
        <v>1587</v>
      </c>
      <c r="B677" s="22">
        <v>1959.8</v>
      </c>
      <c r="C677" s="10">
        <v>23.632999999999999</v>
      </c>
      <c r="D677" s="23">
        <f t="shared" si="63"/>
        <v>-1.2645473323593196E-2</v>
      </c>
      <c r="E677" s="11">
        <f t="shared" si="64"/>
        <v>-1.1047411809013656E-2</v>
      </c>
      <c r="F677" s="24">
        <f>(B677-$B$2)/$B$2</f>
        <v>0.28250768928735037</v>
      </c>
      <c r="G677" s="11">
        <f t="shared" si="65"/>
        <v>0.30959769478000665</v>
      </c>
      <c r="H677" s="25">
        <f t="shared" si="60"/>
        <v>82.926416451571953</v>
      </c>
      <c r="I677" s="26">
        <f>MAX($B$2:B677)</f>
        <v>2069.4</v>
      </c>
      <c r="J677" s="27">
        <f t="shared" si="61"/>
        <v>-5.2962211268966913E-2</v>
      </c>
      <c r="K677" s="10">
        <f>MAX($C$2:C677)</f>
        <v>29.440999999999999</v>
      </c>
      <c r="L677" s="11">
        <f t="shared" si="62"/>
        <v>-0.19727590774769879</v>
      </c>
    </row>
    <row r="678" spans="1:12" x14ac:dyDescent="0.35">
      <c r="A678" s="5" t="s">
        <v>1589</v>
      </c>
      <c r="B678" s="22">
        <v>1977.2</v>
      </c>
      <c r="C678" s="10">
        <v>23.861000000000001</v>
      </c>
      <c r="D678" s="23">
        <f t="shared" si="63"/>
        <v>8.8784569854067213E-3</v>
      </c>
      <c r="E678" s="11">
        <f t="shared" si="64"/>
        <v>9.6475267634240913E-3</v>
      </c>
      <c r="F678" s="24">
        <f>(B678-$B$2)/$B$2</f>
        <v>0.29389437864014145</v>
      </c>
      <c r="G678" s="11">
        <f t="shared" si="65"/>
        <v>0.32223207358971523</v>
      </c>
      <c r="H678" s="25">
        <f t="shared" si="60"/>
        <v>82.863249654247511</v>
      </c>
      <c r="I678" s="26">
        <f>MAX($B$2:B678)</f>
        <v>2069.4</v>
      </c>
      <c r="J678" s="27">
        <f t="shared" si="61"/>
        <v>-4.4553976998163741E-2</v>
      </c>
      <c r="K678" s="10">
        <f>MAX($C$2:C678)</f>
        <v>29.440999999999999</v>
      </c>
      <c r="L678" s="11">
        <f t="shared" si="62"/>
        <v>-0.18953160558404941</v>
      </c>
    </row>
    <row r="679" spans="1:12" x14ac:dyDescent="0.35">
      <c r="A679" s="5" t="s">
        <v>1591</v>
      </c>
      <c r="B679" s="22">
        <v>1974.5</v>
      </c>
      <c r="C679" s="10">
        <v>23.623999999999999</v>
      </c>
      <c r="D679" s="23">
        <f t="shared" si="63"/>
        <v>-1.3655674691483136E-3</v>
      </c>
      <c r="E679" s="11">
        <f t="shared" si="64"/>
        <v>-9.9325258790495738E-3</v>
      </c>
      <c r="F679" s="24">
        <f>(B679-$B$2)/$B$2</f>
        <v>0.29212747856815663</v>
      </c>
      <c r="G679" s="11">
        <f t="shared" si="65"/>
        <v>0.30909896930067604</v>
      </c>
      <c r="H679" s="25">
        <f t="shared" si="60"/>
        <v>83.580257365391134</v>
      </c>
      <c r="I679" s="26">
        <f>MAX($B$2:B679)</f>
        <v>2069.4</v>
      </c>
      <c r="J679" s="27">
        <f t="shared" si="61"/>
        <v>-4.5858703005702176E-2</v>
      </c>
      <c r="K679" s="10">
        <f>MAX($C$2:C679)</f>
        <v>29.440999999999999</v>
      </c>
      <c r="L679" s="11">
        <f t="shared" si="62"/>
        <v>-0.19758160388573759</v>
      </c>
    </row>
    <row r="680" spans="1:12" x14ac:dyDescent="0.35">
      <c r="A680" s="5" t="s">
        <v>1593</v>
      </c>
      <c r="B680" s="22">
        <v>1964.6</v>
      </c>
      <c r="C680" s="10">
        <v>23.24</v>
      </c>
      <c r="D680" s="23">
        <f t="shared" si="63"/>
        <v>-5.0139275766017174E-3</v>
      </c>
      <c r="E680" s="11">
        <f t="shared" si="64"/>
        <v>-1.6254656281747392E-2</v>
      </c>
      <c r="F680" s="24">
        <f>(B680-$B$2)/$B$2</f>
        <v>0.28564884497087889</v>
      </c>
      <c r="G680" s="11">
        <f t="shared" si="65"/>
        <v>0.28782001551590375</v>
      </c>
      <c r="H680" s="25">
        <f t="shared" si="60"/>
        <v>84.535283993115314</v>
      </c>
      <c r="I680" s="26">
        <f>MAX($B$2:B680)</f>
        <v>2069.4</v>
      </c>
      <c r="J680" s="27">
        <f t="shared" si="61"/>
        <v>-5.0642698366676418E-2</v>
      </c>
      <c r="K680" s="10">
        <f>MAX($C$2:C680)</f>
        <v>29.440999999999999</v>
      </c>
      <c r="L680" s="11">
        <f t="shared" si="62"/>
        <v>-0.21062463910872595</v>
      </c>
    </row>
    <row r="681" spans="1:12" x14ac:dyDescent="0.35">
      <c r="A681" s="5" t="s">
        <v>1595</v>
      </c>
      <c r="B681" s="22">
        <v>1943.7</v>
      </c>
      <c r="C681" s="10">
        <v>22.91</v>
      </c>
      <c r="D681" s="23">
        <f t="shared" si="63"/>
        <v>-1.0638297872340356E-2</v>
      </c>
      <c r="E681" s="11">
        <f t="shared" si="64"/>
        <v>-1.4199655765920754E-2</v>
      </c>
      <c r="F681" s="24">
        <f>(B681-$B$2)/$B$2</f>
        <v>0.27197172959884836</v>
      </c>
      <c r="G681" s="11">
        <f t="shared" si="65"/>
        <v>0.26953341460711522</v>
      </c>
      <c r="H681" s="25">
        <f t="shared" si="60"/>
        <v>84.840680925360104</v>
      </c>
      <c r="I681" s="26">
        <f>MAX($B$2:B681)</f>
        <v>2069.4</v>
      </c>
      <c r="J681" s="27">
        <f t="shared" si="61"/>
        <v>-6.0742244128732983E-2</v>
      </c>
      <c r="K681" s="10">
        <f>MAX($C$2:C681)</f>
        <v>29.440999999999999</v>
      </c>
      <c r="L681" s="11">
        <f t="shared" si="62"/>
        <v>-0.2218334975034815</v>
      </c>
    </row>
    <row r="682" spans="1:12" x14ac:dyDescent="0.35">
      <c r="A682" s="5" t="s">
        <v>1596</v>
      </c>
      <c r="B682" s="22">
        <v>1968.1</v>
      </c>
      <c r="C682" s="10">
        <v>23.353000000000002</v>
      </c>
      <c r="D682" s="23">
        <f t="shared" si="63"/>
        <v>1.2553377578844402E-2</v>
      </c>
      <c r="E682" s="11">
        <f t="shared" si="64"/>
        <v>1.9336534264513372E-2</v>
      </c>
      <c r="F682" s="24">
        <f>(B682-$B$2)/$B$2</f>
        <v>0.28793927099011846</v>
      </c>
      <c r="G682" s="11">
        <f t="shared" si="65"/>
        <v>0.29408179097861037</v>
      </c>
      <c r="H682" s="25">
        <f t="shared" si="60"/>
        <v>84.276110135742726</v>
      </c>
      <c r="I682" s="26">
        <f>MAX($B$2:B682)</f>
        <v>2069.4</v>
      </c>
      <c r="J682" s="27">
        <f t="shared" si="61"/>
        <v>-4.8951386875422914E-2</v>
      </c>
      <c r="K682" s="10">
        <f>MAX($C$2:C682)</f>
        <v>29.440999999999999</v>
      </c>
      <c r="L682" s="11">
        <f t="shared" si="62"/>
        <v>-0.20678645426446104</v>
      </c>
    </row>
    <row r="683" spans="1:12" x14ac:dyDescent="0.35">
      <c r="A683" s="5" t="s">
        <v>1598</v>
      </c>
      <c r="B683" s="22">
        <v>1973.1</v>
      </c>
      <c r="C683" s="10">
        <v>23.696000000000002</v>
      </c>
      <c r="D683" s="23">
        <f t="shared" si="63"/>
        <v>2.5405213149738326E-3</v>
      </c>
      <c r="E683" s="11">
        <f t="shared" si="64"/>
        <v>1.4687620434205453E-2</v>
      </c>
      <c r="F683" s="24">
        <f>(B683-$B$2)/$B$2</f>
        <v>0.2912113081604607</v>
      </c>
      <c r="G683" s="11">
        <f t="shared" si="65"/>
        <v>0.31308877313532096</v>
      </c>
      <c r="H683" s="25">
        <f t="shared" si="60"/>
        <v>83.267218095881148</v>
      </c>
      <c r="I683" s="26">
        <f>MAX($B$2:B683)</f>
        <v>2069.4</v>
      </c>
      <c r="J683" s="27">
        <f t="shared" si="61"/>
        <v>-4.6535227602203626E-2</v>
      </c>
      <c r="K683" s="10">
        <f>MAX($C$2:C683)</f>
        <v>29.440999999999999</v>
      </c>
      <c r="L683" s="11">
        <f t="shared" si="62"/>
        <v>-0.19513603478142719</v>
      </c>
    </row>
    <row r="684" spans="1:12" x14ac:dyDescent="0.35">
      <c r="A684" s="5" t="s">
        <v>1600</v>
      </c>
      <c r="B684" s="22">
        <v>1986.5</v>
      </c>
      <c r="C684" s="10">
        <v>24.096</v>
      </c>
      <c r="D684" s="23">
        <f t="shared" si="63"/>
        <v>6.7913435710304044E-3</v>
      </c>
      <c r="E684" s="11">
        <f t="shared" si="64"/>
        <v>1.6880486158001289E-2</v>
      </c>
      <c r="F684" s="24">
        <f>(B684-$B$2)/$B$2</f>
        <v>0.29998036777697801</v>
      </c>
      <c r="G684" s="11">
        <f t="shared" si="65"/>
        <v>0.33525434999445863</v>
      </c>
      <c r="H684" s="25">
        <f t="shared" si="60"/>
        <v>82.441069057104912</v>
      </c>
      <c r="I684" s="26">
        <f>MAX($B$2:B684)</f>
        <v>2069.4</v>
      </c>
      <c r="J684" s="27">
        <f t="shared" si="61"/>
        <v>-4.0059920749975879E-2</v>
      </c>
      <c r="K684" s="10">
        <f>MAX($C$2:C684)</f>
        <v>29.440999999999999</v>
      </c>
      <c r="L684" s="11">
        <f t="shared" si="62"/>
        <v>-0.18154953975748103</v>
      </c>
    </row>
    <row r="685" spans="1:12" x14ac:dyDescent="0.35">
      <c r="A685" s="5" t="s">
        <v>1602</v>
      </c>
      <c r="B685" s="22">
        <v>1965.7</v>
      </c>
      <c r="C685" s="10">
        <v>23.742999999999999</v>
      </c>
      <c r="D685" s="23">
        <f t="shared" si="63"/>
        <v>-1.0470677070223989E-2</v>
      </c>
      <c r="E685" s="11">
        <f t="shared" si="64"/>
        <v>-1.4649734395750395E-2</v>
      </c>
      <c r="F685" s="24">
        <f>(B685-$B$2)/$B$2</f>
        <v>0.28636869314835428</v>
      </c>
      <c r="G685" s="11">
        <f t="shared" si="65"/>
        <v>0.31569322841626951</v>
      </c>
      <c r="H685" s="25">
        <f t="shared" si="60"/>
        <v>82.79071726403572</v>
      </c>
      <c r="I685" s="26">
        <f>MAX($B$2:B685)</f>
        <v>2069.4</v>
      </c>
      <c r="J685" s="27">
        <f t="shared" si="61"/>
        <v>-5.011114332656811E-2</v>
      </c>
      <c r="K685" s="10">
        <f>MAX($C$2:C685)</f>
        <v>29.440999999999999</v>
      </c>
      <c r="L685" s="11">
        <f t="shared" si="62"/>
        <v>-0.1935396216161136</v>
      </c>
    </row>
    <row r="686" spans="1:12" x14ac:dyDescent="0.35">
      <c r="A686" s="5" t="s">
        <v>1604</v>
      </c>
      <c r="B686" s="22">
        <v>1972.9</v>
      </c>
      <c r="C686" s="10">
        <v>23.779</v>
      </c>
      <c r="D686" s="23">
        <f t="shared" si="63"/>
        <v>3.6628173169863383E-3</v>
      </c>
      <c r="E686" s="11">
        <f t="shared" si="64"/>
        <v>1.5162363644021972E-3</v>
      </c>
      <c r="F686" s="24">
        <f>(B686-$B$2)/$B$2</f>
        <v>0.29108042667364714</v>
      </c>
      <c r="G686" s="11">
        <f t="shared" si="65"/>
        <v>0.317688130333592</v>
      </c>
      <c r="H686" s="25">
        <f t="shared" si="60"/>
        <v>82.968165187770722</v>
      </c>
      <c r="I686" s="26">
        <f>MAX($B$2:B686)</f>
        <v>2069.4</v>
      </c>
      <c r="J686" s="27">
        <f t="shared" si="61"/>
        <v>-4.6631873973132308E-2</v>
      </c>
      <c r="K686" s="10">
        <f>MAX($C$2:C686)</f>
        <v>29.440999999999999</v>
      </c>
      <c r="L686" s="11">
        <f t="shared" si="62"/>
        <v>-0.19231683706395841</v>
      </c>
    </row>
    <row r="687" spans="1:12" x14ac:dyDescent="0.35">
      <c r="A687" s="5" t="s">
        <v>1606</v>
      </c>
      <c r="B687" s="22">
        <v>1949.9</v>
      </c>
      <c r="C687" s="10">
        <v>23.638000000000002</v>
      </c>
      <c r="D687" s="23">
        <f t="shared" si="63"/>
        <v>-1.1657965431598154E-2</v>
      </c>
      <c r="E687" s="11">
        <f t="shared" si="64"/>
        <v>-5.9296017494427115E-3</v>
      </c>
      <c r="F687" s="24">
        <f>(B687-$B$2)/$B$2</f>
        <v>0.2760290556900728</v>
      </c>
      <c r="G687" s="11">
        <f t="shared" si="65"/>
        <v>0.30987476449074602</v>
      </c>
      <c r="H687" s="25">
        <f t="shared" si="60"/>
        <v>82.490058380573657</v>
      </c>
      <c r="I687" s="26">
        <f>MAX($B$2:B687)</f>
        <v>2069.4</v>
      </c>
      <c r="J687" s="27">
        <f t="shared" si="61"/>
        <v>-5.7746206629941045E-2</v>
      </c>
      <c r="K687" s="10">
        <f>MAX($C$2:C687)</f>
        <v>29.440999999999999</v>
      </c>
      <c r="L687" s="11">
        <f t="shared" si="62"/>
        <v>-0.19710607655989937</v>
      </c>
    </row>
    <row r="688" spans="1:12" x14ac:dyDescent="0.35">
      <c r="A688" s="5" t="s">
        <v>1608</v>
      </c>
      <c r="B688" s="22">
        <v>1969.9</v>
      </c>
      <c r="C688" s="10">
        <v>24.454999999999998</v>
      </c>
      <c r="D688" s="23">
        <f t="shared" si="63"/>
        <v>1.0256936253141186E-2</v>
      </c>
      <c r="E688" s="11">
        <f t="shared" si="64"/>
        <v>3.4562991792875732E-2</v>
      </c>
      <c r="F688" s="24">
        <f>(B688-$B$2)/$B$2</f>
        <v>0.28911720437144178</v>
      </c>
      <c r="G688" s="11">
        <f t="shared" si="65"/>
        <v>0.35514795522553472</v>
      </c>
      <c r="H688" s="25">
        <f t="shared" si="60"/>
        <v>80.552034348803929</v>
      </c>
      <c r="I688" s="26">
        <f>MAX($B$2:B688)</f>
        <v>2069.4</v>
      </c>
      <c r="J688" s="27">
        <f t="shared" si="61"/>
        <v>-4.8081569537063884E-2</v>
      </c>
      <c r="K688" s="10">
        <f>MAX($C$2:C688)</f>
        <v>29.440999999999999</v>
      </c>
      <c r="L688" s="11">
        <f t="shared" si="62"/>
        <v>-0.16935566047348938</v>
      </c>
    </row>
    <row r="689" spans="1:12" x14ac:dyDescent="0.35">
      <c r="A689" s="5" t="s">
        <v>1610</v>
      </c>
      <c r="B689" s="22">
        <v>1960.9</v>
      </c>
      <c r="C689" s="10">
        <v>24.164999999999999</v>
      </c>
      <c r="D689" s="23">
        <f t="shared" si="63"/>
        <v>-4.5687598355246455E-3</v>
      </c>
      <c r="E689" s="11">
        <f t="shared" si="64"/>
        <v>-1.1858515640973183E-2</v>
      </c>
      <c r="F689" s="24">
        <f>(B689-$B$2)/$B$2</f>
        <v>0.28322753746482576</v>
      </c>
      <c r="G689" s="11">
        <f t="shared" si="65"/>
        <v>0.33907791200265985</v>
      </c>
      <c r="H689" s="25">
        <f t="shared" si="60"/>
        <v>81.146285950755228</v>
      </c>
      <c r="I689" s="26">
        <f>MAX($B$2:B689)</f>
        <v>2069.4</v>
      </c>
      <c r="J689" s="27">
        <f t="shared" si="61"/>
        <v>-5.2430656228858605E-2</v>
      </c>
      <c r="K689" s="10">
        <f>MAX($C$2:C689)</f>
        <v>29.440999999999999</v>
      </c>
      <c r="L689" s="11">
        <f t="shared" si="62"/>
        <v>-0.17920586936585034</v>
      </c>
    </row>
    <row r="690" spans="1:12" x14ac:dyDescent="0.35">
      <c r="A690" s="5" t="s">
        <v>1612</v>
      </c>
      <c r="B690" s="22">
        <v>1949.9</v>
      </c>
      <c r="C690" s="10">
        <v>23.928999999999998</v>
      </c>
      <c r="D690" s="23">
        <f t="shared" si="63"/>
        <v>-5.6096690295272577E-3</v>
      </c>
      <c r="E690" s="11">
        <f t="shared" si="64"/>
        <v>-9.7661907717773912E-3</v>
      </c>
      <c r="F690" s="24">
        <f>(B690-$B$2)/$B$2</f>
        <v>0.2760290556900728</v>
      </c>
      <c r="G690" s="11">
        <f t="shared" si="65"/>
        <v>0.32600022165576853</v>
      </c>
      <c r="H690" s="25">
        <f t="shared" si="60"/>
        <v>81.486898742112089</v>
      </c>
      <c r="I690" s="26">
        <f>MAX($B$2:B690)</f>
        <v>2069.4</v>
      </c>
      <c r="J690" s="27">
        <f t="shared" si="61"/>
        <v>-5.7746206629941045E-2</v>
      </c>
      <c r="K690" s="10">
        <f>MAX($C$2:C690)</f>
        <v>29.440999999999999</v>
      </c>
      <c r="L690" s="11">
        <f t="shared" si="62"/>
        <v>-0.18722190142997863</v>
      </c>
    </row>
    <row r="691" spans="1:12" x14ac:dyDescent="0.35">
      <c r="A691" s="5" t="s">
        <v>1614</v>
      </c>
      <c r="B691" s="22">
        <v>1960.1</v>
      </c>
      <c r="C691" s="10">
        <v>24.212</v>
      </c>
      <c r="D691" s="23">
        <f t="shared" si="63"/>
        <v>5.2310374891019118E-3</v>
      </c>
      <c r="E691" s="11">
        <f t="shared" si="64"/>
        <v>1.1826653850975857E-2</v>
      </c>
      <c r="F691" s="24">
        <f>(B691-$B$2)/$B$2</f>
        <v>0.28270401151757085</v>
      </c>
      <c r="G691" s="11">
        <f t="shared" si="65"/>
        <v>0.34168236728360857</v>
      </c>
      <c r="H691" s="25">
        <f t="shared" si="60"/>
        <v>80.955724434164878</v>
      </c>
      <c r="I691" s="26">
        <f>MAX($B$2:B691)</f>
        <v>2069.4</v>
      </c>
      <c r="J691" s="27">
        <f t="shared" si="61"/>
        <v>-5.2817241712573779E-2</v>
      </c>
      <c r="K691" s="10">
        <f>MAX($C$2:C691)</f>
        <v>29.440999999999999</v>
      </c>
      <c r="L691" s="11">
        <f t="shared" si="62"/>
        <v>-0.17760945620053664</v>
      </c>
    </row>
    <row r="692" spans="1:12" x14ac:dyDescent="0.35">
      <c r="A692" s="5" t="s">
        <v>1615</v>
      </c>
      <c r="B692" s="22">
        <v>1961.8</v>
      </c>
      <c r="C692" s="10">
        <v>24.044</v>
      </c>
      <c r="D692" s="23">
        <f t="shared" si="63"/>
        <v>8.6730268863835806E-4</v>
      </c>
      <c r="E692" s="11">
        <f t="shared" si="64"/>
        <v>-6.9387080786386607E-3</v>
      </c>
      <c r="F692" s="24">
        <f>(B692-$B$2)/$B$2</f>
        <v>0.28381650415548726</v>
      </c>
      <c r="G692" s="11">
        <f t="shared" si="65"/>
        <v>0.33237282500277077</v>
      </c>
      <c r="H692" s="25">
        <f t="shared" si="60"/>
        <v>81.592081184495086</v>
      </c>
      <c r="I692" s="26">
        <f>MAX($B$2:B692)</f>
        <v>2069.4</v>
      </c>
      <c r="J692" s="27">
        <f t="shared" si="61"/>
        <v>-5.1995747559679201E-2</v>
      </c>
      <c r="K692" s="10">
        <f>MAX($C$2:C692)</f>
        <v>29.440999999999999</v>
      </c>
      <c r="L692" s="11">
        <f t="shared" si="62"/>
        <v>-0.18331578411059402</v>
      </c>
    </row>
    <row r="693" spans="1:12" x14ac:dyDescent="0.35">
      <c r="A693" s="5" t="s">
        <v>1617</v>
      </c>
      <c r="B693" s="22">
        <v>1938.9</v>
      </c>
      <c r="C693" s="10">
        <v>23.334</v>
      </c>
      <c r="D693" s="23">
        <f t="shared" si="63"/>
        <v>-1.1672953410133481E-2</v>
      </c>
      <c r="E693" s="11">
        <f t="shared" si="64"/>
        <v>-2.9529196473132624E-2</v>
      </c>
      <c r="F693" s="24">
        <f>(B693-$B$2)/$B$2</f>
        <v>0.26883057391531984</v>
      </c>
      <c r="G693" s="11">
        <f t="shared" si="65"/>
        <v>0.29302892607780118</v>
      </c>
      <c r="H693" s="25">
        <f t="shared" si="60"/>
        <v>83.093340190280287</v>
      </c>
      <c r="I693" s="26">
        <f>MAX($B$2:B693)</f>
        <v>2069.4</v>
      </c>
      <c r="J693" s="27">
        <f t="shared" si="61"/>
        <v>-6.3061757031023485E-2</v>
      </c>
      <c r="K693" s="10">
        <f>MAX($C$2:C693)</f>
        <v>29.440999999999999</v>
      </c>
      <c r="L693" s="11">
        <f t="shared" si="62"/>
        <v>-0.20743181277809855</v>
      </c>
    </row>
    <row r="694" spans="1:12" x14ac:dyDescent="0.35">
      <c r="A694" s="5" t="s">
        <v>1619</v>
      </c>
      <c r="B694" s="22">
        <v>1936.1</v>
      </c>
      <c r="C694" s="10">
        <v>22.911000000000001</v>
      </c>
      <c r="D694" s="23">
        <f t="shared" si="63"/>
        <v>-1.4441177987519634E-3</v>
      </c>
      <c r="E694" s="11">
        <f t="shared" si="64"/>
        <v>-1.8128053484186092E-2</v>
      </c>
      <c r="F694" s="24">
        <f>(B694-$B$2)/$B$2</f>
        <v>0.26699823309992804</v>
      </c>
      <c r="G694" s="11">
        <f t="shared" si="65"/>
        <v>0.26958882854926314</v>
      </c>
      <c r="H694" s="25">
        <f t="shared" si="60"/>
        <v>84.505259482344712</v>
      </c>
      <c r="I694" s="26">
        <f>MAX($B$2:B694)</f>
        <v>2069.4</v>
      </c>
      <c r="J694" s="27">
        <f t="shared" si="61"/>
        <v>-6.4414806224026372E-2</v>
      </c>
      <c r="K694" s="10">
        <f>MAX($C$2:C694)</f>
        <v>29.440999999999999</v>
      </c>
      <c r="L694" s="11">
        <f t="shared" si="62"/>
        <v>-0.22179953126592161</v>
      </c>
    </row>
    <row r="695" spans="1:12" x14ac:dyDescent="0.35">
      <c r="A695" s="5" t="s">
        <v>1621</v>
      </c>
      <c r="B695" s="22">
        <v>1915</v>
      </c>
      <c r="C695" s="10">
        <v>22.567</v>
      </c>
      <c r="D695" s="23">
        <f t="shared" si="63"/>
        <v>-1.0898197407158675E-2</v>
      </c>
      <c r="E695" s="11">
        <f t="shared" si="64"/>
        <v>-1.5014621797389952E-2</v>
      </c>
      <c r="F695" s="24">
        <f>(B695-$B$2)/$B$2</f>
        <v>0.25319023624108378</v>
      </c>
      <c r="G695" s="11">
        <f t="shared" si="65"/>
        <v>0.25052643245040457</v>
      </c>
      <c r="H695" s="25">
        <f t="shared" si="60"/>
        <v>84.858421589045946</v>
      </c>
      <c r="I695" s="26">
        <f>MAX($B$2:B695)</f>
        <v>2069.4</v>
      </c>
      <c r="J695" s="27">
        <f t="shared" si="61"/>
        <v>-7.4610998357011737E-2</v>
      </c>
      <c r="K695" s="10">
        <f>MAX($C$2:C695)</f>
        <v>29.440999999999999</v>
      </c>
      <c r="L695" s="11">
        <f t="shared" si="62"/>
        <v>-0.23348391698651538</v>
      </c>
    </row>
    <row r="696" spans="1:12" x14ac:dyDescent="0.35">
      <c r="A696" s="5" t="s">
        <v>1623</v>
      </c>
      <c r="B696" s="22">
        <v>1925.1</v>
      </c>
      <c r="C696" s="10">
        <v>22.922999999999998</v>
      </c>
      <c r="D696" s="23">
        <f t="shared" si="63"/>
        <v>5.2741514360312844E-3</v>
      </c>
      <c r="E696" s="11">
        <f t="shared" si="64"/>
        <v>1.5775247042141095E-2</v>
      </c>
      <c r="F696" s="24">
        <f>(B696-$B$2)/$B$2</f>
        <v>0.25979975132517508</v>
      </c>
      <c r="G696" s="11">
        <f t="shared" si="65"/>
        <v>0.27025379585503706</v>
      </c>
      <c r="H696" s="25">
        <f t="shared" si="60"/>
        <v>83.9811542991755</v>
      </c>
      <c r="I696" s="26">
        <f>MAX($B$2:B696)</f>
        <v>2069.4</v>
      </c>
      <c r="J696" s="27">
        <f t="shared" si="61"/>
        <v>-6.9730356625108805E-2</v>
      </c>
      <c r="K696" s="10">
        <f>MAX($C$2:C696)</f>
        <v>29.440999999999999</v>
      </c>
      <c r="L696" s="11">
        <f t="shared" si="62"/>
        <v>-0.22139193641520333</v>
      </c>
    </row>
    <row r="697" spans="1:12" x14ac:dyDescent="0.35">
      <c r="A697" s="5" t="s">
        <v>1625</v>
      </c>
      <c r="B697" s="22">
        <v>1915.1</v>
      </c>
      <c r="C697" s="10">
        <v>23.048999999999999</v>
      </c>
      <c r="D697" s="23">
        <f t="shared" si="63"/>
        <v>-5.1945353488130489E-3</v>
      </c>
      <c r="E697" s="11">
        <f t="shared" si="64"/>
        <v>5.496662740479049E-3</v>
      </c>
      <c r="F697" s="24">
        <f>(B697-$B$2)/$B$2</f>
        <v>0.25325567698449059</v>
      </c>
      <c r="G697" s="11">
        <f t="shared" si="65"/>
        <v>0.27723595256566552</v>
      </c>
      <c r="H697" s="25">
        <f t="shared" si="60"/>
        <v>83.088203392771916</v>
      </c>
      <c r="I697" s="26">
        <f>MAX($B$2:B697)</f>
        <v>2069.4</v>
      </c>
      <c r="J697" s="27">
        <f t="shared" si="61"/>
        <v>-7.4562675171547396E-2</v>
      </c>
      <c r="K697" s="10">
        <f>MAX($C$2:C697)</f>
        <v>29.440999999999999</v>
      </c>
      <c r="L697" s="11">
        <f t="shared" si="62"/>
        <v>-0.21711219048266023</v>
      </c>
    </row>
    <row r="698" spans="1:12" x14ac:dyDescent="0.35">
      <c r="A698" s="5" t="s">
        <v>1627</v>
      </c>
      <c r="B698" s="22">
        <v>1913.4</v>
      </c>
      <c r="C698" s="10">
        <v>22.981000000000002</v>
      </c>
      <c r="D698" s="23">
        <f t="shared" si="63"/>
        <v>-8.8768210537299266E-4</v>
      </c>
      <c r="E698" s="11">
        <f t="shared" si="64"/>
        <v>-2.9502364527744301E-3</v>
      </c>
      <c r="F698" s="24">
        <f>(B698-$B$2)/$B$2</f>
        <v>0.25214318434657429</v>
      </c>
      <c r="G698" s="11">
        <f t="shared" si="65"/>
        <v>0.27346780449961222</v>
      </c>
      <c r="H698" s="25">
        <f t="shared" si="60"/>
        <v>83.260084417562325</v>
      </c>
      <c r="I698" s="26">
        <f>MAX($B$2:B698)</f>
        <v>2069.4</v>
      </c>
      <c r="J698" s="27">
        <f t="shared" si="61"/>
        <v>-7.5384169324441863E-2</v>
      </c>
      <c r="K698" s="10">
        <f>MAX($C$2:C698)</f>
        <v>29.440999999999999</v>
      </c>
      <c r="L698" s="11">
        <f t="shared" si="62"/>
        <v>-0.21942189463673101</v>
      </c>
    </row>
    <row r="699" spans="1:12" x14ac:dyDescent="0.35">
      <c r="A699" s="5" t="s">
        <v>1629</v>
      </c>
      <c r="B699" s="22">
        <v>1917.9</v>
      </c>
      <c r="C699" s="10">
        <v>22.797999999999998</v>
      </c>
      <c r="D699" s="23">
        <f t="shared" si="63"/>
        <v>2.3518344308560675E-3</v>
      </c>
      <c r="E699" s="11">
        <f t="shared" si="64"/>
        <v>-7.9630999521345183E-3</v>
      </c>
      <c r="F699" s="24">
        <f>(B699-$B$2)/$B$2</f>
        <v>0.25508801779988233</v>
      </c>
      <c r="G699" s="11">
        <f t="shared" si="65"/>
        <v>0.26332705308655652</v>
      </c>
      <c r="H699" s="25">
        <f t="shared" si="60"/>
        <v>84.125800508816567</v>
      </c>
      <c r="I699" s="26">
        <f>MAX($B$2:B699)</f>
        <v>2069.4</v>
      </c>
      <c r="J699" s="27">
        <f t="shared" si="61"/>
        <v>-7.3209625978544496E-2</v>
      </c>
      <c r="K699" s="10">
        <f>MAX($C$2:C699)</f>
        <v>29.440999999999999</v>
      </c>
      <c r="L699" s="11">
        <f t="shared" si="62"/>
        <v>-0.22563771611018651</v>
      </c>
    </row>
    <row r="700" spans="1:12" x14ac:dyDescent="0.35">
      <c r="A700" s="5" t="s">
        <v>1631</v>
      </c>
      <c r="B700" s="22">
        <v>1929.5</v>
      </c>
      <c r="C700" s="10">
        <v>23.111999999999998</v>
      </c>
      <c r="D700" s="23">
        <f t="shared" si="63"/>
        <v>6.0482819750768595E-3</v>
      </c>
      <c r="E700" s="11">
        <f t="shared" si="64"/>
        <v>1.377313799456093E-2</v>
      </c>
      <c r="F700" s="24">
        <f>(B700-$B$2)/$B$2</f>
        <v>0.26267914403507631</v>
      </c>
      <c r="G700" s="11">
        <f t="shared" si="65"/>
        <v>0.28072703092097967</v>
      </c>
      <c r="H700" s="25">
        <f t="shared" si="60"/>
        <v>83.484769816545523</v>
      </c>
      <c r="I700" s="26">
        <f>MAX($B$2:B700)</f>
        <v>2069.4</v>
      </c>
      <c r="J700" s="27">
        <f t="shared" si="61"/>
        <v>-6.7604136464675793E-2</v>
      </c>
      <c r="K700" s="10">
        <f>MAX($C$2:C700)</f>
        <v>29.440999999999999</v>
      </c>
      <c r="L700" s="11">
        <f t="shared" si="62"/>
        <v>-0.21497231751638873</v>
      </c>
    </row>
    <row r="701" spans="1:12" x14ac:dyDescent="0.35">
      <c r="A701" s="5" t="s">
        <v>1633</v>
      </c>
      <c r="B701" s="22">
        <v>1927.1</v>
      </c>
      <c r="C701" s="10">
        <v>23.402000000000001</v>
      </c>
      <c r="D701" s="23">
        <f t="shared" si="63"/>
        <v>-1.24384555584353E-3</v>
      </c>
      <c r="E701" s="11">
        <f t="shared" si="64"/>
        <v>1.2547594323295375E-2</v>
      </c>
      <c r="F701" s="24">
        <f>(B701-$B$2)/$B$2</f>
        <v>0.26110856619331196</v>
      </c>
      <c r="G701" s="11">
        <f t="shared" si="65"/>
        <v>0.2967970741438547</v>
      </c>
      <c r="H701" s="25">
        <f t="shared" si="60"/>
        <v>82.347662592940765</v>
      </c>
      <c r="I701" s="26">
        <f>MAX($B$2:B701)</f>
        <v>2069.4</v>
      </c>
      <c r="J701" s="27">
        <f t="shared" si="61"/>
        <v>-6.8763892915821093E-2</v>
      </c>
      <c r="K701" s="10">
        <f>MAX($C$2:C701)</f>
        <v>29.440999999999999</v>
      </c>
      <c r="L701" s="11">
        <f t="shared" si="62"/>
        <v>-0.20512210862402766</v>
      </c>
    </row>
    <row r="702" spans="1:12" x14ac:dyDescent="0.35">
      <c r="A702" s="5" t="s">
        <v>1635</v>
      </c>
      <c r="B702" s="22">
        <v>1915.4</v>
      </c>
      <c r="C702" s="10">
        <v>22.89</v>
      </c>
      <c r="D702" s="23">
        <f t="shared" si="63"/>
        <v>-6.0712988428207248E-3</v>
      </c>
      <c r="E702" s="11">
        <f t="shared" si="64"/>
        <v>-2.1878471925476473E-2</v>
      </c>
      <c r="F702" s="24">
        <f>(B702-$B$2)/$B$2</f>
        <v>0.25345199921471123</v>
      </c>
      <c r="G702" s="11">
        <f t="shared" si="65"/>
        <v>0.26842513576415833</v>
      </c>
      <c r="H702" s="25">
        <f t="shared" si="60"/>
        <v>83.678462210572306</v>
      </c>
      <c r="I702" s="26">
        <f>MAX($B$2:B702)</f>
        <v>2069.4</v>
      </c>
      <c r="J702" s="27">
        <f t="shared" si="61"/>
        <v>-7.4417705615154151E-2</v>
      </c>
      <c r="K702" s="10">
        <f>MAX($C$2:C702)</f>
        <v>29.440999999999999</v>
      </c>
      <c r="L702" s="11">
        <f t="shared" si="62"/>
        <v>-0.2225128222546788</v>
      </c>
    </row>
    <row r="703" spans="1:12" x14ac:dyDescent="0.35">
      <c r="A703" s="5" t="s">
        <v>1637</v>
      </c>
      <c r="B703" s="22">
        <v>1931</v>
      </c>
      <c r="C703" s="10">
        <v>23.344999999999999</v>
      </c>
      <c r="D703" s="23">
        <f t="shared" si="63"/>
        <v>8.1445128954787029E-3</v>
      </c>
      <c r="E703" s="11">
        <f t="shared" si="64"/>
        <v>1.9877675840978517E-2</v>
      </c>
      <c r="F703" s="24">
        <f>(B703-$B$2)/$B$2</f>
        <v>0.26366075518617899</v>
      </c>
      <c r="G703" s="11">
        <f t="shared" si="65"/>
        <v>0.29363847944142746</v>
      </c>
      <c r="H703" s="25">
        <f t="shared" si="60"/>
        <v>82.715784964660529</v>
      </c>
      <c r="I703" s="26">
        <f>MAX($B$2:B703)</f>
        <v>2069.4</v>
      </c>
      <c r="J703" s="27">
        <f t="shared" si="61"/>
        <v>-6.6879288682710009E-2</v>
      </c>
      <c r="K703" s="10">
        <f>MAX($C$2:C703)</f>
        <v>29.440999999999999</v>
      </c>
      <c r="L703" s="11">
        <f t="shared" si="62"/>
        <v>-0.20705818416494007</v>
      </c>
    </row>
    <row r="704" spans="1:12" x14ac:dyDescent="0.35">
      <c r="A704" s="5" t="s">
        <v>1639</v>
      </c>
      <c r="B704" s="22">
        <v>1937.1</v>
      </c>
      <c r="C704" s="10">
        <v>23.280999999999999</v>
      </c>
      <c r="D704" s="23">
        <f t="shared" si="63"/>
        <v>3.1589849818746294E-3</v>
      </c>
      <c r="E704" s="11">
        <f t="shared" si="64"/>
        <v>-2.7414863996573168E-3</v>
      </c>
      <c r="F704" s="24">
        <f>(B704-$B$2)/$B$2</f>
        <v>0.26765264053399646</v>
      </c>
      <c r="G704" s="11">
        <f t="shared" si="65"/>
        <v>0.29009198714396539</v>
      </c>
      <c r="H704" s="25">
        <f t="shared" si="60"/>
        <v>83.205188780550671</v>
      </c>
      <c r="I704" s="26">
        <f>MAX($B$2:B704)</f>
        <v>2069.4</v>
      </c>
      <c r="J704" s="27">
        <f t="shared" si="61"/>
        <v>-6.3931574369382516E-2</v>
      </c>
      <c r="K704" s="10">
        <f>MAX($C$2:C704)</f>
        <v>29.440999999999999</v>
      </c>
      <c r="L704" s="11">
        <f t="shared" si="62"/>
        <v>-0.20923202336877145</v>
      </c>
    </row>
    <row r="705" spans="1:12" x14ac:dyDescent="0.35">
      <c r="A705" s="5" t="s">
        <v>1641</v>
      </c>
      <c r="B705" s="22">
        <v>1961.7</v>
      </c>
      <c r="C705" s="10">
        <v>24.31</v>
      </c>
      <c r="D705" s="23">
        <f t="shared" si="63"/>
        <v>1.269939600433645E-2</v>
      </c>
      <c r="E705" s="11">
        <f t="shared" si="64"/>
        <v>4.419913233967613E-2</v>
      </c>
      <c r="F705" s="24">
        <f>(B705-$B$2)/$B$2</f>
        <v>0.28375106341208045</v>
      </c>
      <c r="G705" s="11">
        <f t="shared" si="65"/>
        <v>0.34711293361409729</v>
      </c>
      <c r="H705" s="25">
        <f t="shared" si="60"/>
        <v>80.695187165775408</v>
      </c>
      <c r="I705" s="26">
        <f>MAX($B$2:B705)</f>
        <v>2069.4</v>
      </c>
      <c r="J705" s="27">
        <f t="shared" si="61"/>
        <v>-5.2044070745143542E-2</v>
      </c>
      <c r="K705" s="10">
        <f>MAX($C$2:C705)</f>
        <v>29.440999999999999</v>
      </c>
      <c r="L705" s="11">
        <f t="shared" si="62"/>
        <v>-0.17428076491966987</v>
      </c>
    </row>
    <row r="706" spans="1:12" x14ac:dyDescent="0.35">
      <c r="A706" s="5" t="s">
        <v>1643</v>
      </c>
      <c r="B706" s="22">
        <v>1963.8</v>
      </c>
      <c r="C706" s="10">
        <v>24.949000000000002</v>
      </c>
      <c r="D706" s="23">
        <f t="shared" si="63"/>
        <v>1.0705000764642447E-3</v>
      </c>
      <c r="E706" s="11">
        <f t="shared" si="64"/>
        <v>2.628547922665582E-2</v>
      </c>
      <c r="F706" s="24">
        <f>(B706-$B$2)/$B$2</f>
        <v>0.28512531902362415</v>
      </c>
      <c r="G706" s="11">
        <f t="shared" si="65"/>
        <v>0.38252244264657004</v>
      </c>
      <c r="H706" s="25">
        <f t="shared" si="60"/>
        <v>78.712573650246497</v>
      </c>
      <c r="I706" s="26">
        <f>MAX($B$2:B706)</f>
        <v>2069.4</v>
      </c>
      <c r="J706" s="27">
        <f t="shared" si="61"/>
        <v>-5.1029283850391481E-2</v>
      </c>
      <c r="K706" s="10">
        <f>MAX($C$2:C706)</f>
        <v>29.440999999999999</v>
      </c>
      <c r="L706" s="11">
        <f t="shared" si="62"/>
        <v>-0.15257633911891572</v>
      </c>
    </row>
    <row r="707" spans="1:12" x14ac:dyDescent="0.35">
      <c r="A707" s="5" t="s">
        <v>1645</v>
      </c>
      <c r="B707" s="22">
        <v>1956.4</v>
      </c>
      <c r="C707" s="10">
        <v>25.018000000000001</v>
      </c>
      <c r="D707" s="23">
        <f t="shared" si="63"/>
        <v>-3.7682045014766595E-3</v>
      </c>
      <c r="E707" s="11">
        <f t="shared" si="64"/>
        <v>2.7656419094953329E-3</v>
      </c>
      <c r="F707" s="24">
        <f>(B707-$B$2)/$B$2</f>
        <v>0.28028270401151772</v>
      </c>
      <c r="G707" s="11">
        <f t="shared" si="65"/>
        <v>0.3863460046547712</v>
      </c>
      <c r="H707" s="25">
        <f t="shared" ref="H707:H770" si="66">B707/C707</f>
        <v>78.199696218722522</v>
      </c>
      <c r="I707" s="26">
        <f>MAX($B$2:B707)</f>
        <v>2069.4</v>
      </c>
      <c r="J707" s="27">
        <f t="shared" ref="J707:J770" si="67">(B707-I707)/I707</f>
        <v>-5.4605199574755965E-2</v>
      </c>
      <c r="K707" s="10">
        <f>MAX($C$2:C707)</f>
        <v>29.440999999999999</v>
      </c>
      <c r="L707" s="11">
        <f t="shared" ref="L707:L770" si="68">(C707-K707)/K707</f>
        <v>-0.15023266872728502</v>
      </c>
    </row>
    <row r="708" spans="1:12" x14ac:dyDescent="0.35">
      <c r="A708" s="5" t="s">
        <v>1647</v>
      </c>
      <c r="B708" s="22">
        <v>1980.8</v>
      </c>
      <c r="C708" s="10">
        <v>25.256</v>
      </c>
      <c r="D708" s="23">
        <f t="shared" ref="D708:D771" si="69">(B708-B707)/B707</f>
        <v>1.2471887139644174E-2</v>
      </c>
      <c r="E708" s="11">
        <f t="shared" ref="E708:E771" si="70">(C708-C707)/C707</f>
        <v>9.513150531617217E-3</v>
      </c>
      <c r="F708" s="24">
        <f>(B708-$B$2)/$B$2</f>
        <v>0.29625024540278783</v>
      </c>
      <c r="G708" s="11">
        <f t="shared" ref="G708:G771" si="71">(C708-$C$2)/$C$2</f>
        <v>0.39953452288595814</v>
      </c>
      <c r="H708" s="25">
        <f t="shared" si="66"/>
        <v>78.428888184985738</v>
      </c>
      <c r="I708" s="26">
        <f>MAX($B$2:B708)</f>
        <v>2069.4</v>
      </c>
      <c r="J708" s="27">
        <f t="shared" si="67"/>
        <v>-4.2814342321445896E-2</v>
      </c>
      <c r="K708" s="10">
        <f>MAX($C$2:C708)</f>
        <v>29.440999999999999</v>
      </c>
      <c r="L708" s="11">
        <f t="shared" si="68"/>
        <v>-0.14214870418803704</v>
      </c>
    </row>
    <row r="709" spans="1:12" x14ac:dyDescent="0.35">
      <c r="A709" s="5" t="s">
        <v>1649</v>
      </c>
      <c r="B709" s="22">
        <v>1980.8</v>
      </c>
      <c r="C709" s="10">
        <v>25.387</v>
      </c>
      <c r="D709" s="23">
        <f t="shared" si="69"/>
        <v>0</v>
      </c>
      <c r="E709" s="11">
        <f t="shared" si="70"/>
        <v>5.1868862844472686E-3</v>
      </c>
      <c r="F709" s="24">
        <f>(B709-$B$2)/$B$2</f>
        <v>0.29625024540278783</v>
      </c>
      <c r="G709" s="11">
        <f t="shared" si="71"/>
        <v>0.40679374930732581</v>
      </c>
      <c r="H709" s="25">
        <f t="shared" si="66"/>
        <v>78.024185606806626</v>
      </c>
      <c r="I709" s="26">
        <f>MAX($B$2:B709)</f>
        <v>2069.4</v>
      </c>
      <c r="J709" s="27">
        <f t="shared" si="67"/>
        <v>-4.2814342321445896E-2</v>
      </c>
      <c r="K709" s="10">
        <f>MAX($C$2:C709)</f>
        <v>29.440999999999999</v>
      </c>
      <c r="L709" s="11">
        <f t="shared" si="68"/>
        <v>-0.13769912706769466</v>
      </c>
    </row>
    <row r="710" spans="1:12" x14ac:dyDescent="0.35">
      <c r="A710" s="5" t="s">
        <v>1651</v>
      </c>
      <c r="B710" s="22">
        <v>1970.9</v>
      </c>
      <c r="C710" s="10">
        <v>24.962</v>
      </c>
      <c r="D710" s="23">
        <f t="shared" si="69"/>
        <v>-4.9979806138933077E-3</v>
      </c>
      <c r="E710" s="11">
        <f t="shared" si="70"/>
        <v>-1.6740851616969341E-2</v>
      </c>
      <c r="F710" s="24">
        <f>(B710-$B$2)/$B$2</f>
        <v>0.28977161180551025</v>
      </c>
      <c r="G710" s="11">
        <f t="shared" si="71"/>
        <v>0.38324282389449188</v>
      </c>
      <c r="H710" s="25">
        <f t="shared" si="66"/>
        <v>78.956013139972768</v>
      </c>
      <c r="I710" s="26">
        <f>MAX($B$2:B710)</f>
        <v>2069.4</v>
      </c>
      <c r="J710" s="27">
        <f t="shared" si="67"/>
        <v>-4.7598337682420021E-2</v>
      </c>
      <c r="K710" s="10">
        <f>MAX($C$2:C710)</f>
        <v>29.440999999999999</v>
      </c>
      <c r="L710" s="11">
        <f t="shared" si="68"/>
        <v>-0.15213477803063752</v>
      </c>
    </row>
    <row r="711" spans="1:12" x14ac:dyDescent="0.35">
      <c r="A711" s="5" t="s">
        <v>1653</v>
      </c>
      <c r="B711" s="22">
        <v>1962.2</v>
      </c>
      <c r="C711" s="10">
        <v>24.581</v>
      </c>
      <c r="D711" s="23">
        <f t="shared" si="69"/>
        <v>-4.414227002892103E-3</v>
      </c>
      <c r="E711" s="11">
        <f t="shared" si="70"/>
        <v>-1.5263200064097437E-2</v>
      </c>
      <c r="F711" s="24">
        <f>(B711-$B$2)/$B$2</f>
        <v>0.28407826712911471</v>
      </c>
      <c r="G711" s="11">
        <f t="shared" si="71"/>
        <v>0.36213011193616318</v>
      </c>
      <c r="H711" s="25">
        <f t="shared" si="66"/>
        <v>79.825881778609499</v>
      </c>
      <c r="I711" s="26">
        <f>MAX($B$2:B711)</f>
        <v>2069.4</v>
      </c>
      <c r="J711" s="27">
        <f t="shared" si="67"/>
        <v>-5.1802454817821614E-2</v>
      </c>
      <c r="K711" s="10">
        <f>MAX($C$2:C711)</f>
        <v>29.440999999999999</v>
      </c>
      <c r="L711" s="11">
        <f t="shared" si="68"/>
        <v>-0.16507591454094628</v>
      </c>
    </row>
    <row r="712" spans="1:12" x14ac:dyDescent="0.35">
      <c r="A712" s="5" t="s">
        <v>1655</v>
      </c>
      <c r="B712" s="22">
        <v>1963.7</v>
      </c>
      <c r="C712" s="10">
        <v>24.824000000000002</v>
      </c>
      <c r="D712" s="23">
        <f t="shared" si="69"/>
        <v>7.6444806849454688E-4</v>
      </c>
      <c r="E712" s="11">
        <f t="shared" si="70"/>
        <v>9.885684064928282E-3</v>
      </c>
      <c r="F712" s="24">
        <f>(B712-$B$2)/$B$2</f>
        <v>0.28505987828021739</v>
      </c>
      <c r="G712" s="11">
        <f t="shared" si="71"/>
        <v>0.37559569987808944</v>
      </c>
      <c r="H712" s="25">
        <f t="shared" si="66"/>
        <v>79.104898485336761</v>
      </c>
      <c r="I712" s="26">
        <f>MAX($B$2:B712)</f>
        <v>2069.4</v>
      </c>
      <c r="J712" s="27">
        <f t="shared" si="67"/>
        <v>-5.1077607035855822E-2</v>
      </c>
      <c r="K712" s="10">
        <f>MAX($C$2:C712)</f>
        <v>29.440999999999999</v>
      </c>
      <c r="L712" s="11">
        <f t="shared" si="68"/>
        <v>-0.1568221188138989</v>
      </c>
    </row>
    <row r="713" spans="1:12" x14ac:dyDescent="0.35">
      <c r="A713" s="5" t="s">
        <v>1657</v>
      </c>
      <c r="B713" s="22">
        <v>1970.1</v>
      </c>
      <c r="C713" s="10">
        <v>24.97</v>
      </c>
      <c r="D713" s="23">
        <f t="shared" si="69"/>
        <v>3.2591536385394222E-3</v>
      </c>
      <c r="E713" s="11">
        <f t="shared" si="70"/>
        <v>5.8814050918464889E-3</v>
      </c>
      <c r="F713" s="24">
        <f>(B713-$B$2)/$B$2</f>
        <v>0.28924808585825534</v>
      </c>
      <c r="G713" s="11">
        <f t="shared" si="71"/>
        <v>0.38368613543167457</v>
      </c>
      <c r="H713" s="25">
        <f t="shared" si="66"/>
        <v>78.898678414096921</v>
      </c>
      <c r="I713" s="26">
        <f>MAX($B$2:B713)</f>
        <v>2069.4</v>
      </c>
      <c r="J713" s="27">
        <f t="shared" si="67"/>
        <v>-4.7984923166135195E-2</v>
      </c>
      <c r="K713" s="10">
        <f>MAX($C$2:C713)</f>
        <v>29.440999999999999</v>
      </c>
      <c r="L713" s="11">
        <f t="shared" si="68"/>
        <v>-0.15186304813015863</v>
      </c>
    </row>
    <row r="714" spans="1:12" x14ac:dyDescent="0.35">
      <c r="A714" s="5" t="s">
        <v>1659</v>
      </c>
      <c r="B714" s="22">
        <v>1945.7</v>
      </c>
      <c r="C714" s="10">
        <v>24.367000000000001</v>
      </c>
      <c r="D714" s="23">
        <f t="shared" si="69"/>
        <v>-1.238515811380126E-2</v>
      </c>
      <c r="E714" s="11">
        <f t="shared" si="70"/>
        <v>-2.4148978774529355E-2</v>
      </c>
      <c r="F714" s="24">
        <f>(B714-$B$2)/$B$2</f>
        <v>0.27328054446698524</v>
      </c>
      <c r="G714" s="11">
        <f t="shared" si="71"/>
        <v>0.35027152831652453</v>
      </c>
      <c r="H714" s="25">
        <f t="shared" si="66"/>
        <v>79.849796856404154</v>
      </c>
      <c r="I714" s="26">
        <f>MAX($B$2:B714)</f>
        <v>2069.4</v>
      </c>
      <c r="J714" s="27">
        <f t="shared" si="67"/>
        <v>-5.9775780419445271E-2</v>
      </c>
      <c r="K714" s="10">
        <f>MAX($C$2:C714)</f>
        <v>29.440999999999999</v>
      </c>
      <c r="L714" s="11">
        <f t="shared" si="68"/>
        <v>-0.17234468937875747</v>
      </c>
    </row>
    <row r="715" spans="1:12" x14ac:dyDescent="0.35">
      <c r="A715" s="5" t="s">
        <v>1660</v>
      </c>
      <c r="B715" s="22">
        <v>1979.6</v>
      </c>
      <c r="C715" s="10">
        <v>25.091999999999999</v>
      </c>
      <c r="D715" s="23">
        <f t="shared" si="69"/>
        <v>1.7423035411419985E-2</v>
      </c>
      <c r="E715" s="11">
        <f t="shared" si="70"/>
        <v>2.9753354947264655E-2</v>
      </c>
      <c r="F715" s="24">
        <f>(B715-$B$2)/$B$2</f>
        <v>0.29546495648190563</v>
      </c>
      <c r="G715" s="11">
        <f t="shared" si="71"/>
        <v>0.39044663637371163</v>
      </c>
      <c r="H715" s="25">
        <f t="shared" si="66"/>
        <v>78.89367128965408</v>
      </c>
      <c r="I715" s="26">
        <f>MAX($B$2:B715)</f>
        <v>2069.4</v>
      </c>
      <c r="J715" s="27">
        <f t="shared" si="67"/>
        <v>-4.3394220547018546E-2</v>
      </c>
      <c r="K715" s="10">
        <f>MAX($C$2:C715)</f>
        <v>29.440999999999999</v>
      </c>
      <c r="L715" s="11">
        <f t="shared" si="68"/>
        <v>-0.14771916714785505</v>
      </c>
    </row>
    <row r="716" spans="1:12" x14ac:dyDescent="0.35">
      <c r="A716" s="5" t="s">
        <v>1662</v>
      </c>
      <c r="B716" s="22">
        <v>1949.7</v>
      </c>
      <c r="C716" s="10">
        <v>24.445</v>
      </c>
      <c r="D716" s="23">
        <f t="shared" si="69"/>
        <v>-1.510406142655075E-2</v>
      </c>
      <c r="E716" s="11">
        <f t="shared" si="70"/>
        <v>-2.5785110792284332E-2</v>
      </c>
      <c r="F716" s="24">
        <f>(B716-$B$2)/$B$2</f>
        <v>0.27589817420325907</v>
      </c>
      <c r="G716" s="11">
        <f t="shared" si="71"/>
        <v>0.35459381580405636</v>
      </c>
      <c r="H716" s="25">
        <f t="shared" si="66"/>
        <v>79.758641849048885</v>
      </c>
      <c r="I716" s="26">
        <f>MAX($B$2:B716)</f>
        <v>2069.4</v>
      </c>
      <c r="J716" s="27">
        <f t="shared" si="67"/>
        <v>-5.7842853000869839E-2</v>
      </c>
      <c r="K716" s="10">
        <f>MAX($C$2:C716)</f>
        <v>29.440999999999999</v>
      </c>
      <c r="L716" s="11">
        <f t="shared" si="68"/>
        <v>-0.16969532284908798</v>
      </c>
    </row>
    <row r="717" spans="1:12" x14ac:dyDescent="0.35">
      <c r="A717" s="5" t="s">
        <v>1664</v>
      </c>
      <c r="B717" s="22">
        <v>1946</v>
      </c>
      <c r="C717" s="10">
        <v>23.991</v>
      </c>
      <c r="D717" s="23">
        <f t="shared" si="69"/>
        <v>-1.8977278555675466E-3</v>
      </c>
      <c r="E717" s="11">
        <f t="shared" si="70"/>
        <v>-1.8572305174882415E-2</v>
      </c>
      <c r="F717" s="24">
        <f>(B717-$B$2)/$B$2</f>
        <v>0.27347686669720578</v>
      </c>
      <c r="G717" s="11">
        <f t="shared" si="71"/>
        <v>0.32943588606893498</v>
      </c>
      <c r="H717" s="25">
        <f t="shared" si="66"/>
        <v>81.113750989954568</v>
      </c>
      <c r="I717" s="26">
        <f>MAX($B$2:B717)</f>
        <v>2069.4</v>
      </c>
      <c r="J717" s="27">
        <f t="shared" si="67"/>
        <v>-5.9630810863052136E-2</v>
      </c>
      <c r="K717" s="10">
        <f>MAX($C$2:C717)</f>
        <v>29.440999999999999</v>
      </c>
      <c r="L717" s="11">
        <f t="shared" si="68"/>
        <v>-0.18511599470126691</v>
      </c>
    </row>
    <row r="718" spans="1:12" x14ac:dyDescent="0.35">
      <c r="A718" s="5" t="s">
        <v>1666</v>
      </c>
      <c r="B718" s="22">
        <v>1939.9</v>
      </c>
      <c r="C718" s="10">
        <v>23.815999999999999</v>
      </c>
      <c r="D718" s="23">
        <f t="shared" si="69"/>
        <v>-3.1346351490235914E-3</v>
      </c>
      <c r="E718" s="11">
        <f t="shared" si="70"/>
        <v>-7.2944020674419871E-3</v>
      </c>
      <c r="F718" s="24">
        <f>(B718-$B$2)/$B$2</f>
        <v>0.26948498134938825</v>
      </c>
      <c r="G718" s="11">
        <f t="shared" si="71"/>
        <v>0.31973844619306219</v>
      </c>
      <c r="H718" s="25">
        <f t="shared" si="66"/>
        <v>81.453644608666451</v>
      </c>
      <c r="I718" s="26">
        <f>MAX($B$2:B718)</f>
        <v>2069.4</v>
      </c>
      <c r="J718" s="27">
        <f t="shared" si="67"/>
        <v>-6.2578525176379629E-2</v>
      </c>
      <c r="K718" s="10">
        <f>MAX($C$2:C718)</f>
        <v>29.440999999999999</v>
      </c>
      <c r="L718" s="11">
        <f t="shared" si="68"/>
        <v>-0.1910600862742434</v>
      </c>
    </row>
    <row r="719" spans="1:12" x14ac:dyDescent="0.35">
      <c r="A719" s="5" t="s">
        <v>1668</v>
      </c>
      <c r="B719" s="22">
        <v>1940.7</v>
      </c>
      <c r="C719" s="10">
        <v>23.352</v>
      </c>
      <c r="D719" s="23">
        <f t="shared" si="69"/>
        <v>4.1239239136035594E-4</v>
      </c>
      <c r="E719" s="11">
        <f t="shared" si="70"/>
        <v>-1.9482700705408071E-2</v>
      </c>
      <c r="F719" s="24">
        <f>(B719-$B$2)/$B$2</f>
        <v>0.270008507296643</v>
      </c>
      <c r="G719" s="11">
        <f t="shared" si="71"/>
        <v>0.29402637703646245</v>
      </c>
      <c r="H719" s="25">
        <f t="shared" si="66"/>
        <v>83.106372045220965</v>
      </c>
      <c r="I719" s="26">
        <f>MAX($B$2:B719)</f>
        <v>2069.4</v>
      </c>
      <c r="J719" s="27">
        <f t="shared" si="67"/>
        <v>-6.2191939692664559E-2</v>
      </c>
      <c r="K719" s="10">
        <f>MAX($C$2:C719)</f>
        <v>29.440999999999999</v>
      </c>
      <c r="L719" s="11">
        <f t="shared" si="68"/>
        <v>-0.20682042050202096</v>
      </c>
    </row>
    <row r="720" spans="1:12" x14ac:dyDescent="0.35">
      <c r="A720" s="5" t="s">
        <v>1670</v>
      </c>
      <c r="B720" s="22">
        <v>1930.8</v>
      </c>
      <c r="C720" s="10">
        <v>22.922000000000001</v>
      </c>
      <c r="D720" s="23">
        <f t="shared" si="69"/>
        <v>-5.1012521255217654E-3</v>
      </c>
      <c r="E720" s="11">
        <f t="shared" si="70"/>
        <v>-1.8413840356286387E-2</v>
      </c>
      <c r="F720" s="24">
        <f>(B720-$B$2)/$B$2</f>
        <v>0.26352987369936526</v>
      </c>
      <c r="G720" s="11">
        <f t="shared" si="71"/>
        <v>0.27019838191288936</v>
      </c>
      <c r="H720" s="25">
        <f t="shared" si="66"/>
        <v>84.233487479277542</v>
      </c>
      <c r="I720" s="26">
        <f>MAX($B$2:B720)</f>
        <v>2069.4</v>
      </c>
      <c r="J720" s="27">
        <f t="shared" si="67"/>
        <v>-6.6975935053638802E-2</v>
      </c>
      <c r="K720" s="10">
        <f>MAX($C$2:C720)</f>
        <v>29.440999999999999</v>
      </c>
      <c r="L720" s="11">
        <f t="shared" si="68"/>
        <v>-0.2214259026527631</v>
      </c>
    </row>
    <row r="721" spans="1:12" x14ac:dyDescent="0.35">
      <c r="A721" s="5" t="s">
        <v>1672</v>
      </c>
      <c r="B721" s="22">
        <v>1921.9</v>
      </c>
      <c r="C721" s="10">
        <v>22.841000000000001</v>
      </c>
      <c r="D721" s="23">
        <f t="shared" si="69"/>
        <v>-4.6094882950071803E-3</v>
      </c>
      <c r="E721" s="11">
        <f t="shared" si="70"/>
        <v>-3.5337230608149164E-3</v>
      </c>
      <c r="F721" s="24">
        <f>(B721-$B$2)/$B$2</f>
        <v>0.25770564753615616</v>
      </c>
      <c r="G721" s="11">
        <f t="shared" si="71"/>
        <v>0.265709852598914</v>
      </c>
      <c r="H721" s="25">
        <f t="shared" si="66"/>
        <v>84.142550676415212</v>
      </c>
      <c r="I721" s="26">
        <f>MAX($B$2:B721)</f>
        <v>2069.4</v>
      </c>
      <c r="J721" s="27">
        <f t="shared" si="67"/>
        <v>-7.1276698559969071E-2</v>
      </c>
      <c r="K721" s="10">
        <f>MAX($C$2:C721)</f>
        <v>29.440999999999999</v>
      </c>
      <c r="L721" s="11">
        <f t="shared" si="68"/>
        <v>-0.22417716789511219</v>
      </c>
    </row>
    <row r="722" spans="1:12" x14ac:dyDescent="0.35">
      <c r="A722" s="5" t="s">
        <v>1674</v>
      </c>
      <c r="B722" s="22">
        <v>1920.1</v>
      </c>
      <c r="C722" s="10">
        <v>22.928999999999998</v>
      </c>
      <c r="D722" s="23">
        <f t="shared" si="69"/>
        <v>-9.3657318278796077E-4</v>
      </c>
      <c r="E722" s="11">
        <f t="shared" si="70"/>
        <v>3.8527209841949742E-3</v>
      </c>
      <c r="F722" s="24">
        <f>(B722-$B$2)/$B$2</f>
        <v>0.25652771415483283</v>
      </c>
      <c r="G722" s="11">
        <f t="shared" si="71"/>
        <v>0.27058627950792413</v>
      </c>
      <c r="H722" s="25">
        <f t="shared" si="66"/>
        <v>83.741113873260943</v>
      </c>
      <c r="I722" s="26">
        <f>MAX($B$2:B722)</f>
        <v>2069.4</v>
      </c>
      <c r="J722" s="27">
        <f t="shared" si="67"/>
        <v>-7.2146515898328101E-2</v>
      </c>
      <c r="K722" s="10">
        <f>MAX($C$2:C722)</f>
        <v>29.440999999999999</v>
      </c>
      <c r="L722" s="11">
        <f t="shared" si="68"/>
        <v>-0.22118813898984413</v>
      </c>
    </row>
    <row r="723" spans="1:12" x14ac:dyDescent="0.35">
      <c r="A723" s="5" t="s">
        <v>1676</v>
      </c>
      <c r="B723" s="22">
        <v>1915.6</v>
      </c>
      <c r="C723" s="10">
        <v>22.812999999999999</v>
      </c>
      <c r="D723" s="23">
        <f t="shared" si="69"/>
        <v>-2.3436279360449976E-3</v>
      </c>
      <c r="E723" s="11">
        <f t="shared" si="70"/>
        <v>-5.05909546862051E-3</v>
      </c>
      <c r="F723" s="24">
        <f>(B723-$B$2)/$B$2</f>
        <v>0.25358288070152479</v>
      </c>
      <c r="G723" s="11">
        <f t="shared" si="71"/>
        <v>0.2641582622187742</v>
      </c>
      <c r="H723" s="25">
        <f t="shared" si="66"/>
        <v>83.969666418270279</v>
      </c>
      <c r="I723" s="26">
        <f>MAX($B$2:B723)</f>
        <v>2069.4</v>
      </c>
      <c r="J723" s="27">
        <f t="shared" si="67"/>
        <v>-7.4321059244225468E-2</v>
      </c>
      <c r="K723" s="10">
        <f>MAX($C$2:C723)</f>
        <v>29.440999999999999</v>
      </c>
      <c r="L723" s="11">
        <f t="shared" si="68"/>
        <v>-0.22512822254678849</v>
      </c>
    </row>
    <row r="724" spans="1:12" x14ac:dyDescent="0.35">
      <c r="A724" s="5" t="s">
        <v>1678</v>
      </c>
      <c r="B724" s="22">
        <v>1906.9</v>
      </c>
      <c r="C724" s="10">
        <v>22.759</v>
      </c>
      <c r="D724" s="23">
        <f t="shared" si="69"/>
        <v>-4.5416579661723836E-3</v>
      </c>
      <c r="E724" s="11">
        <f t="shared" si="70"/>
        <v>-2.3670714066540348E-3</v>
      </c>
      <c r="F724" s="24">
        <f>(B724-$B$2)/$B$2</f>
        <v>0.24788953602512939</v>
      </c>
      <c r="G724" s="11">
        <f t="shared" si="71"/>
        <v>0.26116590934279071</v>
      </c>
      <c r="H724" s="25">
        <f t="shared" si="66"/>
        <v>83.78663385913265</v>
      </c>
      <c r="I724" s="26">
        <f>MAX($B$2:B724)</f>
        <v>2069.4</v>
      </c>
      <c r="J724" s="27">
        <f t="shared" si="67"/>
        <v>-7.8525176379626943E-2</v>
      </c>
      <c r="K724" s="10">
        <f>MAX($C$2:C724)</f>
        <v>29.440999999999999</v>
      </c>
      <c r="L724" s="11">
        <f t="shared" si="68"/>
        <v>-0.22696239937502119</v>
      </c>
    </row>
    <row r="725" spans="1:12" x14ac:dyDescent="0.35">
      <c r="A725" s="5" t="s">
        <v>1680</v>
      </c>
      <c r="B725" s="22">
        <v>1900.2</v>
      </c>
      <c r="C725" s="10">
        <v>22.637</v>
      </c>
      <c r="D725" s="23">
        <f t="shared" si="69"/>
        <v>-3.5135560333525856E-3</v>
      </c>
      <c r="E725" s="11">
        <f t="shared" si="70"/>
        <v>-5.3605167186607447E-3</v>
      </c>
      <c r="F725" s="24">
        <f>(B725-$B$2)/$B$2</f>
        <v>0.24350500621687074</v>
      </c>
      <c r="G725" s="11">
        <f t="shared" si="71"/>
        <v>0.25440540840075371</v>
      </c>
      <c r="H725" s="25">
        <f t="shared" si="66"/>
        <v>83.94221849184963</v>
      </c>
      <c r="I725" s="26">
        <f>MAX($B$2:B725)</f>
        <v>2069.4</v>
      </c>
      <c r="J725" s="27">
        <f t="shared" si="67"/>
        <v>-8.1762829805740816E-2</v>
      </c>
      <c r="K725" s="10">
        <f>MAX($C$2:C725)</f>
        <v>29.440999999999999</v>
      </c>
      <c r="L725" s="11">
        <f t="shared" si="68"/>
        <v>-0.23110628035732478</v>
      </c>
    </row>
    <row r="726" spans="1:12" x14ac:dyDescent="0.35">
      <c r="A726" s="5" t="s">
        <v>1682</v>
      </c>
      <c r="B726" s="22">
        <v>1887.2</v>
      </c>
      <c r="C726" s="10">
        <v>22.821000000000002</v>
      </c>
      <c r="D726" s="23">
        <f t="shared" si="69"/>
        <v>-6.8413851173560677E-3</v>
      </c>
      <c r="E726" s="11">
        <f t="shared" si="70"/>
        <v>8.1282855502054618E-3</v>
      </c>
      <c r="F726" s="24">
        <f>(B726-$B$2)/$B$2</f>
        <v>0.23499770957398086</v>
      </c>
      <c r="G726" s="11">
        <f t="shared" si="71"/>
        <v>0.26460157375595711</v>
      </c>
      <c r="H726" s="25">
        <f t="shared" si="66"/>
        <v>82.695762674729409</v>
      </c>
      <c r="I726" s="26">
        <f>MAX($B$2:B726)</f>
        <v>2069.4</v>
      </c>
      <c r="J726" s="27">
        <f t="shared" si="67"/>
        <v>-8.8044843916110963E-2</v>
      </c>
      <c r="K726" s="10">
        <f>MAX($C$2:C726)</f>
        <v>29.440999999999999</v>
      </c>
      <c r="L726" s="11">
        <f t="shared" si="68"/>
        <v>-0.2248564926463095</v>
      </c>
    </row>
    <row r="727" spans="1:12" x14ac:dyDescent="0.35">
      <c r="A727" s="5" t="s">
        <v>1684</v>
      </c>
      <c r="B727" s="22">
        <v>1895.7</v>
      </c>
      <c r="C727" s="10">
        <v>23.443000000000001</v>
      </c>
      <c r="D727" s="23">
        <f t="shared" si="69"/>
        <v>4.50402713013989E-3</v>
      </c>
      <c r="E727" s="11">
        <f t="shared" si="70"/>
        <v>2.7255597914201825E-2</v>
      </c>
      <c r="F727" s="24">
        <f>(B727-$B$2)/$B$2</f>
        <v>0.2405601727635627</v>
      </c>
      <c r="G727" s="11">
        <f t="shared" si="71"/>
        <v>0.29906904577191634</v>
      </c>
      <c r="H727" s="25">
        <f t="shared" si="66"/>
        <v>80.864223862133684</v>
      </c>
      <c r="I727" s="26">
        <f>MAX($B$2:B727)</f>
        <v>2069.4</v>
      </c>
      <c r="J727" s="27">
        <f t="shared" si="67"/>
        <v>-8.393737315163817E-2</v>
      </c>
      <c r="K727" s="10">
        <f>MAX($C$2:C727)</f>
        <v>29.440999999999999</v>
      </c>
      <c r="L727" s="11">
        <f t="shared" si="68"/>
        <v>-0.20372949288407316</v>
      </c>
    </row>
    <row r="728" spans="1:12" x14ac:dyDescent="0.35">
      <c r="A728" s="5" t="s">
        <v>1686</v>
      </c>
      <c r="B728" s="22">
        <v>1898.6</v>
      </c>
      <c r="C728" s="10">
        <v>23.553000000000001</v>
      </c>
      <c r="D728" s="23">
        <f t="shared" si="69"/>
        <v>1.5297779184469396E-3</v>
      </c>
      <c r="E728" s="11">
        <f t="shared" si="70"/>
        <v>4.6922322228383495E-3</v>
      </c>
      <c r="F728" s="24">
        <f>(B728-$B$2)/$B$2</f>
        <v>0.24245795432236111</v>
      </c>
      <c r="G728" s="11">
        <f t="shared" si="71"/>
        <v>0.3051645794081792</v>
      </c>
      <c r="H728" s="25">
        <f t="shared" si="66"/>
        <v>80.609688786991029</v>
      </c>
      <c r="I728" s="26">
        <f>MAX($B$2:B728)</f>
        <v>2069.4</v>
      </c>
      <c r="J728" s="27">
        <f t="shared" si="67"/>
        <v>-8.2536000773171053E-2</v>
      </c>
      <c r="K728" s="10">
        <f>MAX($C$2:C728)</f>
        <v>29.440999999999999</v>
      </c>
      <c r="L728" s="11">
        <f t="shared" si="68"/>
        <v>-0.19999320675248797</v>
      </c>
    </row>
    <row r="729" spans="1:12" x14ac:dyDescent="0.35">
      <c r="A729" s="5" t="s">
        <v>1688</v>
      </c>
      <c r="B729" s="22">
        <v>1920.5</v>
      </c>
      <c r="C729" s="10">
        <v>24.495000000000001</v>
      </c>
      <c r="D729" s="23">
        <f t="shared" si="69"/>
        <v>1.1534815126935685E-2</v>
      </c>
      <c r="E729" s="11">
        <f t="shared" si="70"/>
        <v>3.9994905107629604E-2</v>
      </c>
      <c r="F729" s="24">
        <f>(B729-$B$2)/$B$2</f>
        <v>0.25678947712846023</v>
      </c>
      <c r="G729" s="11">
        <f t="shared" si="71"/>
        <v>0.35736451291144861</v>
      </c>
      <c r="H729" s="25">
        <f t="shared" si="66"/>
        <v>78.403755868544593</v>
      </c>
      <c r="I729" s="26">
        <f>MAX($B$2:B729)</f>
        <v>2069.4</v>
      </c>
      <c r="J729" s="27">
        <f t="shared" si="67"/>
        <v>-7.1953223156470514E-2</v>
      </c>
      <c r="K729" s="10">
        <f>MAX($C$2:C729)</f>
        <v>29.440999999999999</v>
      </c>
      <c r="L729" s="11">
        <f t="shared" si="68"/>
        <v>-0.16799701097109468</v>
      </c>
    </row>
    <row r="730" spans="1:12" x14ac:dyDescent="0.35">
      <c r="A730" s="5" t="s">
        <v>1690</v>
      </c>
      <c r="B730" s="22">
        <v>1919.1</v>
      </c>
      <c r="C730" s="10">
        <v>24.343</v>
      </c>
      <c r="D730" s="23">
        <f t="shared" si="69"/>
        <v>-7.2897682895084145E-4</v>
      </c>
      <c r="E730" s="11">
        <f t="shared" si="70"/>
        <v>-6.2053480302102886E-3</v>
      </c>
      <c r="F730" s="24">
        <f>(B730-$B$2)/$B$2</f>
        <v>0.25587330672076436</v>
      </c>
      <c r="G730" s="11">
        <f t="shared" si="71"/>
        <v>0.34894159370497624</v>
      </c>
      <c r="H730" s="25">
        <f t="shared" si="66"/>
        <v>78.835804954196277</v>
      </c>
      <c r="I730" s="26">
        <f>MAX($B$2:B730)</f>
        <v>2069.4</v>
      </c>
      <c r="J730" s="27">
        <f t="shared" si="67"/>
        <v>-7.2629747752971957E-2</v>
      </c>
      <c r="K730" s="10">
        <f>MAX($C$2:C730)</f>
        <v>29.440999999999999</v>
      </c>
      <c r="L730" s="11">
        <f t="shared" si="68"/>
        <v>-0.17315987908019426</v>
      </c>
    </row>
    <row r="731" spans="1:12" x14ac:dyDescent="0.35">
      <c r="A731" s="5" t="s">
        <v>1692</v>
      </c>
      <c r="B731" s="22">
        <v>1918.5</v>
      </c>
      <c r="C731" s="10">
        <v>24.369</v>
      </c>
      <c r="D731" s="23">
        <f t="shared" si="69"/>
        <v>-3.12646553071705E-4</v>
      </c>
      <c r="E731" s="11">
        <f t="shared" si="70"/>
        <v>1.0680688493612046E-3</v>
      </c>
      <c r="F731" s="24">
        <f>(B731-$B$2)/$B$2</f>
        <v>0.25548066226032334</v>
      </c>
      <c r="G731" s="11">
        <f t="shared" si="71"/>
        <v>0.35038235620082014</v>
      </c>
      <c r="H731" s="25">
        <f t="shared" si="66"/>
        <v>78.727071279084086</v>
      </c>
      <c r="I731" s="26">
        <f>MAX($B$2:B731)</f>
        <v>2069.4</v>
      </c>
      <c r="J731" s="27">
        <f t="shared" si="67"/>
        <v>-7.2919686865758226E-2</v>
      </c>
      <c r="K731" s="10">
        <f>MAX($C$2:C731)</f>
        <v>29.440999999999999</v>
      </c>
      <c r="L731" s="11">
        <f t="shared" si="68"/>
        <v>-0.17227675690363775</v>
      </c>
    </row>
    <row r="732" spans="1:12" x14ac:dyDescent="0.35">
      <c r="A732" s="5" t="s">
        <v>1694</v>
      </c>
      <c r="B732" s="22">
        <v>1936.4</v>
      </c>
      <c r="C732" s="10">
        <v>24.901</v>
      </c>
      <c r="D732" s="23">
        <f t="shared" si="69"/>
        <v>9.3302058900182911E-3</v>
      </c>
      <c r="E732" s="11">
        <f t="shared" si="70"/>
        <v>2.183101481390291E-2</v>
      </c>
      <c r="F732" s="24">
        <f>(B732-$B$2)/$B$2</f>
        <v>0.26719455533014869</v>
      </c>
      <c r="G732" s="11">
        <f t="shared" si="71"/>
        <v>0.3798625734234734</v>
      </c>
      <c r="H732" s="25">
        <f t="shared" si="66"/>
        <v>77.763945223083411</v>
      </c>
      <c r="I732" s="26">
        <f>MAX($B$2:B732)</f>
        <v>2069.4</v>
      </c>
      <c r="J732" s="27">
        <f t="shared" si="67"/>
        <v>-6.4269836667633126E-2</v>
      </c>
      <c r="K732" s="10">
        <f>MAX($C$2:C732)</f>
        <v>29.440999999999999</v>
      </c>
      <c r="L732" s="11">
        <f t="shared" si="68"/>
        <v>-0.15420671852178933</v>
      </c>
    </row>
    <row r="733" spans="1:12" x14ac:dyDescent="0.35">
      <c r="A733" s="5" t="s">
        <v>1696</v>
      </c>
      <c r="B733" s="22">
        <v>1954</v>
      </c>
      <c r="C733" s="10">
        <v>24.978000000000002</v>
      </c>
      <c r="D733" s="23">
        <f t="shared" si="69"/>
        <v>9.0890311919024514E-3</v>
      </c>
      <c r="E733" s="11">
        <f t="shared" si="70"/>
        <v>3.0922452913538304E-3</v>
      </c>
      <c r="F733" s="24">
        <f>(B733-$B$2)/$B$2</f>
        <v>0.27871212616975338</v>
      </c>
      <c r="G733" s="11">
        <f t="shared" si="71"/>
        <v>0.38412944696885748</v>
      </c>
      <c r="H733" s="25">
        <f t="shared" si="66"/>
        <v>78.228841380414764</v>
      </c>
      <c r="I733" s="26">
        <f>MAX($B$2:B733)</f>
        <v>2069.4</v>
      </c>
      <c r="J733" s="27">
        <f t="shared" si="67"/>
        <v>-5.5764956025901272E-2</v>
      </c>
      <c r="K733" s="10">
        <f>MAX($C$2:C733)</f>
        <v>29.440999999999999</v>
      </c>
      <c r="L733" s="11">
        <f t="shared" si="68"/>
        <v>-0.15159131822967961</v>
      </c>
    </row>
    <row r="734" spans="1:12" x14ac:dyDescent="0.35">
      <c r="A734" s="5" t="s">
        <v>1698</v>
      </c>
      <c r="B734" s="22">
        <v>1947</v>
      </c>
      <c r="C734" s="10">
        <v>24.692</v>
      </c>
      <c r="D734" s="23">
        <f t="shared" si="69"/>
        <v>-3.5823950870010235E-3</v>
      </c>
      <c r="E734" s="11">
        <f t="shared" si="70"/>
        <v>-1.145007606693896E-2</v>
      </c>
      <c r="F734" s="24">
        <f>(B734-$B$2)/$B$2</f>
        <v>0.27413127413127419</v>
      </c>
      <c r="G734" s="11">
        <f t="shared" si="71"/>
        <v>0.36828105951457391</v>
      </c>
      <c r="H734" s="25">
        <f t="shared" si="66"/>
        <v>78.851449862303582</v>
      </c>
      <c r="I734" s="26">
        <f>MAX($B$2:B734)</f>
        <v>2069.4</v>
      </c>
      <c r="J734" s="27">
        <f t="shared" si="67"/>
        <v>-5.9147579008408273E-2</v>
      </c>
      <c r="K734" s="10">
        <f>MAX($C$2:C734)</f>
        <v>29.440999999999999</v>
      </c>
      <c r="L734" s="11">
        <f t="shared" si="68"/>
        <v>-0.1613056621718012</v>
      </c>
    </row>
    <row r="735" spans="1:12" x14ac:dyDescent="0.35">
      <c r="A735" s="5" t="s">
        <v>1700</v>
      </c>
      <c r="B735" s="22">
        <v>1934.3</v>
      </c>
      <c r="C735" s="10">
        <v>23.762</v>
      </c>
      <c r="D735" s="23">
        <f t="shared" si="69"/>
        <v>-6.5228556753980718E-3</v>
      </c>
      <c r="E735" s="11">
        <f t="shared" si="70"/>
        <v>-3.7664020735460865E-2</v>
      </c>
      <c r="F735" s="24">
        <f>(B735-$B$2)/$B$2</f>
        <v>0.26582029971860482</v>
      </c>
      <c r="G735" s="11">
        <f t="shared" si="71"/>
        <v>0.31674609331707865</v>
      </c>
      <c r="H735" s="25">
        <f t="shared" si="66"/>
        <v>81.40308054877535</v>
      </c>
      <c r="I735" s="26">
        <f>MAX($B$2:B735)</f>
        <v>2069.4</v>
      </c>
      <c r="J735" s="27">
        <f t="shared" si="67"/>
        <v>-6.5284623562385291E-2</v>
      </c>
      <c r="K735" s="10">
        <f>MAX($C$2:C735)</f>
        <v>29.440999999999999</v>
      </c>
      <c r="L735" s="11">
        <f t="shared" si="68"/>
        <v>-0.19289426310247609</v>
      </c>
    </row>
    <row r="736" spans="1:12" x14ac:dyDescent="0.35">
      <c r="A736" s="5" t="s">
        <v>1702</v>
      </c>
      <c r="B736" s="22">
        <v>1925.8</v>
      </c>
      <c r="C736" s="10">
        <v>23.396999999999998</v>
      </c>
      <c r="D736" s="23">
        <f t="shared" si="69"/>
        <v>-4.3943545468644986E-3</v>
      </c>
      <c r="E736" s="11">
        <f t="shared" si="70"/>
        <v>-1.5360659877114805E-2</v>
      </c>
      <c r="F736" s="24">
        <f>(B736-$B$2)/$B$2</f>
        <v>0.26025783652902301</v>
      </c>
      <c r="G736" s="11">
        <f t="shared" si="71"/>
        <v>0.29652000443311533</v>
      </c>
      <c r="H736" s="25">
        <f t="shared" si="66"/>
        <v>82.309697824507424</v>
      </c>
      <c r="I736" s="26">
        <f>MAX($B$2:B736)</f>
        <v>2069.4</v>
      </c>
      <c r="J736" s="27">
        <f t="shared" si="67"/>
        <v>-6.9392094326858084E-2</v>
      </c>
      <c r="K736" s="10">
        <f>MAX($C$2:C736)</f>
        <v>29.440999999999999</v>
      </c>
      <c r="L736" s="11">
        <f t="shared" si="68"/>
        <v>-0.20529193981182706</v>
      </c>
    </row>
    <row r="737" spans="1:12" x14ac:dyDescent="0.35">
      <c r="A737" s="5" t="s">
        <v>1704</v>
      </c>
      <c r="B737" s="22">
        <v>1924.1</v>
      </c>
      <c r="C737" s="10">
        <v>23.134</v>
      </c>
      <c r="D737" s="23">
        <f t="shared" si="69"/>
        <v>-8.8275002596325972E-4</v>
      </c>
      <c r="E737" s="11">
        <f t="shared" si="70"/>
        <v>-1.1240757362054885E-2</v>
      </c>
      <c r="F737" s="24">
        <f>(B737-$B$2)/$B$2</f>
        <v>0.25914534389110661</v>
      </c>
      <c r="G737" s="11">
        <f t="shared" si="71"/>
        <v>0.28194613764823234</v>
      </c>
      <c r="H737" s="25">
        <f t="shared" si="66"/>
        <v>83.171954698711843</v>
      </c>
      <c r="I737" s="26">
        <f>MAX($B$2:B737)</f>
        <v>2069.4</v>
      </c>
      <c r="J737" s="27">
        <f t="shared" si="67"/>
        <v>-7.0213588479752675E-2</v>
      </c>
      <c r="K737" s="10">
        <f>MAX($C$2:C737)</f>
        <v>29.440999999999999</v>
      </c>
      <c r="L737" s="11">
        <f t="shared" si="68"/>
        <v>-0.21422506029007163</v>
      </c>
    </row>
    <row r="738" spans="1:12" x14ac:dyDescent="0.35">
      <c r="A738" s="5" t="s">
        <v>1705</v>
      </c>
      <c r="B738" s="22">
        <v>1929.2</v>
      </c>
      <c r="C738" s="10">
        <v>23.282</v>
      </c>
      <c r="D738" s="23">
        <f t="shared" si="69"/>
        <v>2.6505898861806229E-3</v>
      </c>
      <c r="E738" s="11">
        <f t="shared" si="70"/>
        <v>6.3975101582086835E-3</v>
      </c>
      <c r="F738" s="24">
        <f>(B738-$B$2)/$B$2</f>
        <v>0.26248282180485583</v>
      </c>
      <c r="G738" s="11">
        <f t="shared" si="71"/>
        <v>0.29014740108611331</v>
      </c>
      <c r="H738" s="25">
        <f t="shared" si="66"/>
        <v>82.862297053517736</v>
      </c>
      <c r="I738" s="26">
        <f>MAX($B$2:B738)</f>
        <v>2069.4</v>
      </c>
      <c r="J738" s="27">
        <f t="shared" si="67"/>
        <v>-6.7749106021068928E-2</v>
      </c>
      <c r="K738" s="10">
        <f>MAX($C$2:C738)</f>
        <v>29.440999999999999</v>
      </c>
      <c r="L738" s="11">
        <f t="shared" si="68"/>
        <v>-0.20919805713121153</v>
      </c>
    </row>
    <row r="739" spans="1:12" x14ac:dyDescent="0.35">
      <c r="A739" s="5" t="s">
        <v>1707</v>
      </c>
      <c r="B739" s="22">
        <v>1917.2</v>
      </c>
      <c r="C739" s="10">
        <v>23.300999999999998</v>
      </c>
      <c r="D739" s="23">
        <f t="shared" si="69"/>
        <v>-6.2201948994401821E-3</v>
      </c>
      <c r="E739" s="11">
        <f t="shared" si="70"/>
        <v>8.1608109268956064E-4</v>
      </c>
      <c r="F739" s="24">
        <f>(B739-$B$2)/$B$2</f>
        <v>0.25462993259603439</v>
      </c>
      <c r="G739" s="11">
        <f t="shared" si="71"/>
        <v>0.29120026598692228</v>
      </c>
      <c r="H739" s="25">
        <f t="shared" si="66"/>
        <v>82.279730483670235</v>
      </c>
      <c r="I739" s="26">
        <f>MAX($B$2:B739)</f>
        <v>2069.4</v>
      </c>
      <c r="J739" s="27">
        <f t="shared" si="67"/>
        <v>-7.3547888276795231E-2</v>
      </c>
      <c r="K739" s="10">
        <f>MAX($C$2:C739)</f>
        <v>29.440999999999999</v>
      </c>
      <c r="L739" s="11">
        <f t="shared" si="68"/>
        <v>-0.20855269861757417</v>
      </c>
    </row>
    <row r="740" spans="1:12" x14ac:dyDescent="0.35">
      <c r="A740" s="5" t="s">
        <v>1709</v>
      </c>
      <c r="B740" s="22">
        <v>1914.4</v>
      </c>
      <c r="C740" s="10">
        <v>23.08</v>
      </c>
      <c r="D740" s="23">
        <f t="shared" si="69"/>
        <v>-1.460463175464195E-3</v>
      </c>
      <c r="E740" s="11">
        <f t="shared" si="70"/>
        <v>-9.4845714776189902E-3</v>
      </c>
      <c r="F740" s="24">
        <f>(B740-$B$2)/$B$2</f>
        <v>0.25279759178064276</v>
      </c>
      <c r="G740" s="11">
        <f t="shared" si="71"/>
        <v>0.27895378477224864</v>
      </c>
      <c r="H740" s="25">
        <f t="shared" si="66"/>
        <v>82.946273830155988</v>
      </c>
      <c r="I740" s="26">
        <f>MAX($B$2:B740)</f>
        <v>2069.4</v>
      </c>
      <c r="J740" s="27">
        <f t="shared" si="67"/>
        <v>-7.4900937469798007E-2</v>
      </c>
      <c r="K740" s="10">
        <f>MAX($C$2:C740)</f>
        <v>29.440999999999999</v>
      </c>
      <c r="L740" s="11">
        <f t="shared" si="68"/>
        <v>-0.21605923711830444</v>
      </c>
    </row>
    <row r="741" spans="1:12" x14ac:dyDescent="0.35">
      <c r="A741" s="5" t="s">
        <v>1711</v>
      </c>
      <c r="B741" s="22">
        <v>1914.4</v>
      </c>
      <c r="C741" s="10">
        <v>22.902000000000001</v>
      </c>
      <c r="D741" s="23">
        <f t="shared" si="69"/>
        <v>0</v>
      </c>
      <c r="E741" s="11">
        <f t="shared" si="70"/>
        <v>-7.712305025996416E-3</v>
      </c>
      <c r="F741" s="24">
        <f>(B741-$B$2)/$B$2</f>
        <v>0.25279759178064276</v>
      </c>
      <c r="G741" s="11">
        <f t="shared" si="71"/>
        <v>0.26909010306993247</v>
      </c>
      <c r="H741" s="25">
        <f t="shared" si="66"/>
        <v>83.590952755217884</v>
      </c>
      <c r="I741" s="26">
        <f>MAX($B$2:B741)</f>
        <v>2069.4</v>
      </c>
      <c r="J741" s="27">
        <f t="shared" si="67"/>
        <v>-7.4900937469798007E-2</v>
      </c>
      <c r="K741" s="10">
        <f>MAX($C$2:C741)</f>
        <v>29.440999999999999</v>
      </c>
      <c r="L741" s="11">
        <f t="shared" si="68"/>
        <v>-0.22210522740396041</v>
      </c>
    </row>
    <row r="742" spans="1:12" x14ac:dyDescent="0.35">
      <c r="A742" s="5" t="s">
        <v>1713</v>
      </c>
      <c r="B742" s="22">
        <v>1935.2</v>
      </c>
      <c r="C742" s="10">
        <v>23.399000000000001</v>
      </c>
      <c r="D742" s="23">
        <f t="shared" si="69"/>
        <v>1.0865022983702441E-2</v>
      </c>
      <c r="E742" s="11">
        <f t="shared" si="70"/>
        <v>2.1701161470613916E-2</v>
      </c>
      <c r="F742" s="24">
        <f>(B742-$B$2)/$B$2</f>
        <v>0.26640926640926649</v>
      </c>
      <c r="G742" s="11">
        <f t="shared" si="71"/>
        <v>0.29663083231741116</v>
      </c>
      <c r="H742" s="25">
        <f t="shared" si="66"/>
        <v>82.704389076456252</v>
      </c>
      <c r="I742" s="26">
        <f>MAX($B$2:B742)</f>
        <v>2069.4</v>
      </c>
      <c r="J742" s="27">
        <f t="shared" si="67"/>
        <v>-6.4849714893205776E-2</v>
      </c>
      <c r="K742" s="10">
        <f>MAX($C$2:C742)</f>
        <v>29.440999999999999</v>
      </c>
      <c r="L742" s="11">
        <f t="shared" si="68"/>
        <v>-0.20522400733670726</v>
      </c>
    </row>
    <row r="743" spans="1:12" x14ac:dyDescent="0.35">
      <c r="A743" s="5" t="s">
        <v>1715</v>
      </c>
      <c r="B743" s="22">
        <v>1935.3</v>
      </c>
      <c r="C743" s="10">
        <v>23.350999999999999</v>
      </c>
      <c r="D743" s="23">
        <f t="shared" si="69"/>
        <v>5.1674245555967887E-5</v>
      </c>
      <c r="E743" s="11">
        <f t="shared" si="70"/>
        <v>-2.0513697166546357E-3</v>
      </c>
      <c r="F743" s="24">
        <f>(B743-$B$2)/$B$2</f>
        <v>0.2664747071526733</v>
      </c>
      <c r="G743" s="11">
        <f t="shared" si="71"/>
        <v>0.29397096309431453</v>
      </c>
      <c r="H743" s="25">
        <f t="shared" si="66"/>
        <v>82.878677572694954</v>
      </c>
      <c r="I743" s="26">
        <f>MAX($B$2:B743)</f>
        <v>2069.4</v>
      </c>
      <c r="J743" s="27">
        <f t="shared" si="67"/>
        <v>-6.4801391707741435E-2</v>
      </c>
      <c r="K743" s="10">
        <f>MAX($C$2:C743)</f>
        <v>29.440999999999999</v>
      </c>
      <c r="L743" s="11">
        <f t="shared" si="68"/>
        <v>-0.20685438673958087</v>
      </c>
    </row>
    <row r="744" spans="1:12" x14ac:dyDescent="0.35">
      <c r="A744" s="5" t="s">
        <v>1717</v>
      </c>
      <c r="B744" s="22">
        <v>1948.6</v>
      </c>
      <c r="C744" s="10">
        <v>23.728000000000002</v>
      </c>
      <c r="D744" s="23">
        <f t="shared" si="69"/>
        <v>6.8723195370226607E-3</v>
      </c>
      <c r="E744" s="11">
        <f t="shared" si="70"/>
        <v>1.6144918847158685E-2</v>
      </c>
      <c r="F744" s="24">
        <f>(B744-$B$2)/$B$2</f>
        <v>0.27517832602578368</v>
      </c>
      <c r="G744" s="11">
        <f t="shared" si="71"/>
        <v>0.314862019284052</v>
      </c>
      <c r="H744" s="25">
        <f t="shared" si="66"/>
        <v>82.122387053270387</v>
      </c>
      <c r="I744" s="26">
        <f>MAX($B$2:B744)</f>
        <v>2069.4</v>
      </c>
      <c r="J744" s="27">
        <f t="shared" si="67"/>
        <v>-5.8374408040978147E-2</v>
      </c>
      <c r="K744" s="10">
        <f>MAX($C$2:C744)</f>
        <v>29.440999999999999</v>
      </c>
      <c r="L744" s="11">
        <f t="shared" si="68"/>
        <v>-0.19404911517951148</v>
      </c>
    </row>
    <row r="745" spans="1:12" x14ac:dyDescent="0.35">
      <c r="A745" s="5" t="s">
        <v>1719</v>
      </c>
      <c r="B745" s="22">
        <v>1921.2</v>
      </c>
      <c r="C745" s="10">
        <v>23.582000000000001</v>
      </c>
      <c r="D745" s="23">
        <f t="shared" si="69"/>
        <v>-1.40613773991583E-2</v>
      </c>
      <c r="E745" s="11">
        <f t="shared" si="70"/>
        <v>-6.1530681051922111E-3</v>
      </c>
      <c r="F745" s="24">
        <f>(B745-$B$2)/$B$2</f>
        <v>0.25724756233230822</v>
      </c>
      <c r="G745" s="11">
        <f t="shared" si="71"/>
        <v>0.30677158373046665</v>
      </c>
      <c r="H745" s="25">
        <f t="shared" si="66"/>
        <v>81.468916970570774</v>
      </c>
      <c r="I745" s="26">
        <f>MAX($B$2:B745)</f>
        <v>2069.4</v>
      </c>
      <c r="J745" s="27">
        <f t="shared" si="67"/>
        <v>-7.1614960858219792E-2</v>
      </c>
      <c r="K745" s="10">
        <f>MAX($C$2:C745)</f>
        <v>29.440999999999999</v>
      </c>
      <c r="L745" s="11">
        <f t="shared" si="68"/>
        <v>-0.19900818586325186</v>
      </c>
    </row>
    <row r="746" spans="1:12" x14ac:dyDescent="0.35">
      <c r="A746" s="5" t="s">
        <v>1721</v>
      </c>
      <c r="B746" s="22">
        <v>1918.2</v>
      </c>
      <c r="C746" s="10">
        <v>23.277000000000001</v>
      </c>
      <c r="D746" s="23">
        <f t="shared" si="69"/>
        <v>-1.5615240474703309E-3</v>
      </c>
      <c r="E746" s="11">
        <f t="shared" si="70"/>
        <v>-1.2933593418709172E-2</v>
      </c>
      <c r="F746" s="24">
        <f>(B746-$B$2)/$B$2</f>
        <v>0.25528434003010286</v>
      </c>
      <c r="G746" s="11">
        <f t="shared" si="71"/>
        <v>0.28987033137537416</v>
      </c>
      <c r="H746" s="25">
        <f t="shared" si="66"/>
        <v>82.407526743136998</v>
      </c>
      <c r="I746" s="26">
        <f>MAX($B$2:B746)</f>
        <v>2069.4</v>
      </c>
      <c r="J746" s="27">
        <f t="shared" si="67"/>
        <v>-7.3064656422151361E-2</v>
      </c>
      <c r="K746" s="10">
        <f>MAX($C$2:C746)</f>
        <v>29.440999999999999</v>
      </c>
      <c r="L746" s="11">
        <f t="shared" si="68"/>
        <v>-0.20936788831901085</v>
      </c>
    </row>
    <row r="747" spans="1:12" x14ac:dyDescent="0.35">
      <c r="A747" s="5" t="s">
        <v>1723</v>
      </c>
      <c r="B747" s="22">
        <v>1901.6</v>
      </c>
      <c r="C747" s="10">
        <v>23.085999999999999</v>
      </c>
      <c r="D747" s="23">
        <f t="shared" si="69"/>
        <v>-8.653946408090989E-3</v>
      </c>
      <c r="E747" s="11">
        <f t="shared" si="70"/>
        <v>-8.2055247669374273E-3</v>
      </c>
      <c r="F747" s="24">
        <f>(B747-$B$2)/$B$2</f>
        <v>0.24442117662456647</v>
      </c>
      <c r="G747" s="11">
        <f t="shared" si="71"/>
        <v>0.27928626842513571</v>
      </c>
      <c r="H747" s="25">
        <f t="shared" si="66"/>
        <v>82.370267694706754</v>
      </c>
      <c r="I747" s="26">
        <f>MAX($B$2:B747)</f>
        <v>2069.4</v>
      </c>
      <c r="J747" s="27">
        <f t="shared" si="67"/>
        <v>-8.1086305209239484E-2</v>
      </c>
      <c r="K747" s="10">
        <f>MAX($C$2:C747)</f>
        <v>29.440999999999999</v>
      </c>
      <c r="L747" s="11">
        <f t="shared" si="68"/>
        <v>-0.21585543969294524</v>
      </c>
    </row>
    <row r="748" spans="1:12" x14ac:dyDescent="0.35">
      <c r="A748" s="5" t="s">
        <v>1725</v>
      </c>
      <c r="B748" s="22">
        <v>1872.3</v>
      </c>
      <c r="C748" s="10">
        <v>22.609000000000002</v>
      </c>
      <c r="D748" s="23">
        <f t="shared" si="69"/>
        <v>-1.5408077408498084E-2</v>
      </c>
      <c r="E748" s="11">
        <f t="shared" si="70"/>
        <v>-2.066187299662119E-2</v>
      </c>
      <c r="F748" s="24">
        <f>(B748-$B$2)/$B$2</f>
        <v>0.22524703880636088</v>
      </c>
      <c r="G748" s="11">
        <f t="shared" si="71"/>
        <v>0.25285381802061413</v>
      </c>
      <c r="H748" s="25">
        <f t="shared" si="66"/>
        <v>82.812154451766986</v>
      </c>
      <c r="I748" s="26">
        <f>MAX($B$2:B748)</f>
        <v>2069.4</v>
      </c>
      <c r="J748" s="27">
        <f t="shared" si="67"/>
        <v>-9.5244998550304494E-2</v>
      </c>
      <c r="K748" s="10">
        <f>MAX($C$2:C748)</f>
        <v>29.440999999999999</v>
      </c>
      <c r="L748" s="11">
        <f t="shared" si="68"/>
        <v>-0.23205733500900097</v>
      </c>
    </row>
    <row r="749" spans="1:12" x14ac:dyDescent="0.35">
      <c r="A749" s="5" t="s">
        <v>1727</v>
      </c>
      <c r="B749" s="22">
        <v>1869.5</v>
      </c>
      <c r="C749" s="10">
        <v>22.741</v>
      </c>
      <c r="D749" s="23">
        <f t="shared" si="69"/>
        <v>-1.4954868343748089E-3</v>
      </c>
      <c r="E749" s="11">
        <f t="shared" si="70"/>
        <v>5.8383829448448799E-3</v>
      </c>
      <c r="F749" s="24">
        <f>(B749-$B$2)/$B$2</f>
        <v>0.22341469799096925</v>
      </c>
      <c r="G749" s="11">
        <f t="shared" si="71"/>
        <v>0.2601684583841295</v>
      </c>
      <c r="H749" s="25">
        <f t="shared" si="66"/>
        <v>82.208346158920008</v>
      </c>
      <c r="I749" s="26">
        <f>MAX($B$2:B749)</f>
        <v>2069.4</v>
      </c>
      <c r="J749" s="27">
        <f t="shared" si="67"/>
        <v>-9.6598047743307283E-2</v>
      </c>
      <c r="K749" s="10">
        <f>MAX($C$2:C749)</f>
        <v>29.440999999999999</v>
      </c>
      <c r="L749" s="11">
        <f t="shared" si="68"/>
        <v>-0.22757379165109878</v>
      </c>
    </row>
    <row r="750" spans="1:12" x14ac:dyDescent="0.35">
      <c r="A750" s="5" t="s">
        <v>1729</v>
      </c>
      <c r="B750" s="22">
        <v>1838.2</v>
      </c>
      <c r="C750" s="10">
        <v>21.420999999999999</v>
      </c>
      <c r="D750" s="23">
        <f t="shared" si="69"/>
        <v>-1.6742444503878018E-2</v>
      </c>
      <c r="E750" s="11">
        <f t="shared" si="70"/>
        <v>-5.8044940855723155E-2</v>
      </c>
      <c r="F750" s="24">
        <f>(B750-$B$2)/$B$2</f>
        <v>0.20293174530462676</v>
      </c>
      <c r="G750" s="11">
        <f t="shared" si="71"/>
        <v>0.18702205474897485</v>
      </c>
      <c r="H750" s="25">
        <f t="shared" si="66"/>
        <v>85.81298725549695</v>
      </c>
      <c r="I750" s="26">
        <f>MAX($B$2:B750)</f>
        <v>2069.4</v>
      </c>
      <c r="J750" s="27">
        <f t="shared" si="67"/>
        <v>-0.11172320479366002</v>
      </c>
      <c r="K750" s="10">
        <f>MAX($C$2:C750)</f>
        <v>29.440999999999999</v>
      </c>
      <c r="L750" s="11">
        <f t="shared" si="68"/>
        <v>-0.27240922523012123</v>
      </c>
    </row>
    <row r="751" spans="1:12" x14ac:dyDescent="0.35">
      <c r="A751" s="5" t="s">
        <v>1731</v>
      </c>
      <c r="B751" s="22">
        <v>1832.6</v>
      </c>
      <c r="C751" s="10">
        <v>21.376999999999999</v>
      </c>
      <c r="D751" s="23">
        <f t="shared" si="69"/>
        <v>-3.0464584920031207E-3</v>
      </c>
      <c r="E751" s="11">
        <f t="shared" si="70"/>
        <v>-2.0540591008823342E-3</v>
      </c>
      <c r="F751" s="24">
        <f>(B751-$B$2)/$B$2</f>
        <v>0.19926706367384334</v>
      </c>
      <c r="G751" s="11">
        <f t="shared" si="71"/>
        <v>0.18458384129446967</v>
      </c>
      <c r="H751" s="25">
        <f t="shared" si="66"/>
        <v>85.727651213921504</v>
      </c>
      <c r="I751" s="26">
        <f>MAX($B$2:B751)</f>
        <v>2069.4</v>
      </c>
      <c r="J751" s="27">
        <f t="shared" si="67"/>
        <v>-0.11442930317966568</v>
      </c>
      <c r="K751" s="10">
        <f>MAX($C$2:C751)</f>
        <v>29.440999999999999</v>
      </c>
      <c r="L751" s="11">
        <f t="shared" si="68"/>
        <v>-0.27390373968275533</v>
      </c>
    </row>
    <row r="752" spans="1:12" x14ac:dyDescent="0.35">
      <c r="A752" s="5" t="s">
        <v>1733</v>
      </c>
      <c r="B752" s="22">
        <v>1826.1</v>
      </c>
      <c r="C752" s="10">
        <v>21.146000000000001</v>
      </c>
      <c r="D752" s="23">
        <f t="shared" si="69"/>
        <v>-3.5468732947724546E-3</v>
      </c>
      <c r="E752" s="11">
        <f t="shared" si="70"/>
        <v>-1.0806006455536235E-2</v>
      </c>
      <c r="F752" s="24">
        <f>(B752-$B$2)/$B$2</f>
        <v>0.19501341535239841</v>
      </c>
      <c r="G752" s="11">
        <f t="shared" si="71"/>
        <v>0.17178322065831772</v>
      </c>
      <c r="H752" s="25">
        <f t="shared" si="66"/>
        <v>86.356757779249023</v>
      </c>
      <c r="I752" s="26">
        <f>MAX($B$2:B752)</f>
        <v>2069.4</v>
      </c>
      <c r="J752" s="27">
        <f t="shared" si="67"/>
        <v>-0.11757031023485076</v>
      </c>
      <c r="K752" s="10">
        <f>MAX($C$2:C752)</f>
        <v>29.440999999999999</v>
      </c>
      <c r="L752" s="11">
        <f t="shared" si="68"/>
        <v>-0.2817499405590842</v>
      </c>
    </row>
    <row r="753" spans="1:12" x14ac:dyDescent="0.35">
      <c r="A753" s="5" t="s">
        <v>1735</v>
      </c>
      <c r="B753" s="22">
        <v>1823.2</v>
      </c>
      <c r="C753" s="10">
        <v>21.018999999999998</v>
      </c>
      <c r="D753" s="23">
        <f t="shared" si="69"/>
        <v>-1.5880838946387731E-3</v>
      </c>
      <c r="E753" s="11">
        <f t="shared" si="70"/>
        <v>-6.0058639931903166E-3</v>
      </c>
      <c r="F753" s="24">
        <f>(B753-$B$2)/$B$2</f>
        <v>0.1931156337936</v>
      </c>
      <c r="G753" s="11">
        <f t="shared" si="71"/>
        <v>0.16474565000554134</v>
      </c>
      <c r="H753" s="25">
        <f t="shared" si="66"/>
        <v>86.740568057471819</v>
      </c>
      <c r="I753" s="26">
        <f>MAX($B$2:B753)</f>
        <v>2069.4</v>
      </c>
      <c r="J753" s="27">
        <f t="shared" si="67"/>
        <v>-0.11897168261331789</v>
      </c>
      <c r="K753" s="10">
        <f>MAX($C$2:C753)</f>
        <v>29.440999999999999</v>
      </c>
      <c r="L753" s="11">
        <f t="shared" si="68"/>
        <v>-0.28606365272918721</v>
      </c>
    </row>
    <row r="754" spans="1:12" x14ac:dyDescent="0.35">
      <c r="A754" s="5" t="s">
        <v>1736</v>
      </c>
      <c r="B754" s="22">
        <v>1855.7</v>
      </c>
      <c r="C754" s="10">
        <v>21.923999999999999</v>
      </c>
      <c r="D754" s="23">
        <f t="shared" si="69"/>
        <v>1.7825800789820097E-2</v>
      </c>
      <c r="E754" s="11">
        <f t="shared" si="70"/>
        <v>4.3056282411151871E-2</v>
      </c>
      <c r="F754" s="24">
        <f>(B754-$B$2)/$B$2</f>
        <v>0.21438387540082465</v>
      </c>
      <c r="G754" s="11">
        <f t="shared" si="71"/>
        <v>0.21489526764934058</v>
      </c>
      <c r="H754" s="25">
        <f t="shared" si="66"/>
        <v>84.642401021711365</v>
      </c>
      <c r="I754" s="26">
        <f>MAX($B$2:B754)</f>
        <v>2069.4</v>
      </c>
      <c r="J754" s="27">
        <f t="shared" si="67"/>
        <v>-0.10326664733739249</v>
      </c>
      <c r="K754" s="10">
        <f>MAX($C$2:C754)</f>
        <v>29.440999999999999</v>
      </c>
      <c r="L754" s="11">
        <f t="shared" si="68"/>
        <v>-0.25532420773750891</v>
      </c>
    </row>
    <row r="755" spans="1:12" x14ac:dyDescent="0.35">
      <c r="A755" s="5" t="s">
        <v>1738</v>
      </c>
      <c r="B755" s="22">
        <v>1866.7</v>
      </c>
      <c r="C755" s="10">
        <v>21.952999999999999</v>
      </c>
      <c r="D755" s="23">
        <f t="shared" si="69"/>
        <v>5.9276822762299938E-3</v>
      </c>
      <c r="E755" s="11">
        <f t="shared" si="70"/>
        <v>1.322751322751319E-3</v>
      </c>
      <c r="F755" s="24">
        <f>(B755-$B$2)/$B$2</f>
        <v>0.22158235717557762</v>
      </c>
      <c r="G755" s="11">
        <f t="shared" si="71"/>
        <v>0.21650227197162808</v>
      </c>
      <c r="H755" s="25">
        <f t="shared" si="66"/>
        <v>85.031658543251496</v>
      </c>
      <c r="I755" s="26">
        <f>MAX($B$2:B755)</f>
        <v>2069.4</v>
      </c>
      <c r="J755" s="27">
        <f t="shared" si="67"/>
        <v>-9.7951096936310059E-2</v>
      </c>
      <c r="K755" s="10">
        <f>MAX($C$2:C755)</f>
        <v>29.440999999999999</v>
      </c>
      <c r="L755" s="11">
        <f t="shared" si="68"/>
        <v>-0.25433918684827284</v>
      </c>
    </row>
    <row r="756" spans="1:12" x14ac:dyDescent="0.35">
      <c r="A756" s="5" t="s">
        <v>1740</v>
      </c>
      <c r="B756" s="22">
        <v>1878.4</v>
      </c>
      <c r="C756" s="10">
        <v>22.132999999999999</v>
      </c>
      <c r="D756" s="23">
        <f t="shared" si="69"/>
        <v>6.267745218835402E-3</v>
      </c>
      <c r="E756" s="11">
        <f t="shared" si="70"/>
        <v>8.1993349428324015E-3</v>
      </c>
      <c r="F756" s="24">
        <f>(B756-$B$2)/$B$2</f>
        <v>0.22923892415417851</v>
      </c>
      <c r="G756" s="11">
        <f t="shared" si="71"/>
        <v>0.22647678155824005</v>
      </c>
      <c r="H756" s="25">
        <f t="shared" si="66"/>
        <v>84.868748023313614</v>
      </c>
      <c r="I756" s="26">
        <f>MAX($B$2:B756)</f>
        <v>2069.4</v>
      </c>
      <c r="J756" s="27">
        <f t="shared" si="67"/>
        <v>-9.2297284236976904E-2</v>
      </c>
      <c r="K756" s="10">
        <f>MAX($C$2:C756)</f>
        <v>29.440999999999999</v>
      </c>
      <c r="L756" s="11">
        <f t="shared" si="68"/>
        <v>-0.24822526408749704</v>
      </c>
    </row>
    <row r="757" spans="1:12" x14ac:dyDescent="0.35">
      <c r="A757" s="5" t="s">
        <v>1742</v>
      </c>
      <c r="B757" s="22">
        <v>1874.2</v>
      </c>
      <c r="C757" s="10">
        <v>21.959</v>
      </c>
      <c r="D757" s="23">
        <f t="shared" si="69"/>
        <v>-2.2359454855196154E-3</v>
      </c>
      <c r="E757" s="11">
        <f t="shared" si="70"/>
        <v>-7.861564180183413E-3</v>
      </c>
      <c r="F757" s="24">
        <f>(B757-$B$2)/$B$2</f>
        <v>0.22649041293109101</v>
      </c>
      <c r="G757" s="11">
        <f t="shared" si="71"/>
        <v>0.21683475562451515</v>
      </c>
      <c r="H757" s="25">
        <f t="shared" si="66"/>
        <v>85.349970399380666</v>
      </c>
      <c r="I757" s="26">
        <f>MAX($B$2:B757)</f>
        <v>2069.4</v>
      </c>
      <c r="J757" s="27">
        <f t="shared" si="67"/>
        <v>-9.4326858026481122E-2</v>
      </c>
      <c r="K757" s="10">
        <f>MAX($C$2:C757)</f>
        <v>29.440999999999999</v>
      </c>
      <c r="L757" s="11">
        <f t="shared" si="68"/>
        <v>-0.25413538942291358</v>
      </c>
    </row>
    <row r="758" spans="1:12" x14ac:dyDescent="0.35">
      <c r="A758" s="5" t="s">
        <v>1744</v>
      </c>
      <c r="B758" s="22">
        <v>1925.1</v>
      </c>
      <c r="C758" s="10">
        <v>22.765000000000001</v>
      </c>
      <c r="D758" s="23">
        <f t="shared" si="69"/>
        <v>2.7158254188453666E-2</v>
      </c>
      <c r="E758" s="11">
        <f t="shared" si="70"/>
        <v>3.6704767976683865E-2</v>
      </c>
      <c r="F758" s="24">
        <f>(B758-$B$2)/$B$2</f>
        <v>0.25979975132517508</v>
      </c>
      <c r="G758" s="11">
        <f t="shared" si="71"/>
        <v>0.26149839299567779</v>
      </c>
      <c r="H758" s="25">
        <f t="shared" si="66"/>
        <v>84.564023720623752</v>
      </c>
      <c r="I758" s="26">
        <f>MAX($B$2:B758)</f>
        <v>2069.4</v>
      </c>
      <c r="J758" s="27">
        <f t="shared" si="67"/>
        <v>-6.9730356625108805E-2</v>
      </c>
      <c r="K758" s="10">
        <f>MAX($C$2:C758)</f>
        <v>29.440999999999999</v>
      </c>
      <c r="L758" s="11">
        <f t="shared" si="68"/>
        <v>-0.22675860194966199</v>
      </c>
    </row>
    <row r="759" spans="1:12" x14ac:dyDescent="0.35">
      <c r="A759" s="5" t="s">
        <v>1746</v>
      </c>
      <c r="B759" s="22">
        <v>1926.4</v>
      </c>
      <c r="C759" s="10">
        <v>23.024000000000001</v>
      </c>
      <c r="D759" s="23">
        <f t="shared" si="69"/>
        <v>6.7528959534579082E-4</v>
      </c>
      <c r="E759" s="11">
        <f t="shared" si="70"/>
        <v>1.1377113990775328E-2</v>
      </c>
      <c r="F759" s="24">
        <f>(B759-$B$2)/$B$2</f>
        <v>0.26065048098946419</v>
      </c>
      <c r="G759" s="11">
        <f t="shared" si="71"/>
        <v>0.27585060401196948</v>
      </c>
      <c r="H759" s="25">
        <f t="shared" si="66"/>
        <v>83.669214732453099</v>
      </c>
      <c r="I759" s="26">
        <f>MAX($B$2:B759)</f>
        <v>2069.4</v>
      </c>
      <c r="J759" s="27">
        <f t="shared" si="67"/>
        <v>-6.9102155214071703E-2</v>
      </c>
      <c r="K759" s="10">
        <f>MAX($C$2:C759)</f>
        <v>29.440999999999999</v>
      </c>
      <c r="L759" s="11">
        <f t="shared" si="68"/>
        <v>-0.21796134642165682</v>
      </c>
    </row>
    <row r="760" spans="1:12" x14ac:dyDescent="0.35">
      <c r="A760" s="5" t="s">
        <v>1748</v>
      </c>
      <c r="B760" s="22">
        <v>1958.8</v>
      </c>
      <c r="C760" s="10">
        <v>23.099</v>
      </c>
      <c r="D760" s="23">
        <f t="shared" si="69"/>
        <v>1.6818936877076342E-2</v>
      </c>
      <c r="E760" s="11">
        <f t="shared" si="70"/>
        <v>3.2574704656010809E-3</v>
      </c>
      <c r="F760" s="24">
        <f>(B760-$B$2)/$B$2</f>
        <v>0.2818532818532819</v>
      </c>
      <c r="G760" s="11">
        <f t="shared" si="71"/>
        <v>0.28000664967305777</v>
      </c>
      <c r="H760" s="25">
        <f t="shared" si="66"/>
        <v>84.800207801203513</v>
      </c>
      <c r="I760" s="26">
        <f>MAX($B$2:B760)</f>
        <v>2069.4</v>
      </c>
      <c r="J760" s="27">
        <f t="shared" si="67"/>
        <v>-5.344544312361077E-2</v>
      </c>
      <c r="K760" s="10">
        <f>MAX($C$2:C760)</f>
        <v>29.440999999999999</v>
      </c>
      <c r="L760" s="11">
        <f t="shared" si="68"/>
        <v>-0.21541387860466693</v>
      </c>
    </row>
    <row r="761" spans="1:12" x14ac:dyDescent="0.35">
      <c r="A761" s="5" t="s">
        <v>1750</v>
      </c>
      <c r="B761" s="22">
        <v>1971.2</v>
      </c>
      <c r="C761" s="10">
        <v>23.030999999999999</v>
      </c>
      <c r="D761" s="23">
        <f t="shared" si="69"/>
        <v>6.3304063712477489E-3</v>
      </c>
      <c r="E761" s="11">
        <f t="shared" si="70"/>
        <v>-2.9438503831335293E-3</v>
      </c>
      <c r="F761" s="24">
        <f>(B761-$B$2)/$B$2</f>
        <v>0.28996793403573073</v>
      </c>
      <c r="G761" s="11">
        <f t="shared" si="71"/>
        <v>0.27623850160700431</v>
      </c>
      <c r="H761" s="25">
        <f t="shared" si="66"/>
        <v>85.588988754287712</v>
      </c>
      <c r="I761" s="26">
        <f>MAX($B$2:B761)</f>
        <v>2069.4</v>
      </c>
      <c r="J761" s="27">
        <f t="shared" si="67"/>
        <v>-4.7453368126026886E-2</v>
      </c>
      <c r="K761" s="10">
        <f>MAX($C$2:C761)</f>
        <v>29.440999999999999</v>
      </c>
      <c r="L761" s="11">
        <f t="shared" si="68"/>
        <v>-0.21772358275873782</v>
      </c>
    </row>
    <row r="762" spans="1:12" x14ac:dyDescent="0.35">
      <c r="A762" s="5" t="s">
        <v>1752</v>
      </c>
      <c r="B762" s="22">
        <v>1978.2</v>
      </c>
      <c r="C762" s="10">
        <v>23.21</v>
      </c>
      <c r="D762" s="23">
        <f t="shared" si="69"/>
        <v>3.5511363636363635E-3</v>
      </c>
      <c r="E762" s="11">
        <f t="shared" si="70"/>
        <v>7.7721332117581541E-3</v>
      </c>
      <c r="F762" s="24">
        <f>(B762-$B$2)/$B$2</f>
        <v>0.29454878607420992</v>
      </c>
      <c r="G762" s="11">
        <f t="shared" si="71"/>
        <v>0.28615759725146855</v>
      </c>
      <c r="H762" s="25">
        <f t="shared" si="66"/>
        <v>85.230504093063331</v>
      </c>
      <c r="I762" s="26">
        <f>MAX($B$2:B762)</f>
        <v>2069.4</v>
      </c>
      <c r="J762" s="27">
        <f t="shared" si="67"/>
        <v>-4.4070745143519878E-2</v>
      </c>
      <c r="K762" s="10">
        <f>MAX($C$2:C762)</f>
        <v>29.440999999999999</v>
      </c>
      <c r="L762" s="11">
        <f t="shared" si="68"/>
        <v>-0.21164362623552183</v>
      </c>
    </row>
    <row r="763" spans="1:12" x14ac:dyDescent="0.35">
      <c r="A763" s="5" t="s">
        <v>1754</v>
      </c>
      <c r="B763" s="22">
        <v>1976.8</v>
      </c>
      <c r="C763" s="10">
        <v>23.116</v>
      </c>
      <c r="D763" s="23">
        <f t="shared" si="69"/>
        <v>-7.0771408351030785E-4</v>
      </c>
      <c r="E763" s="11">
        <f t="shared" si="70"/>
        <v>-4.0499784575614471E-3</v>
      </c>
      <c r="F763" s="24">
        <f>(B763-$B$2)/$B$2</f>
        <v>0.293632615666514</v>
      </c>
      <c r="G763" s="11">
        <f t="shared" si="71"/>
        <v>0.28094868668957113</v>
      </c>
      <c r="H763" s="25">
        <f t="shared" si="66"/>
        <v>85.516525350406638</v>
      </c>
      <c r="I763" s="26">
        <f>MAX($B$2:B763)</f>
        <v>2069.4</v>
      </c>
      <c r="J763" s="27">
        <f t="shared" si="67"/>
        <v>-4.4747269740021328E-2</v>
      </c>
      <c r="K763" s="10">
        <f>MAX($C$2:C763)</f>
        <v>29.440999999999999</v>
      </c>
      <c r="L763" s="11">
        <f t="shared" si="68"/>
        <v>-0.21483645256614922</v>
      </c>
    </row>
    <row r="764" spans="1:12" x14ac:dyDescent="0.35">
      <c r="A764" s="5" t="s">
        <v>1755</v>
      </c>
      <c r="B764" s="22">
        <v>1985.5</v>
      </c>
      <c r="C764" s="10">
        <v>23.007000000000001</v>
      </c>
      <c r="D764" s="23">
        <f t="shared" si="69"/>
        <v>4.4010522055848069E-3</v>
      </c>
      <c r="E764" s="11">
        <f t="shared" si="70"/>
        <v>-4.7153486762414867E-3</v>
      </c>
      <c r="F764" s="24">
        <f>(B764-$B$2)/$B$2</f>
        <v>0.29932596034290959</v>
      </c>
      <c r="G764" s="11">
        <f t="shared" si="71"/>
        <v>0.27490856699545618</v>
      </c>
      <c r="H764" s="25">
        <f t="shared" si="66"/>
        <v>86.299821793367229</v>
      </c>
      <c r="I764" s="26">
        <f>MAX($B$2:B764)</f>
        <v>2069.4</v>
      </c>
      <c r="J764" s="27">
        <f t="shared" si="67"/>
        <v>-4.0543152604619742E-2</v>
      </c>
      <c r="K764" s="10">
        <f>MAX($C$2:C764)</f>
        <v>29.440999999999999</v>
      </c>
      <c r="L764" s="11">
        <f t="shared" si="68"/>
        <v>-0.2185387724601745</v>
      </c>
    </row>
    <row r="765" spans="1:12" x14ac:dyDescent="0.35">
      <c r="A765" s="5" t="s">
        <v>1757</v>
      </c>
      <c r="B765" s="22">
        <v>1987.9</v>
      </c>
      <c r="C765" s="10">
        <v>22.908000000000001</v>
      </c>
      <c r="D765" s="23">
        <f t="shared" si="69"/>
        <v>1.2087635356333875E-3</v>
      </c>
      <c r="E765" s="11">
        <f t="shared" si="70"/>
        <v>-4.3030382057634717E-3</v>
      </c>
      <c r="F765" s="24">
        <f>(B765-$B$2)/$B$2</f>
        <v>0.30089653818467393</v>
      </c>
      <c r="G765" s="11">
        <f t="shared" si="71"/>
        <v>0.2694225867228196</v>
      </c>
      <c r="H765" s="25">
        <f t="shared" si="66"/>
        <v>86.777544962458535</v>
      </c>
      <c r="I765" s="26">
        <f>MAX($B$2:B765)</f>
        <v>2069.4</v>
      </c>
      <c r="J765" s="27">
        <f t="shared" si="67"/>
        <v>-3.9383396153474436E-2</v>
      </c>
      <c r="K765" s="10">
        <f>MAX($C$2:C765)</f>
        <v>29.440999999999999</v>
      </c>
      <c r="L765" s="11">
        <f t="shared" si="68"/>
        <v>-0.22190142997860121</v>
      </c>
    </row>
    <row r="766" spans="1:12" x14ac:dyDescent="0.35">
      <c r="A766" s="5" t="s">
        <v>1759</v>
      </c>
      <c r="B766" s="22">
        <v>2005.6</v>
      </c>
      <c r="C766" s="10">
        <v>23.518999999999998</v>
      </c>
      <c r="D766" s="23">
        <f t="shared" si="69"/>
        <v>8.9038684038431591E-3</v>
      </c>
      <c r="E766" s="11">
        <f t="shared" si="70"/>
        <v>2.6671905011349618E-2</v>
      </c>
      <c r="F766" s="24">
        <f>(B766-$B$2)/$B$2</f>
        <v>0.31247954976768538</v>
      </c>
      <c r="G766" s="11">
        <f t="shared" si="71"/>
        <v>0.30328050537515233</v>
      </c>
      <c r="H766" s="25">
        <f t="shared" si="66"/>
        <v>85.275734512521794</v>
      </c>
      <c r="I766" s="26">
        <f>MAX($B$2:B766)</f>
        <v>2069.4</v>
      </c>
      <c r="J766" s="27">
        <f t="shared" si="67"/>
        <v>-3.0830192326278236E-2</v>
      </c>
      <c r="K766" s="10">
        <f>MAX($C$2:C766)</f>
        <v>29.440999999999999</v>
      </c>
      <c r="L766" s="11">
        <f t="shared" si="68"/>
        <v>-0.20114805882952347</v>
      </c>
    </row>
    <row r="767" spans="1:12" x14ac:dyDescent="0.35">
      <c r="A767" s="5" t="s">
        <v>1761</v>
      </c>
      <c r="B767" s="22">
        <v>1994.3</v>
      </c>
      <c r="C767" s="10">
        <v>23.074999999999999</v>
      </c>
      <c r="D767" s="23">
        <f t="shared" si="69"/>
        <v>-5.6342241723174886E-3</v>
      </c>
      <c r="E767" s="11">
        <f t="shared" si="70"/>
        <v>-1.8878353671499599E-2</v>
      </c>
      <c r="F767" s="24">
        <f>(B767-$B$2)/$B$2</f>
        <v>0.30508474576271194</v>
      </c>
      <c r="G767" s="11">
        <f t="shared" si="71"/>
        <v>0.27867671506150948</v>
      </c>
      <c r="H767" s="25">
        <f t="shared" si="66"/>
        <v>86.42686890574214</v>
      </c>
      <c r="I767" s="26">
        <f>MAX($B$2:B767)</f>
        <v>2069.4</v>
      </c>
      <c r="J767" s="27">
        <f t="shared" si="67"/>
        <v>-3.6290712283753808E-2</v>
      </c>
      <c r="K767" s="10">
        <f>MAX($C$2:C767)</f>
        <v>29.440999999999999</v>
      </c>
      <c r="L767" s="11">
        <f t="shared" si="68"/>
        <v>-0.21622906830610372</v>
      </c>
    </row>
    <row r="768" spans="1:12" x14ac:dyDescent="0.35">
      <c r="A768" s="5" t="s">
        <v>1763</v>
      </c>
      <c r="B768" s="22">
        <v>1987.5</v>
      </c>
      <c r="C768" s="10">
        <v>22.911999999999999</v>
      </c>
      <c r="D768" s="23">
        <f t="shared" si="69"/>
        <v>-3.4097176954319586E-3</v>
      </c>
      <c r="E768" s="11">
        <f t="shared" si="70"/>
        <v>-7.0639219934994692E-3</v>
      </c>
      <c r="F768" s="24">
        <f>(B768-$B$2)/$B$2</f>
        <v>0.30063477521104648</v>
      </c>
      <c r="G768" s="11">
        <f t="shared" si="71"/>
        <v>0.26964424249141083</v>
      </c>
      <c r="H768" s="25">
        <f t="shared" si="66"/>
        <v>86.744937150837998</v>
      </c>
      <c r="I768" s="26">
        <f>MAX($B$2:B768)</f>
        <v>2069.4</v>
      </c>
      <c r="J768" s="27">
        <f t="shared" si="67"/>
        <v>-3.9576688895332023E-2</v>
      </c>
      <c r="K768" s="10">
        <f>MAX($C$2:C768)</f>
        <v>29.440999999999999</v>
      </c>
      <c r="L768" s="11">
        <f t="shared" si="68"/>
        <v>-0.22176556502836181</v>
      </c>
    </row>
    <row r="769" spans="1:12" x14ac:dyDescent="0.35">
      <c r="A769" s="5" t="s">
        <v>1765</v>
      </c>
      <c r="B769" s="22">
        <v>1993.5</v>
      </c>
      <c r="C769" s="10">
        <v>22.971</v>
      </c>
      <c r="D769" s="23">
        <f t="shared" si="69"/>
        <v>3.0188679245283017E-3</v>
      </c>
      <c r="E769" s="11">
        <f t="shared" si="70"/>
        <v>2.5750698324022805E-3</v>
      </c>
      <c r="F769" s="24">
        <f>(B769-$B$2)/$B$2</f>
        <v>0.3045612198154572</v>
      </c>
      <c r="G769" s="11">
        <f t="shared" si="71"/>
        <v>0.27291366507813369</v>
      </c>
      <c r="H769" s="25">
        <f t="shared" si="66"/>
        <v>86.783335509990863</v>
      </c>
      <c r="I769" s="26">
        <f>MAX($B$2:B769)</f>
        <v>2069.4</v>
      </c>
      <c r="J769" s="27">
        <f t="shared" si="67"/>
        <v>-3.6677297767468871E-2</v>
      </c>
      <c r="K769" s="10">
        <f>MAX($C$2:C769)</f>
        <v>29.440999999999999</v>
      </c>
      <c r="L769" s="11">
        <f t="shared" si="68"/>
        <v>-0.21976155701232972</v>
      </c>
    </row>
    <row r="770" spans="1:12" x14ac:dyDescent="0.35">
      <c r="A770" s="5" t="s">
        <v>1767</v>
      </c>
      <c r="B770" s="22">
        <v>1988.6</v>
      </c>
      <c r="C770" s="10">
        <v>23.355</v>
      </c>
      <c r="D770" s="23">
        <f t="shared" si="69"/>
        <v>-2.4579884625031806E-3</v>
      </c>
      <c r="E770" s="11">
        <f t="shared" si="70"/>
        <v>1.6716729789734899E-2</v>
      </c>
      <c r="F770" s="24">
        <f>(B770-$B$2)/$B$2</f>
        <v>0.3013546233885217</v>
      </c>
      <c r="G770" s="11">
        <f t="shared" si="71"/>
        <v>0.29419261886290599</v>
      </c>
      <c r="H770" s="25">
        <f t="shared" si="66"/>
        <v>85.146649539713124</v>
      </c>
      <c r="I770" s="26">
        <f>MAX($B$2:B770)</f>
        <v>2069.4</v>
      </c>
      <c r="J770" s="27">
        <f t="shared" si="67"/>
        <v>-3.9045133855223825E-2</v>
      </c>
      <c r="K770" s="10">
        <f>MAX($C$2:C770)</f>
        <v>29.440999999999999</v>
      </c>
      <c r="L770" s="11">
        <f t="shared" si="68"/>
        <v>-0.20671852178934136</v>
      </c>
    </row>
    <row r="771" spans="1:12" x14ac:dyDescent="0.35">
      <c r="A771" s="5" t="s">
        <v>1769</v>
      </c>
      <c r="B771" s="22">
        <v>1973.5</v>
      </c>
      <c r="C771" s="10">
        <v>22.709</v>
      </c>
      <c r="D771" s="23">
        <f t="shared" si="69"/>
        <v>-7.5932817057225736E-3</v>
      </c>
      <c r="E771" s="11">
        <f t="shared" si="70"/>
        <v>-2.7660029972168734E-2</v>
      </c>
      <c r="F771" s="24">
        <f>(B771-$B$2)/$B$2</f>
        <v>0.29147307113408816</v>
      </c>
      <c r="G771" s="11">
        <f t="shared" si="71"/>
        <v>0.25839521223539846</v>
      </c>
      <c r="H771" s="25">
        <f t="shared" ref="H771:H834" si="72">B771/C771</f>
        <v>86.903870712052495</v>
      </c>
      <c r="I771" s="26">
        <f>MAX($B$2:B771)</f>
        <v>2069.4</v>
      </c>
      <c r="J771" s="27">
        <f t="shared" ref="J771:J834" si="73">(B771-I771)/I771</f>
        <v>-4.6341934860346039E-2</v>
      </c>
      <c r="K771" s="10">
        <f>MAX($C$2:C771)</f>
        <v>29.440999999999999</v>
      </c>
      <c r="L771" s="11">
        <f t="shared" ref="L771:L834" si="74">(C771-K771)/K771</f>
        <v>-0.22866071125301449</v>
      </c>
    </row>
    <row r="772" spans="1:12" x14ac:dyDescent="0.35">
      <c r="A772" s="5" t="s">
        <v>1771</v>
      </c>
      <c r="B772" s="22">
        <v>1957.8</v>
      </c>
      <c r="C772" s="10">
        <v>22.846</v>
      </c>
      <c r="D772" s="23">
        <f t="shared" ref="D772:D835" si="75">(B772-B771)/B771</f>
        <v>-7.9554091715226989E-3</v>
      </c>
      <c r="E772" s="11">
        <f t="shared" ref="E772:E835" si="76">(C772-C771)/C771</f>
        <v>6.0328504117310522E-3</v>
      </c>
      <c r="F772" s="24">
        <f>(B772-$B$2)/$B$2</f>
        <v>0.28119887441921343</v>
      </c>
      <c r="G772" s="11">
        <f t="shared" ref="G772:G835" si="77">(C772-$C$2)/$C$2</f>
        <v>0.26598692230965315</v>
      </c>
      <c r="H772" s="25">
        <f t="shared" si="72"/>
        <v>85.695526569202485</v>
      </c>
      <c r="I772" s="26">
        <f>MAX($B$2:B772)</f>
        <v>2069.4</v>
      </c>
      <c r="J772" s="27">
        <f t="shared" si="73"/>
        <v>-5.3928674978254633E-2</v>
      </c>
      <c r="K772" s="10">
        <f>MAX($C$2:C772)</f>
        <v>29.440999999999999</v>
      </c>
      <c r="L772" s="11">
        <f t="shared" si="74"/>
        <v>-0.2240073367073129</v>
      </c>
    </row>
    <row r="773" spans="1:12" x14ac:dyDescent="0.35">
      <c r="A773" s="5" t="s">
        <v>1773</v>
      </c>
      <c r="B773" s="22">
        <v>1969.8</v>
      </c>
      <c r="C773" s="10">
        <v>23.023</v>
      </c>
      <c r="D773" s="23">
        <f t="shared" si="75"/>
        <v>6.1293288384921853E-3</v>
      </c>
      <c r="E773" s="11">
        <f t="shared" si="76"/>
        <v>7.7475269193731768E-3</v>
      </c>
      <c r="F773" s="24">
        <f>(B773-$B$2)/$B$2</f>
        <v>0.28905176362803486</v>
      </c>
      <c r="G773" s="11">
        <f t="shared" si="77"/>
        <v>0.27579519006982162</v>
      </c>
      <c r="H773" s="25">
        <f t="shared" si="72"/>
        <v>85.557920340529037</v>
      </c>
      <c r="I773" s="26">
        <f>MAX($B$2:B773)</f>
        <v>2069.4</v>
      </c>
      <c r="J773" s="27">
        <f t="shared" si="73"/>
        <v>-4.8129892722528336E-2</v>
      </c>
      <c r="K773" s="10">
        <f>MAX($C$2:C773)</f>
        <v>29.440999999999999</v>
      </c>
      <c r="L773" s="11">
        <f t="shared" si="74"/>
        <v>-0.21799531265921673</v>
      </c>
    </row>
    <row r="774" spans="1:12" x14ac:dyDescent="0.35">
      <c r="A774" s="5" t="s">
        <v>1775</v>
      </c>
      <c r="B774" s="22">
        <v>1950.2</v>
      </c>
      <c r="C774" s="10">
        <v>22.477</v>
      </c>
      <c r="D774" s="23">
        <f t="shared" si="75"/>
        <v>-9.9502487562188602E-3</v>
      </c>
      <c r="E774" s="11">
        <f t="shared" si="76"/>
        <v>-2.371541501976282E-2</v>
      </c>
      <c r="F774" s="24">
        <f>(B774-$B$2)/$B$2</f>
        <v>0.27622537792029328</v>
      </c>
      <c r="G774" s="11">
        <f t="shared" si="77"/>
        <v>0.2455391776570986</v>
      </c>
      <c r="H774" s="25">
        <f t="shared" si="72"/>
        <v>86.764247897851135</v>
      </c>
      <c r="I774" s="26">
        <f>MAX($B$2:B774)</f>
        <v>2069.4</v>
      </c>
      <c r="J774" s="27">
        <f t="shared" si="73"/>
        <v>-5.760123707354791E-2</v>
      </c>
      <c r="K774" s="10">
        <f>MAX($C$2:C774)</f>
        <v>29.440999999999999</v>
      </c>
      <c r="L774" s="11">
        <f t="shared" si="74"/>
        <v>-0.23654087836690327</v>
      </c>
    </row>
    <row r="775" spans="1:12" x14ac:dyDescent="0.35">
      <c r="A775" s="5" t="s">
        <v>1777</v>
      </c>
      <c r="B775" s="22">
        <v>1966.5</v>
      </c>
      <c r="C775" s="10">
        <v>23.248999999999999</v>
      </c>
      <c r="D775" s="23">
        <f t="shared" si="75"/>
        <v>8.358117116193187E-3</v>
      </c>
      <c r="E775" s="11">
        <f t="shared" si="76"/>
        <v>3.4346220581038325E-2</v>
      </c>
      <c r="F775" s="24">
        <f>(B775-$B$2)/$B$2</f>
        <v>0.28689221909560902</v>
      </c>
      <c r="G775" s="11">
        <f t="shared" si="77"/>
        <v>0.28831874099523436</v>
      </c>
      <c r="H775" s="25">
        <f t="shared" si="72"/>
        <v>84.584283194976138</v>
      </c>
      <c r="I775" s="26">
        <f>MAX($B$2:B775)</f>
        <v>2069.4</v>
      </c>
      <c r="J775" s="27">
        <f t="shared" si="73"/>
        <v>-4.972455784285304E-2</v>
      </c>
      <c r="K775" s="10">
        <f>MAX($C$2:C775)</f>
        <v>29.440999999999999</v>
      </c>
      <c r="L775" s="11">
        <f t="shared" si="74"/>
        <v>-0.21031894297068715</v>
      </c>
    </row>
    <row r="776" spans="1:12" x14ac:dyDescent="0.35">
      <c r="A776" s="5" t="s">
        <v>1779</v>
      </c>
      <c r="B776" s="22">
        <v>1964.3</v>
      </c>
      <c r="C776" s="10">
        <v>23.658999999999999</v>
      </c>
      <c r="D776" s="23">
        <f t="shared" si="75"/>
        <v>-1.1187388761759703E-3</v>
      </c>
      <c r="E776" s="11">
        <f t="shared" si="76"/>
        <v>1.7635167103961468E-2</v>
      </c>
      <c r="F776" s="24">
        <f>(B776-$B$2)/$B$2</f>
        <v>0.28545252274065835</v>
      </c>
      <c r="G776" s="11">
        <f t="shared" si="77"/>
        <v>0.31103845727585061</v>
      </c>
      <c r="H776" s="25">
        <f t="shared" si="72"/>
        <v>83.025487129633547</v>
      </c>
      <c r="I776" s="26">
        <f>MAX($B$2:B776)</f>
        <v>2069.4</v>
      </c>
      <c r="J776" s="27">
        <f t="shared" si="73"/>
        <v>-5.0787667923069553E-2</v>
      </c>
      <c r="K776" s="10">
        <f>MAX($C$2:C776)</f>
        <v>29.440999999999999</v>
      </c>
      <c r="L776" s="11">
        <f t="shared" si="74"/>
        <v>-0.19639278557114229</v>
      </c>
    </row>
    <row r="777" spans="1:12" x14ac:dyDescent="0.35">
      <c r="A777" s="5" t="s">
        <v>1781</v>
      </c>
      <c r="B777" s="22">
        <v>1987.3</v>
      </c>
      <c r="C777" s="10">
        <v>24.053000000000001</v>
      </c>
      <c r="D777" s="23">
        <f t="shared" si="75"/>
        <v>1.1709005752685435E-2</v>
      </c>
      <c r="E777" s="11">
        <f t="shared" si="76"/>
        <v>1.6653282049114582E-2</v>
      </c>
      <c r="F777" s="24">
        <f>(B777-$B$2)/$B$2</f>
        <v>0.30050389372423275</v>
      </c>
      <c r="G777" s="11">
        <f t="shared" si="77"/>
        <v>0.33287155048210137</v>
      </c>
      <c r="H777" s="25">
        <f t="shared" si="72"/>
        <v>82.621710389556398</v>
      </c>
      <c r="I777" s="26">
        <f>MAX($B$2:B777)</f>
        <v>2069.4</v>
      </c>
      <c r="J777" s="27">
        <f t="shared" si="73"/>
        <v>-3.9673335266260816E-2</v>
      </c>
      <c r="K777" s="10">
        <f>MAX($C$2:C777)</f>
        <v>29.440999999999999</v>
      </c>
      <c r="L777" s="11">
        <f t="shared" si="74"/>
        <v>-0.18301008797255522</v>
      </c>
    </row>
    <row r="778" spans="1:12" x14ac:dyDescent="0.35">
      <c r="A778" s="5" t="s">
        <v>1783</v>
      </c>
      <c r="B778" s="22">
        <v>1980.3</v>
      </c>
      <c r="C778" s="10">
        <v>23.731999999999999</v>
      </c>
      <c r="D778" s="23">
        <f t="shared" si="75"/>
        <v>-3.5223670306445934E-3</v>
      </c>
      <c r="E778" s="11">
        <f t="shared" si="76"/>
        <v>-1.3345528624288092E-2</v>
      </c>
      <c r="F778" s="24">
        <f>(B778-$B$2)/$B$2</f>
        <v>0.29592304168575362</v>
      </c>
      <c r="G778" s="11">
        <f t="shared" si="77"/>
        <v>0.31508367505264323</v>
      </c>
      <c r="H778" s="25">
        <f t="shared" si="72"/>
        <v>83.444294623293445</v>
      </c>
      <c r="I778" s="26">
        <f>MAX($B$2:B778)</f>
        <v>2069.4</v>
      </c>
      <c r="J778" s="27">
        <f t="shared" si="73"/>
        <v>-4.3055958248767824E-2</v>
      </c>
      <c r="K778" s="10">
        <f>MAX($C$2:C778)</f>
        <v>29.440999999999999</v>
      </c>
      <c r="L778" s="11">
        <f t="shared" si="74"/>
        <v>-0.19391325022927211</v>
      </c>
    </row>
    <row r="779" spans="1:12" x14ac:dyDescent="0.35">
      <c r="A779" s="5" t="s">
        <v>1785</v>
      </c>
      <c r="B779" s="22">
        <v>2001.6</v>
      </c>
      <c r="C779" s="10">
        <v>23.989000000000001</v>
      </c>
      <c r="D779" s="23">
        <f t="shared" si="75"/>
        <v>1.0755946068777436E-2</v>
      </c>
      <c r="E779" s="11">
        <f t="shared" si="76"/>
        <v>1.0829260070790556E-2</v>
      </c>
      <c r="F779" s="24">
        <f>(B779-$B$2)/$B$2</f>
        <v>0.30986192003141155</v>
      </c>
      <c r="G779" s="11">
        <f t="shared" si="77"/>
        <v>0.32932505818463936</v>
      </c>
      <c r="H779" s="25">
        <f t="shared" si="72"/>
        <v>83.438242527825253</v>
      </c>
      <c r="I779" s="26">
        <f>MAX($B$2:B779)</f>
        <v>2069.4</v>
      </c>
      <c r="J779" s="27">
        <f t="shared" si="73"/>
        <v>-3.2763119744853665E-2</v>
      </c>
      <c r="K779" s="10">
        <f>MAX($C$2:C779)</f>
        <v>29.440999999999999</v>
      </c>
      <c r="L779" s="11">
        <f t="shared" si="74"/>
        <v>-0.18518392717638663</v>
      </c>
    </row>
    <row r="780" spans="1:12" x14ac:dyDescent="0.35">
      <c r="A780" s="5" t="s">
        <v>1787</v>
      </c>
      <c r="B780" s="22">
        <v>1992.8</v>
      </c>
      <c r="C780" s="10">
        <v>23.808</v>
      </c>
      <c r="D780" s="23">
        <f t="shared" si="75"/>
        <v>-4.3964828137489781E-3</v>
      </c>
      <c r="E780" s="11">
        <f t="shared" si="76"/>
        <v>-7.5451248488891129E-3</v>
      </c>
      <c r="F780" s="24">
        <f>(B780-$B$2)/$B$2</f>
        <v>0.30410313461160926</v>
      </c>
      <c r="G780" s="11">
        <f t="shared" si="77"/>
        <v>0.31929513465587944</v>
      </c>
      <c r="H780" s="25">
        <f t="shared" si="72"/>
        <v>83.702956989247312</v>
      </c>
      <c r="I780" s="26">
        <f>MAX($B$2:B780)</f>
        <v>2069.4</v>
      </c>
      <c r="J780" s="27">
        <f t="shared" si="73"/>
        <v>-3.7015560065719599E-2</v>
      </c>
      <c r="K780" s="10">
        <f>MAX($C$2:C780)</f>
        <v>29.440999999999999</v>
      </c>
      <c r="L780" s="11">
        <f t="shared" si="74"/>
        <v>-0.19133181617472231</v>
      </c>
    </row>
    <row r="781" spans="1:12" x14ac:dyDescent="0.35">
      <c r="A781" s="5" t="s">
        <v>1788</v>
      </c>
      <c r="B781" s="22">
        <v>2012.4</v>
      </c>
      <c r="C781" s="10">
        <v>24.803000000000001</v>
      </c>
      <c r="D781" s="23">
        <f t="shared" si="75"/>
        <v>9.8354074668808387E-3</v>
      </c>
      <c r="E781" s="11">
        <f t="shared" si="76"/>
        <v>4.1792674731182838E-2</v>
      </c>
      <c r="F781" s="24">
        <f>(B781-$B$2)/$B$2</f>
        <v>0.31692952031935095</v>
      </c>
      <c r="G781" s="11">
        <f t="shared" si="77"/>
        <v>0.37443200709298469</v>
      </c>
      <c r="H781" s="25">
        <f t="shared" si="72"/>
        <v>81.135346530661622</v>
      </c>
      <c r="I781" s="26">
        <f>MAX($B$2:B781)</f>
        <v>2069.4</v>
      </c>
      <c r="J781" s="27">
        <f t="shared" si="73"/>
        <v>-2.7544215714699911E-2</v>
      </c>
      <c r="K781" s="10">
        <f>MAX($C$2:C781)</f>
        <v>29.440999999999999</v>
      </c>
      <c r="L781" s="11">
        <f t="shared" si="74"/>
        <v>-0.1575354098026561</v>
      </c>
    </row>
    <row r="782" spans="1:12" x14ac:dyDescent="0.35">
      <c r="A782" s="5" t="s">
        <v>1790</v>
      </c>
      <c r="B782" s="22">
        <v>2040</v>
      </c>
      <c r="C782" s="10">
        <v>25.065999999999999</v>
      </c>
      <c r="D782" s="23">
        <f t="shared" si="75"/>
        <v>1.371496720333925E-2</v>
      </c>
      <c r="E782" s="11">
        <f t="shared" si="76"/>
        <v>1.0603556021448942E-2</v>
      </c>
      <c r="F782" s="24">
        <f>(B782-$B$2)/$B$2</f>
        <v>0.33499116549964014</v>
      </c>
      <c r="G782" s="11">
        <f t="shared" si="77"/>
        <v>0.38900587387786767</v>
      </c>
      <c r="H782" s="25">
        <f t="shared" si="72"/>
        <v>81.385143221894197</v>
      </c>
      <c r="I782" s="26">
        <f>MAX($B$2:B782)</f>
        <v>2069.4</v>
      </c>
      <c r="J782" s="27">
        <f t="shared" si="73"/>
        <v>-1.4207016526529472E-2</v>
      </c>
      <c r="K782" s="10">
        <f>MAX($C$2:C782)</f>
        <v>29.440999999999999</v>
      </c>
      <c r="L782" s="11">
        <f t="shared" si="74"/>
        <v>-0.14860228932441155</v>
      </c>
    </row>
    <row r="783" spans="1:12" x14ac:dyDescent="0.35">
      <c r="A783" s="5" t="s">
        <v>1792</v>
      </c>
      <c r="B783" s="22">
        <v>2057.5</v>
      </c>
      <c r="C783" s="10">
        <v>25.341999999999999</v>
      </c>
      <c r="D783" s="23">
        <f t="shared" si="75"/>
        <v>8.5784313725490204E-3</v>
      </c>
      <c r="E783" s="11">
        <f t="shared" si="76"/>
        <v>1.1010931141785679E-2</v>
      </c>
      <c r="F783" s="24">
        <f>(B783-$B$2)/$B$2</f>
        <v>0.34644329559583803</v>
      </c>
      <c r="G783" s="11">
        <f t="shared" si="77"/>
        <v>0.40430012191067272</v>
      </c>
      <c r="H783" s="25">
        <f t="shared" si="72"/>
        <v>81.18932996606425</v>
      </c>
      <c r="I783" s="26">
        <f>MAX($B$2:B783)</f>
        <v>2069.4</v>
      </c>
      <c r="J783" s="27">
        <f t="shared" si="73"/>
        <v>-5.7504590702619554E-3</v>
      </c>
      <c r="K783" s="10">
        <f>MAX($C$2:C783)</f>
        <v>29.440999999999999</v>
      </c>
      <c r="L783" s="11">
        <f t="shared" si="74"/>
        <v>-0.13922760775788867</v>
      </c>
    </row>
    <row r="784" spans="1:12" x14ac:dyDescent="0.35">
      <c r="A784" s="5" t="s">
        <v>1794</v>
      </c>
      <c r="B784" s="22">
        <v>2047.6</v>
      </c>
      <c r="C784" s="10">
        <v>25.541</v>
      </c>
      <c r="D784" s="23">
        <f t="shared" si="75"/>
        <v>-4.8116646415553299E-3</v>
      </c>
      <c r="E784" s="11">
        <f t="shared" si="76"/>
        <v>7.8525767500592543E-3</v>
      </c>
      <c r="F784" s="24">
        <f>(B784-$B$2)/$B$2</f>
        <v>0.33996466199856035</v>
      </c>
      <c r="G784" s="11">
        <f t="shared" si="77"/>
        <v>0.41532749639809385</v>
      </c>
      <c r="H784" s="25">
        <f t="shared" si="72"/>
        <v>80.169139814416027</v>
      </c>
      <c r="I784" s="26">
        <f>MAX($B$2:B784)</f>
        <v>2069.4</v>
      </c>
      <c r="J784" s="27">
        <f t="shared" si="73"/>
        <v>-1.0534454431236195E-2</v>
      </c>
      <c r="K784" s="10">
        <f>MAX($C$2:C784)</f>
        <v>29.440999999999999</v>
      </c>
      <c r="L784" s="11">
        <f t="shared" si="74"/>
        <v>-0.13246832648347537</v>
      </c>
    </row>
    <row r="785" spans="1:12" x14ac:dyDescent="0.35">
      <c r="A785" s="5" t="s">
        <v>1796</v>
      </c>
      <c r="B785" s="22">
        <v>2032.9</v>
      </c>
      <c r="C785" s="10">
        <v>24.786000000000001</v>
      </c>
      <c r="D785" s="23">
        <f t="shared" si="75"/>
        <v>-7.1791365501073547E-3</v>
      </c>
      <c r="E785" s="11">
        <f t="shared" si="76"/>
        <v>-2.9560314787987901E-2</v>
      </c>
      <c r="F785" s="24">
        <f>(B785-$B$2)/$B$2</f>
        <v>0.3303448727177542</v>
      </c>
      <c r="G785" s="11">
        <f t="shared" si="77"/>
        <v>0.37348997007647139</v>
      </c>
      <c r="H785" s="25">
        <f t="shared" si="72"/>
        <v>82.018074719599767</v>
      </c>
      <c r="I785" s="26">
        <f>MAX($B$2:B785)</f>
        <v>2069.4</v>
      </c>
      <c r="J785" s="27">
        <f t="shared" si="73"/>
        <v>-1.7637962694500822E-2</v>
      </c>
      <c r="K785" s="10">
        <f>MAX($C$2:C785)</f>
        <v>29.440999999999999</v>
      </c>
      <c r="L785" s="11">
        <f t="shared" si="74"/>
        <v>-0.1581128358411738</v>
      </c>
    </row>
    <row r="786" spans="1:12" x14ac:dyDescent="0.35">
      <c r="A786" s="5" t="s">
        <v>1798</v>
      </c>
      <c r="B786" s="22">
        <v>2026.9</v>
      </c>
      <c r="C786" s="10">
        <v>24.43</v>
      </c>
      <c r="D786" s="23">
        <f t="shared" si="75"/>
        <v>-2.9514486693885582E-3</v>
      </c>
      <c r="E786" s="11">
        <f t="shared" si="76"/>
        <v>-1.4362946824820529E-2</v>
      </c>
      <c r="F786" s="24">
        <f>(B786-$B$2)/$B$2</f>
        <v>0.32641842811334348</v>
      </c>
      <c r="G786" s="11">
        <f t="shared" si="77"/>
        <v>0.35376260667183868</v>
      </c>
      <c r="H786" s="25">
        <f t="shared" si="72"/>
        <v>82.967662709783056</v>
      </c>
      <c r="I786" s="26">
        <f>MAX($B$2:B786)</f>
        <v>2069.4</v>
      </c>
      <c r="J786" s="27">
        <f t="shared" si="73"/>
        <v>-2.053735382236397E-2</v>
      </c>
      <c r="K786" s="10">
        <f>MAX($C$2:C786)</f>
        <v>29.440999999999999</v>
      </c>
      <c r="L786" s="11">
        <f t="shared" si="74"/>
        <v>-0.17020481641248597</v>
      </c>
    </row>
    <row r="787" spans="1:12" x14ac:dyDescent="0.35">
      <c r="A787" s="5" t="s">
        <v>1800</v>
      </c>
      <c r="B787" s="22">
        <v>2038.4</v>
      </c>
      <c r="C787" s="10">
        <v>24.111999999999998</v>
      </c>
      <c r="D787" s="23">
        <f t="shared" si="75"/>
        <v>5.6736888845034285E-3</v>
      </c>
      <c r="E787" s="11">
        <f t="shared" si="76"/>
        <v>-1.3016782644289866E-2</v>
      </c>
      <c r="F787" s="24">
        <f>(B787-$B$2)/$B$2</f>
        <v>0.33394411360513071</v>
      </c>
      <c r="G787" s="11">
        <f t="shared" si="77"/>
        <v>0.33614097306882407</v>
      </c>
      <c r="H787" s="25">
        <f t="shared" si="72"/>
        <v>84.538818845388192</v>
      </c>
      <c r="I787" s="26">
        <f>MAX($B$2:B787)</f>
        <v>2069.4</v>
      </c>
      <c r="J787" s="27">
        <f t="shared" si="73"/>
        <v>-1.4980187493959601E-2</v>
      </c>
      <c r="K787" s="10">
        <f>MAX($C$2:C787)</f>
        <v>29.440999999999999</v>
      </c>
      <c r="L787" s="11">
        <f t="shared" si="74"/>
        <v>-0.18100607995652324</v>
      </c>
    </row>
    <row r="788" spans="1:12" x14ac:dyDescent="0.35">
      <c r="A788" s="5" t="s">
        <v>1802</v>
      </c>
      <c r="B788" s="22">
        <v>2036.9</v>
      </c>
      <c r="C788" s="10">
        <v>23.942</v>
      </c>
      <c r="D788" s="23">
        <f t="shared" si="75"/>
        <v>-7.3587127158555724E-4</v>
      </c>
      <c r="E788" s="11">
        <f t="shared" si="76"/>
        <v>-7.0504313205042371E-3</v>
      </c>
      <c r="F788" s="24">
        <f>(B788-$B$2)/$B$2</f>
        <v>0.33296250245402803</v>
      </c>
      <c r="G788" s="11">
        <f t="shared" si="77"/>
        <v>0.32672060290369065</v>
      </c>
      <c r="H788" s="25">
        <f t="shared" si="72"/>
        <v>85.076434717233312</v>
      </c>
      <c r="I788" s="26">
        <f>MAX($B$2:B788)</f>
        <v>2069.4</v>
      </c>
      <c r="J788" s="27">
        <f t="shared" si="73"/>
        <v>-1.5705035275925389E-2</v>
      </c>
      <c r="K788" s="10">
        <f>MAX($C$2:C788)</f>
        <v>29.440999999999999</v>
      </c>
      <c r="L788" s="11">
        <f t="shared" si="74"/>
        <v>-0.18678034034170032</v>
      </c>
    </row>
    <row r="789" spans="1:12" x14ac:dyDescent="0.35">
      <c r="A789" s="5" t="s">
        <v>1804</v>
      </c>
      <c r="B789" s="22">
        <v>1984.3</v>
      </c>
      <c r="C789" s="10">
        <v>22.952999999999999</v>
      </c>
      <c r="D789" s="23">
        <f t="shared" si="75"/>
        <v>-2.5823555402818072E-2</v>
      </c>
      <c r="E789" s="11">
        <f t="shared" si="76"/>
        <v>-4.1308161390025924E-2</v>
      </c>
      <c r="F789" s="24">
        <f>(B789-$B$2)/$B$2</f>
        <v>0.29854067142202739</v>
      </c>
      <c r="G789" s="11">
        <f t="shared" si="77"/>
        <v>0.27191621411947248</v>
      </c>
      <c r="H789" s="25">
        <f t="shared" si="72"/>
        <v>86.450572909859275</v>
      </c>
      <c r="I789" s="26">
        <f>MAX($B$2:B789)</f>
        <v>2069.4</v>
      </c>
      <c r="J789" s="27">
        <f t="shared" si="73"/>
        <v>-4.1123030830192392E-2</v>
      </c>
      <c r="K789" s="10">
        <f>MAX($C$2:C789)</f>
        <v>29.440999999999999</v>
      </c>
      <c r="L789" s="11">
        <f t="shared" si="74"/>
        <v>-0.22037294928840731</v>
      </c>
    </row>
    <row r="790" spans="1:12" x14ac:dyDescent="0.35">
      <c r="A790" s="5" t="s">
        <v>1806</v>
      </c>
      <c r="B790" s="22">
        <v>1983.9</v>
      </c>
      <c r="C790" s="10">
        <v>22.905999999999999</v>
      </c>
      <c r="D790" s="23">
        <f t="shared" si="75"/>
        <v>-2.0158242201273174E-4</v>
      </c>
      <c r="E790" s="11">
        <f t="shared" si="76"/>
        <v>-2.0476626149087524E-3</v>
      </c>
      <c r="F790" s="24">
        <f>(B790-$B$2)/$B$2</f>
        <v>0.2982789084484001</v>
      </c>
      <c r="G790" s="11">
        <f t="shared" si="77"/>
        <v>0.26931175883852376</v>
      </c>
      <c r="H790" s="25">
        <f t="shared" si="72"/>
        <v>86.610495066794741</v>
      </c>
      <c r="I790" s="26">
        <f>MAX($B$2:B790)</f>
        <v>2069.4</v>
      </c>
      <c r="J790" s="27">
        <f t="shared" si="73"/>
        <v>-4.1316323572049868E-2</v>
      </c>
      <c r="K790" s="10">
        <f>MAX($C$2:C790)</f>
        <v>29.440999999999999</v>
      </c>
      <c r="L790" s="11">
        <f t="shared" si="74"/>
        <v>-0.22196936245372101</v>
      </c>
    </row>
    <row r="791" spans="1:12" x14ac:dyDescent="0.35">
      <c r="A791" s="5" t="s">
        <v>1808</v>
      </c>
      <c r="B791" s="22">
        <v>1988.1</v>
      </c>
      <c r="C791" s="10">
        <v>22.815000000000001</v>
      </c>
      <c r="D791" s="23">
        <f t="shared" si="75"/>
        <v>2.1170421896264014E-3</v>
      </c>
      <c r="E791" s="11">
        <f t="shared" si="76"/>
        <v>-3.9727582292847959E-3</v>
      </c>
      <c r="F791" s="24">
        <f>(B791-$B$2)/$B$2</f>
        <v>0.3010274196714875</v>
      </c>
      <c r="G791" s="11">
        <f t="shared" si="77"/>
        <v>0.26426909010307004</v>
      </c>
      <c r="H791" s="25">
        <f t="shared" si="72"/>
        <v>87.140039447731752</v>
      </c>
      <c r="I791" s="26">
        <f>MAX($B$2:B791)</f>
        <v>2069.4</v>
      </c>
      <c r="J791" s="27">
        <f t="shared" si="73"/>
        <v>-3.9286749782545753E-2</v>
      </c>
      <c r="K791" s="10">
        <f>MAX($C$2:C791)</f>
        <v>29.440999999999999</v>
      </c>
      <c r="L791" s="11">
        <f t="shared" si="74"/>
        <v>-0.22506029007166869</v>
      </c>
    </row>
    <row r="792" spans="1:12" x14ac:dyDescent="0.35">
      <c r="A792" s="5" t="s">
        <v>1810</v>
      </c>
      <c r="B792" s="22">
        <v>2035.2</v>
      </c>
      <c r="C792" s="10">
        <v>24.273</v>
      </c>
      <c r="D792" s="23">
        <f t="shared" si="75"/>
        <v>2.3690961219254635E-2</v>
      </c>
      <c r="E792" s="11">
        <f t="shared" si="76"/>
        <v>6.3905325443786909E-2</v>
      </c>
      <c r="F792" s="24">
        <f>(B792-$B$2)/$B$2</f>
        <v>0.33185000981611162</v>
      </c>
      <c r="G792" s="11">
        <f t="shared" si="77"/>
        <v>0.3450626177546271</v>
      </c>
      <c r="H792" s="25">
        <f t="shared" si="72"/>
        <v>83.846248918551481</v>
      </c>
      <c r="I792" s="26">
        <f>MAX($B$2:B792)</f>
        <v>2069.4</v>
      </c>
      <c r="J792" s="27">
        <f t="shared" si="73"/>
        <v>-1.6526529428819971E-2</v>
      </c>
      <c r="K792" s="10">
        <f>MAX($C$2:C792)</f>
        <v>29.440999999999999</v>
      </c>
      <c r="L792" s="11">
        <f t="shared" si="74"/>
        <v>-0.17553751570938486</v>
      </c>
    </row>
    <row r="793" spans="1:12" x14ac:dyDescent="0.35">
      <c r="A793" s="5" t="s">
        <v>1812</v>
      </c>
      <c r="B793" s="22">
        <v>2030.9</v>
      </c>
      <c r="C793" s="10">
        <v>23.994</v>
      </c>
      <c r="D793" s="23">
        <f t="shared" si="75"/>
        <v>-2.1128144654087824E-3</v>
      </c>
      <c r="E793" s="11">
        <f t="shared" si="76"/>
        <v>-1.1494252873563215E-2</v>
      </c>
      <c r="F793" s="24">
        <f>(B793-$B$2)/$B$2</f>
        <v>0.32903605784961731</v>
      </c>
      <c r="G793" s="11">
        <f t="shared" si="77"/>
        <v>0.32960212789537852</v>
      </c>
      <c r="H793" s="25">
        <f t="shared" si="72"/>
        <v>84.641993831791282</v>
      </c>
      <c r="I793" s="26">
        <f>MAX($B$2:B793)</f>
        <v>2069.4</v>
      </c>
      <c r="J793" s="27">
        <f t="shared" si="73"/>
        <v>-1.8604426403788538E-2</v>
      </c>
      <c r="K793" s="10">
        <f>MAX($C$2:C793)</f>
        <v>29.440999999999999</v>
      </c>
      <c r="L793" s="11">
        <f t="shared" si="74"/>
        <v>-0.18501409598858731</v>
      </c>
    </row>
    <row r="794" spans="1:12" x14ac:dyDescent="0.35">
      <c r="A794" s="5" t="s">
        <v>1814</v>
      </c>
      <c r="B794" s="22">
        <v>2042.6</v>
      </c>
      <c r="C794" s="10">
        <v>24.206</v>
      </c>
      <c r="D794" s="23">
        <f t="shared" si="75"/>
        <v>5.7609926633511339E-3</v>
      </c>
      <c r="E794" s="11">
        <f t="shared" si="76"/>
        <v>8.8355422188880449E-3</v>
      </c>
      <c r="F794" s="24">
        <f>(B794-$B$2)/$B$2</f>
        <v>0.33669262482821805</v>
      </c>
      <c r="G794" s="11">
        <f t="shared" si="77"/>
        <v>0.3413498836307215</v>
      </c>
      <c r="H794" s="25">
        <f t="shared" si="72"/>
        <v>84.384037015615959</v>
      </c>
      <c r="I794" s="26">
        <f>MAX($B$2:B794)</f>
        <v>2069.4</v>
      </c>
      <c r="J794" s="27">
        <f t="shared" si="73"/>
        <v>-1.2950613704455485E-2</v>
      </c>
      <c r="K794" s="10">
        <f>MAX($C$2:C794)</f>
        <v>29.440999999999999</v>
      </c>
      <c r="L794" s="11">
        <f t="shared" si="74"/>
        <v>-0.17781325362589584</v>
      </c>
    </row>
    <row r="795" spans="1:12" x14ac:dyDescent="0.35">
      <c r="A795" s="5" t="s">
        <v>1816</v>
      </c>
      <c r="B795" s="22">
        <v>2038.1</v>
      </c>
      <c r="C795" s="10">
        <v>24.515999999999998</v>
      </c>
      <c r="D795" s="23">
        <f t="shared" si="75"/>
        <v>-2.2030745128757468E-3</v>
      </c>
      <c r="E795" s="11">
        <f t="shared" si="76"/>
        <v>1.2806742130050348E-2</v>
      </c>
      <c r="F795" s="24">
        <f>(B795-$B$2)/$B$2</f>
        <v>0.33374779137491006</v>
      </c>
      <c r="G795" s="11">
        <f t="shared" si="77"/>
        <v>0.35852820569655319</v>
      </c>
      <c r="H795" s="25">
        <f t="shared" si="72"/>
        <v>83.133463860336107</v>
      </c>
      <c r="I795" s="26">
        <f>MAX($B$2:B795)</f>
        <v>2069.4</v>
      </c>
      <c r="J795" s="27">
        <f t="shared" si="73"/>
        <v>-1.5125157050352847E-2</v>
      </c>
      <c r="K795" s="10">
        <f>MAX($C$2:C795)</f>
        <v>29.440999999999999</v>
      </c>
      <c r="L795" s="11">
        <f t="shared" si="74"/>
        <v>-0.1672837199823376</v>
      </c>
    </row>
    <row r="796" spans="1:12" x14ac:dyDescent="0.35">
      <c r="A796" s="5" t="s">
        <v>1818</v>
      </c>
      <c r="B796" s="22">
        <v>2041.8</v>
      </c>
      <c r="C796" s="10">
        <v>24.468</v>
      </c>
      <c r="D796" s="23">
        <f t="shared" si="75"/>
        <v>1.8154163191207722E-3</v>
      </c>
      <c r="E796" s="11">
        <f t="shared" si="76"/>
        <v>-1.9579050416054116E-3</v>
      </c>
      <c r="F796" s="24">
        <f>(B796-$B$2)/$B$2</f>
        <v>0.33616909888096336</v>
      </c>
      <c r="G796" s="11">
        <f t="shared" si="77"/>
        <v>0.35586833647345678</v>
      </c>
      <c r="H796" s="25">
        <f t="shared" si="72"/>
        <v>83.447768513977437</v>
      </c>
      <c r="I796" s="26">
        <f>MAX($B$2:B796)</f>
        <v>2069.4</v>
      </c>
      <c r="J796" s="27">
        <f t="shared" si="73"/>
        <v>-1.333719918817055E-2</v>
      </c>
      <c r="K796" s="10">
        <f>MAX($C$2:C796)</f>
        <v>29.440999999999999</v>
      </c>
      <c r="L796" s="11">
        <f t="shared" si="74"/>
        <v>-0.16891409938521107</v>
      </c>
    </row>
    <row r="797" spans="1:12" x14ac:dyDescent="0.35">
      <c r="A797" s="5" t="s">
        <v>1820</v>
      </c>
      <c r="B797" s="22">
        <v>2060.4</v>
      </c>
      <c r="C797" s="10">
        <v>24.285</v>
      </c>
      <c r="D797" s="23">
        <f t="shared" si="75"/>
        <v>9.1096091683809076E-3</v>
      </c>
      <c r="E797" s="11">
        <f t="shared" si="76"/>
        <v>-7.4791564492398162E-3</v>
      </c>
      <c r="F797" s="24">
        <f>(B797-$B$2)/$B$2</f>
        <v>0.34834107715463664</v>
      </c>
      <c r="G797" s="11">
        <f t="shared" si="77"/>
        <v>0.34572758506040124</v>
      </c>
      <c r="H797" s="25">
        <f t="shared" si="72"/>
        <v>84.842495367510807</v>
      </c>
      <c r="I797" s="26">
        <f>MAX($B$2:B797)</f>
        <v>2069.4</v>
      </c>
      <c r="J797" s="27">
        <f t="shared" si="73"/>
        <v>-4.3490866917947233E-3</v>
      </c>
      <c r="K797" s="10">
        <f>MAX($C$2:C797)</f>
        <v>29.440999999999999</v>
      </c>
      <c r="L797" s="11">
        <f t="shared" si="74"/>
        <v>-0.17512992085866644</v>
      </c>
    </row>
    <row r="798" spans="1:12" x14ac:dyDescent="0.35">
      <c r="A798" s="5" t="s">
        <v>1822</v>
      </c>
      <c r="B798" s="22">
        <v>2083.4</v>
      </c>
      <c r="C798" s="10">
        <v>24.526</v>
      </c>
      <c r="D798" s="23">
        <f t="shared" si="75"/>
        <v>1.1162880993981751E-2</v>
      </c>
      <c r="E798" s="11">
        <f t="shared" si="76"/>
        <v>9.9238212888614237E-3</v>
      </c>
      <c r="F798" s="24">
        <f>(B798-$B$2)/$B$2</f>
        <v>0.36339244813821098</v>
      </c>
      <c r="G798" s="11">
        <f t="shared" si="77"/>
        <v>0.35908234511803172</v>
      </c>
      <c r="H798" s="25">
        <f t="shared" si="72"/>
        <v>84.946587295115393</v>
      </c>
      <c r="I798" s="26">
        <f>MAX($B$2:B798)</f>
        <v>2083.4</v>
      </c>
      <c r="J798" s="27">
        <f t="shared" si="73"/>
        <v>0</v>
      </c>
      <c r="K798" s="10">
        <f>MAX($C$2:C798)</f>
        <v>29.440999999999999</v>
      </c>
      <c r="L798" s="11">
        <f t="shared" si="74"/>
        <v>-0.16694405760673889</v>
      </c>
    </row>
    <row r="799" spans="1:12" x14ac:dyDescent="0.35">
      <c r="A799" s="5" t="s">
        <v>1824</v>
      </c>
      <c r="B799" s="22">
        <v>2083.5</v>
      </c>
      <c r="C799" s="10">
        <v>24.372</v>
      </c>
      <c r="D799" s="23">
        <f t="shared" si="75"/>
        <v>4.7998464049106768E-5</v>
      </c>
      <c r="E799" s="11">
        <f t="shared" si="76"/>
        <v>-6.2790508032292223E-3</v>
      </c>
      <c r="F799" s="24">
        <f>(B799-$B$2)/$B$2</f>
        <v>0.36345788888161779</v>
      </c>
      <c r="G799" s="11">
        <f t="shared" si="77"/>
        <v>0.35054859802726368</v>
      </c>
      <c r="H799" s="25">
        <f t="shared" si="72"/>
        <v>85.487444608567202</v>
      </c>
      <c r="I799" s="26">
        <f>MAX($B$2:B799)</f>
        <v>2083.5</v>
      </c>
      <c r="J799" s="27">
        <f t="shared" si="73"/>
        <v>0</v>
      </c>
      <c r="K799" s="10">
        <f>MAX($C$2:C799)</f>
        <v>29.440999999999999</v>
      </c>
      <c r="L799" s="11">
        <f t="shared" si="74"/>
        <v>-0.17217485819095815</v>
      </c>
    </row>
    <row r="800" spans="1:12" x14ac:dyDescent="0.35">
      <c r="A800" s="5" t="s">
        <v>1826</v>
      </c>
      <c r="B800" s="22">
        <v>2073.4</v>
      </c>
      <c r="C800" s="10">
        <v>23.952999999999999</v>
      </c>
      <c r="D800" s="23">
        <f t="shared" si="75"/>
        <v>-4.8476121910246747E-3</v>
      </c>
      <c r="E800" s="11">
        <f t="shared" si="76"/>
        <v>-1.7191859510914183E-2</v>
      </c>
      <c r="F800" s="24">
        <f>(B800-$B$2)/$B$2</f>
        <v>0.35684837379752649</v>
      </c>
      <c r="G800" s="11">
        <f t="shared" si="77"/>
        <v>0.32733015626731687</v>
      </c>
      <c r="H800" s="25">
        <f t="shared" si="72"/>
        <v>86.561182315367603</v>
      </c>
      <c r="I800" s="26">
        <f>MAX($B$2:B800)</f>
        <v>2083.5</v>
      </c>
      <c r="J800" s="27">
        <f t="shared" si="73"/>
        <v>-4.8476121910246747E-3</v>
      </c>
      <c r="K800" s="10">
        <f>MAX($C$2:C800)</f>
        <v>29.440999999999999</v>
      </c>
      <c r="L800" s="11">
        <f t="shared" si="74"/>
        <v>-0.18640671172854181</v>
      </c>
    </row>
    <row r="801" spans="1:12" x14ac:dyDescent="0.35">
      <c r="A801" s="5" t="s">
        <v>1828</v>
      </c>
      <c r="B801" s="22">
        <v>2042.8</v>
      </c>
      <c r="C801" s="10">
        <v>23.157</v>
      </c>
      <c r="D801" s="23">
        <f t="shared" si="75"/>
        <v>-1.4758367898138388E-2</v>
      </c>
      <c r="E801" s="11">
        <f t="shared" si="76"/>
        <v>-3.323174550160729E-2</v>
      </c>
      <c r="F801" s="24">
        <f>(B801-$B$2)/$B$2</f>
        <v>0.33682350631503177</v>
      </c>
      <c r="G801" s="11">
        <f t="shared" si="77"/>
        <v>0.28322065831763277</v>
      </c>
      <c r="H801" s="25">
        <f t="shared" si="72"/>
        <v>88.215226497387391</v>
      </c>
      <c r="I801" s="26">
        <f>MAX($B$2:B801)</f>
        <v>2083.5</v>
      </c>
      <c r="J801" s="27">
        <f t="shared" si="73"/>
        <v>-1.9534437245020419E-2</v>
      </c>
      <c r="K801" s="10">
        <f>MAX($C$2:C801)</f>
        <v>29.440999999999999</v>
      </c>
      <c r="L801" s="11">
        <f t="shared" si="74"/>
        <v>-0.21344383682619472</v>
      </c>
    </row>
    <row r="802" spans="1:12" x14ac:dyDescent="0.35">
      <c r="A802" s="5" t="s">
        <v>1830</v>
      </c>
      <c r="B802" s="22">
        <v>2050</v>
      </c>
      <c r="C802" s="10">
        <v>23.187000000000001</v>
      </c>
      <c r="D802" s="23">
        <f t="shared" si="75"/>
        <v>3.5245741139612518E-3</v>
      </c>
      <c r="E802" s="11">
        <f t="shared" si="76"/>
        <v>1.2955045990413756E-3</v>
      </c>
      <c r="F802" s="24">
        <f>(B802-$B$2)/$B$2</f>
        <v>0.34153523984032469</v>
      </c>
      <c r="G802" s="11">
        <f t="shared" si="77"/>
        <v>0.28488307658206818</v>
      </c>
      <c r="H802" s="25">
        <f t="shared" si="72"/>
        <v>88.411609953853443</v>
      </c>
      <c r="I802" s="26">
        <f>MAX($B$2:B802)</f>
        <v>2083.5</v>
      </c>
      <c r="J802" s="27">
        <f t="shared" si="73"/>
        <v>-1.6078713702903768E-2</v>
      </c>
      <c r="K802" s="10">
        <f>MAX($C$2:C802)</f>
        <v>29.440999999999999</v>
      </c>
      <c r="L802" s="11">
        <f t="shared" si="74"/>
        <v>-0.21242484969939873</v>
      </c>
    </row>
    <row r="803" spans="1:12" x14ac:dyDescent="0.35">
      <c r="A803" s="5" t="s">
        <v>1832</v>
      </c>
      <c r="B803" s="22">
        <v>2033.5</v>
      </c>
      <c r="C803" s="10">
        <v>23.31</v>
      </c>
      <c r="D803" s="23">
        <f t="shared" si="75"/>
        <v>-8.0487804878048783E-3</v>
      </c>
      <c r="E803" s="11">
        <f t="shared" si="76"/>
        <v>5.3046965972311016E-3</v>
      </c>
      <c r="F803" s="24">
        <f>(B803-$B$2)/$B$2</f>
        <v>0.33073751717819522</v>
      </c>
      <c r="G803" s="11">
        <f t="shared" si="77"/>
        <v>0.29169899146625289</v>
      </c>
      <c r="H803" s="25">
        <f t="shared" si="72"/>
        <v>87.237237237237238</v>
      </c>
      <c r="I803" s="26">
        <f>MAX($B$2:B803)</f>
        <v>2083.5</v>
      </c>
      <c r="J803" s="27">
        <f t="shared" si="73"/>
        <v>-2.3998080153587713E-2</v>
      </c>
      <c r="K803" s="10">
        <f>MAX($C$2:C803)</f>
        <v>29.440999999999999</v>
      </c>
      <c r="L803" s="11">
        <f t="shared" si="74"/>
        <v>-0.20824700247953537</v>
      </c>
    </row>
    <row r="804" spans="1:12" x14ac:dyDescent="0.35">
      <c r="A804" s="5" t="s">
        <v>1834</v>
      </c>
      <c r="B804" s="22">
        <v>2033</v>
      </c>
      <c r="C804" s="10">
        <v>23.091000000000001</v>
      </c>
      <c r="D804" s="23">
        <f t="shared" si="75"/>
        <v>-2.4588148512417015E-4</v>
      </c>
      <c r="E804" s="11">
        <f t="shared" si="76"/>
        <v>-9.3951093951092947E-3</v>
      </c>
      <c r="F804" s="24">
        <f>(B804-$B$2)/$B$2</f>
        <v>0.33041031346116101</v>
      </c>
      <c r="G804" s="11">
        <f t="shared" si="77"/>
        <v>0.27956333813587508</v>
      </c>
      <c r="H804" s="25">
        <f t="shared" si="72"/>
        <v>88.042960460785579</v>
      </c>
      <c r="I804" s="26">
        <f>MAX($B$2:B804)</f>
        <v>2083.5</v>
      </c>
      <c r="J804" s="27">
        <f t="shared" si="73"/>
        <v>-2.423806095512359E-2</v>
      </c>
      <c r="K804" s="10">
        <f>MAX($C$2:C804)</f>
        <v>29.440999999999999</v>
      </c>
      <c r="L804" s="11">
        <f t="shared" si="74"/>
        <v>-0.21568560850514581</v>
      </c>
    </row>
    <row r="805" spans="1:12" x14ac:dyDescent="0.35">
      <c r="A805" s="5" t="s">
        <v>1836</v>
      </c>
      <c r="B805" s="22">
        <v>2027.8</v>
      </c>
      <c r="C805" s="10">
        <v>23.065999999999999</v>
      </c>
      <c r="D805" s="23">
        <f t="shared" si="75"/>
        <v>-2.5577963600590483E-3</v>
      </c>
      <c r="E805" s="11">
        <f t="shared" si="76"/>
        <v>-1.0826729028626794E-3</v>
      </c>
      <c r="F805" s="24">
        <f>(B805-$B$2)/$B$2</f>
        <v>0.32700739480400504</v>
      </c>
      <c r="G805" s="11">
        <f t="shared" si="77"/>
        <v>0.27817798958217888</v>
      </c>
      <c r="H805" s="25">
        <f t="shared" si="72"/>
        <v>87.912945460851475</v>
      </c>
      <c r="I805" s="26">
        <f>MAX($B$2:B805)</f>
        <v>2083.5</v>
      </c>
      <c r="J805" s="27">
        <f t="shared" si="73"/>
        <v>-2.6733861291096735E-2</v>
      </c>
      <c r="K805" s="10">
        <f>MAX($C$2:C805)</f>
        <v>29.440999999999999</v>
      </c>
      <c r="L805" s="11">
        <f t="shared" si="74"/>
        <v>-0.21653476444414252</v>
      </c>
    </row>
    <row r="806" spans="1:12" x14ac:dyDescent="0.35">
      <c r="A806" s="5" t="s">
        <v>1838</v>
      </c>
      <c r="B806" s="22">
        <v>2019.2</v>
      </c>
      <c r="C806" s="10">
        <v>22.704999999999998</v>
      </c>
      <c r="D806" s="23">
        <f t="shared" si="75"/>
        <v>-4.2410494131570713E-3</v>
      </c>
      <c r="E806" s="11">
        <f t="shared" si="76"/>
        <v>-1.5650741350906126E-2</v>
      </c>
      <c r="F806" s="24">
        <f>(B806-$B$2)/$B$2</f>
        <v>0.32137949087101642</v>
      </c>
      <c r="G806" s="11">
        <f t="shared" si="77"/>
        <v>0.25817355646680701</v>
      </c>
      <c r="H806" s="25">
        <f t="shared" si="72"/>
        <v>88.931953314247977</v>
      </c>
      <c r="I806" s="26">
        <f>MAX($B$2:B806)</f>
        <v>2083.5</v>
      </c>
      <c r="J806" s="27">
        <f t="shared" si="73"/>
        <v>-3.0861531077513778E-2</v>
      </c>
      <c r="K806" s="10">
        <f>MAX($C$2:C806)</f>
        <v>29.440999999999999</v>
      </c>
      <c r="L806" s="11">
        <f t="shared" si="74"/>
        <v>-0.228796576203254</v>
      </c>
    </row>
    <row r="807" spans="1:12" x14ac:dyDescent="0.35">
      <c r="A807" s="5" t="s">
        <v>1840</v>
      </c>
      <c r="B807" s="22">
        <v>2030.2</v>
      </c>
      <c r="C807" s="10">
        <v>23.093</v>
      </c>
      <c r="D807" s="23">
        <f t="shared" si="75"/>
        <v>5.4477020602218696E-3</v>
      </c>
      <c r="E807" s="11">
        <f t="shared" si="76"/>
        <v>1.7088746972032668E-2</v>
      </c>
      <c r="F807" s="24">
        <f>(B807-$B$2)/$B$2</f>
        <v>0.32857797264576938</v>
      </c>
      <c r="G807" s="11">
        <f t="shared" si="77"/>
        <v>0.2796741660201707</v>
      </c>
      <c r="H807" s="25">
        <f t="shared" si="72"/>
        <v>87.914086519724592</v>
      </c>
      <c r="I807" s="26">
        <f>MAX($B$2:B807)</f>
        <v>2083.5</v>
      </c>
      <c r="J807" s="27">
        <f t="shared" si="73"/>
        <v>-2.5581953443724482E-2</v>
      </c>
      <c r="K807" s="10">
        <f>MAX($C$2:C807)</f>
        <v>29.440999999999999</v>
      </c>
      <c r="L807" s="11">
        <f t="shared" si="74"/>
        <v>-0.21561767603002613</v>
      </c>
    </row>
    <row r="808" spans="1:12" x14ac:dyDescent="0.35">
      <c r="A808" s="5" t="s">
        <v>1842</v>
      </c>
      <c r="B808" s="22">
        <v>2006.5</v>
      </c>
      <c r="C808" s="10">
        <v>22.669</v>
      </c>
      <c r="D808" s="23">
        <f t="shared" si="75"/>
        <v>-1.1673726726430916E-2</v>
      </c>
      <c r="E808" s="11">
        <f t="shared" si="76"/>
        <v>-1.8360542155631553E-2</v>
      </c>
      <c r="F808" s="24">
        <f>(B808-$B$2)/$B$2</f>
        <v>0.31306851645834705</v>
      </c>
      <c r="G808" s="11">
        <f t="shared" si="77"/>
        <v>0.25617865454948474</v>
      </c>
      <c r="H808" s="25">
        <f t="shared" si="72"/>
        <v>88.512947196612117</v>
      </c>
      <c r="I808" s="26">
        <f>MAX($B$2:B808)</f>
        <v>2083.5</v>
      </c>
      <c r="J808" s="27">
        <f t="shared" si="73"/>
        <v>-3.6957043436525075E-2</v>
      </c>
      <c r="K808" s="10">
        <f>MAX($C$2:C808)</f>
        <v>29.440999999999999</v>
      </c>
      <c r="L808" s="11">
        <f t="shared" si="74"/>
        <v>-0.23001936075540907</v>
      </c>
    </row>
    <row r="809" spans="1:12" x14ac:dyDescent="0.35">
      <c r="A809" s="5" t="s">
        <v>1844</v>
      </c>
      <c r="B809" s="22">
        <v>2021.6</v>
      </c>
      <c r="C809" s="10">
        <v>22.806999999999999</v>
      </c>
      <c r="D809" s="23">
        <f t="shared" si="75"/>
        <v>7.5255419885372089E-3</v>
      </c>
      <c r="E809" s="11">
        <f t="shared" si="76"/>
        <v>6.0876086285234516E-3</v>
      </c>
      <c r="F809" s="24">
        <f>(B809-$B$2)/$B$2</f>
        <v>0.32295006871278059</v>
      </c>
      <c r="G809" s="11">
        <f t="shared" si="77"/>
        <v>0.26382577856588713</v>
      </c>
      <c r="H809" s="25">
        <f t="shared" si="72"/>
        <v>88.639452799579075</v>
      </c>
      <c r="I809" s="26">
        <f>MAX($B$2:B809)</f>
        <v>2083.5</v>
      </c>
      <c r="J809" s="27">
        <f t="shared" si="73"/>
        <v>-2.9709623230141632E-2</v>
      </c>
      <c r="K809" s="10">
        <f>MAX($C$2:C809)</f>
        <v>29.440999999999999</v>
      </c>
      <c r="L809" s="11">
        <f t="shared" si="74"/>
        <v>-0.22533201997214772</v>
      </c>
    </row>
    <row r="810" spans="1:12" x14ac:dyDescent="0.35">
      <c r="A810" s="5" t="s">
        <v>1846</v>
      </c>
      <c r="B810" s="22">
        <v>2022.2</v>
      </c>
      <c r="C810" s="10">
        <v>22.295999999999999</v>
      </c>
      <c r="D810" s="23">
        <f t="shared" si="75"/>
        <v>2.9679461812432551E-4</v>
      </c>
      <c r="E810" s="11">
        <f t="shared" si="76"/>
        <v>-2.2405401850309082E-2</v>
      </c>
      <c r="F810" s="24">
        <f>(B810-$B$2)/$B$2</f>
        <v>0.32334271317322177</v>
      </c>
      <c r="G810" s="11">
        <f t="shared" si="77"/>
        <v>0.2355092541283387</v>
      </c>
      <c r="H810" s="25">
        <f t="shared" si="72"/>
        <v>90.697883028345899</v>
      </c>
      <c r="I810" s="26">
        <f>MAX($B$2:B810)</f>
        <v>2083.5</v>
      </c>
      <c r="J810" s="27">
        <f t="shared" si="73"/>
        <v>-2.9421646268298515E-2</v>
      </c>
      <c r="K810" s="10">
        <f>MAX($C$2:C810)</f>
        <v>29.440999999999999</v>
      </c>
      <c r="L810" s="11">
        <f t="shared" si="74"/>
        <v>-0.24268876736523895</v>
      </c>
    </row>
    <row r="811" spans="1:12" x14ac:dyDescent="0.35">
      <c r="A811" s="5" t="s">
        <v>1848</v>
      </c>
      <c r="B811" s="22">
        <v>2025.8</v>
      </c>
      <c r="C811" s="10">
        <v>22.462</v>
      </c>
      <c r="D811" s="23">
        <f t="shared" si="75"/>
        <v>1.7802393432894417E-3</v>
      </c>
      <c r="E811" s="11">
        <f t="shared" si="76"/>
        <v>7.4452816648726394E-3</v>
      </c>
      <c r="F811" s="24">
        <f>(B811-$B$2)/$B$2</f>
        <v>0.32569857993586809</v>
      </c>
      <c r="G811" s="11">
        <f t="shared" si="77"/>
        <v>0.24470796852488089</v>
      </c>
      <c r="H811" s="25">
        <f t="shared" si="72"/>
        <v>90.187872851927693</v>
      </c>
      <c r="I811" s="26">
        <f>MAX($B$2:B811)</f>
        <v>2083.5</v>
      </c>
      <c r="J811" s="27">
        <f t="shared" si="73"/>
        <v>-2.7693784497240241E-2</v>
      </c>
      <c r="K811" s="10">
        <f>MAX($C$2:C811)</f>
        <v>29.440999999999999</v>
      </c>
      <c r="L811" s="11">
        <f t="shared" si="74"/>
        <v>-0.23705037193030126</v>
      </c>
    </row>
    <row r="812" spans="1:12" x14ac:dyDescent="0.35">
      <c r="A812" s="5" t="s">
        <v>1850</v>
      </c>
      <c r="B812" s="22">
        <v>2016</v>
      </c>
      <c r="C812" s="10">
        <v>22.888999999999999</v>
      </c>
      <c r="D812" s="23">
        <f t="shared" si="75"/>
        <v>-4.8375950241879529E-3</v>
      </c>
      <c r="E812" s="11">
        <f t="shared" si="76"/>
        <v>1.900988335856111E-2</v>
      </c>
      <c r="F812" s="24">
        <f>(B812-$B$2)/$B$2</f>
        <v>0.31928538708199733</v>
      </c>
      <c r="G812" s="11">
        <f t="shared" si="77"/>
        <v>0.26836972182201041</v>
      </c>
      <c r="H812" s="25">
        <f t="shared" si="72"/>
        <v>88.077242343483775</v>
      </c>
      <c r="I812" s="26">
        <f>MAX($B$2:B812)</f>
        <v>2083.5</v>
      </c>
      <c r="J812" s="27">
        <f t="shared" si="73"/>
        <v>-3.2397408207343416E-2</v>
      </c>
      <c r="K812" s="10">
        <f>MAX($C$2:C812)</f>
        <v>29.440999999999999</v>
      </c>
      <c r="L812" s="11">
        <f t="shared" si="74"/>
        <v>-0.22254678849223872</v>
      </c>
    </row>
    <row r="813" spans="1:12" x14ac:dyDescent="0.35">
      <c r="A813" s="5" t="s">
        <v>1852</v>
      </c>
      <c r="B813" s="22">
        <v>2017.8</v>
      </c>
      <c r="C813" s="10">
        <v>22.927</v>
      </c>
      <c r="D813" s="23">
        <f t="shared" si="75"/>
        <v>8.9285714285712028E-4</v>
      </c>
      <c r="E813" s="11">
        <f t="shared" si="76"/>
        <v>1.6601861156013919E-3</v>
      </c>
      <c r="F813" s="24">
        <f>(B813-$B$2)/$B$2</f>
        <v>0.32046332046332049</v>
      </c>
      <c r="G813" s="11">
        <f t="shared" si="77"/>
        <v>0.27047545162362852</v>
      </c>
      <c r="H813" s="25">
        <f t="shared" si="72"/>
        <v>88.009770140009593</v>
      </c>
      <c r="I813" s="26">
        <f>MAX($B$2:B813)</f>
        <v>2083.5</v>
      </c>
      <c r="J813" s="27">
        <f t="shared" si="73"/>
        <v>-3.1533477321814274E-2</v>
      </c>
      <c r="K813" s="10">
        <f>MAX($C$2:C813)</f>
        <v>29.440999999999999</v>
      </c>
      <c r="L813" s="11">
        <f t="shared" si="74"/>
        <v>-0.22125607146496382</v>
      </c>
    </row>
    <row r="814" spans="1:12" x14ac:dyDescent="0.35">
      <c r="A814" s="5" t="s">
        <v>1854</v>
      </c>
      <c r="B814" s="22">
        <v>2025.4</v>
      </c>
      <c r="C814" s="10">
        <v>23.251000000000001</v>
      </c>
      <c r="D814" s="23">
        <f t="shared" si="75"/>
        <v>3.7664783427495967E-3</v>
      </c>
      <c r="E814" s="11">
        <f t="shared" si="76"/>
        <v>1.4131809656736669E-2</v>
      </c>
      <c r="F814" s="24">
        <f>(B814-$B$2)/$B$2</f>
        <v>0.3254368169622408</v>
      </c>
      <c r="G814" s="11">
        <f t="shared" si="77"/>
        <v>0.2884295688795302</v>
      </c>
      <c r="H814" s="25">
        <f t="shared" si="72"/>
        <v>87.110231817986318</v>
      </c>
      <c r="I814" s="26">
        <f>MAX($B$2:B814)</f>
        <v>2083.5</v>
      </c>
      <c r="J814" s="27">
        <f t="shared" si="73"/>
        <v>-2.788576913846888E-2</v>
      </c>
      <c r="K814" s="10">
        <f>MAX($C$2:C814)</f>
        <v>29.440999999999999</v>
      </c>
      <c r="L814" s="11">
        <f t="shared" si="74"/>
        <v>-0.21025101049556733</v>
      </c>
    </row>
    <row r="815" spans="1:12" x14ac:dyDescent="0.35">
      <c r="A815" s="5" t="s">
        <v>1856</v>
      </c>
      <c r="B815" s="22">
        <v>2041.1</v>
      </c>
      <c r="C815" s="10">
        <v>23.343</v>
      </c>
      <c r="D815" s="23">
        <f t="shared" si="75"/>
        <v>7.7515552483459153E-3</v>
      </c>
      <c r="E815" s="11">
        <f t="shared" si="76"/>
        <v>3.9568190615456864E-3</v>
      </c>
      <c r="F815" s="24">
        <f>(B815-$B$2)/$B$2</f>
        <v>0.33571101367711537</v>
      </c>
      <c r="G815" s="11">
        <f t="shared" si="77"/>
        <v>0.29352765155713184</v>
      </c>
      <c r="H815" s="25">
        <f t="shared" si="72"/>
        <v>87.439489354410313</v>
      </c>
      <c r="I815" s="26">
        <f>MAX($B$2:B815)</f>
        <v>2083.5</v>
      </c>
      <c r="J815" s="27">
        <f t="shared" si="73"/>
        <v>-2.0350371970242424E-2</v>
      </c>
      <c r="K815" s="10">
        <f>MAX($C$2:C815)</f>
        <v>29.440999999999999</v>
      </c>
      <c r="L815" s="11">
        <f t="shared" si="74"/>
        <v>-0.20712611664005975</v>
      </c>
    </row>
    <row r="816" spans="1:12" x14ac:dyDescent="0.35">
      <c r="A816" s="5" t="s">
        <v>1858</v>
      </c>
      <c r="B816" s="22">
        <v>2057.4</v>
      </c>
      <c r="C816" s="10">
        <v>23.282</v>
      </c>
      <c r="D816" s="23">
        <f t="shared" si="75"/>
        <v>7.9858899612954698E-3</v>
      </c>
      <c r="E816" s="11">
        <f t="shared" si="76"/>
        <v>-2.6132031015722035E-3</v>
      </c>
      <c r="F816" s="24">
        <f>(B816-$B$2)/$B$2</f>
        <v>0.34637785485243128</v>
      </c>
      <c r="G816" s="11">
        <f t="shared" si="77"/>
        <v>0.29014740108611331</v>
      </c>
      <c r="H816" s="25">
        <f t="shared" si="72"/>
        <v>88.368696847349881</v>
      </c>
      <c r="I816" s="26">
        <f>MAX($B$2:B816)</f>
        <v>2083.5</v>
      </c>
      <c r="J816" s="27">
        <f t="shared" si="73"/>
        <v>-1.2526997840172742E-2</v>
      </c>
      <c r="K816" s="10">
        <f>MAX($C$2:C816)</f>
        <v>29.440999999999999</v>
      </c>
      <c r="L816" s="11">
        <f t="shared" si="74"/>
        <v>-0.20919805713121153</v>
      </c>
    </row>
    <row r="817" spans="1:12" x14ac:dyDescent="0.35">
      <c r="A817" s="5" t="s">
        <v>1860</v>
      </c>
      <c r="B817" s="22">
        <v>2061.1999999999998</v>
      </c>
      <c r="C817" s="10">
        <v>23.347000000000001</v>
      </c>
      <c r="D817" s="23">
        <f t="shared" si="75"/>
        <v>1.8469913483035517E-3</v>
      </c>
      <c r="E817" s="11">
        <f t="shared" si="76"/>
        <v>2.7918563697277416E-3</v>
      </c>
      <c r="F817" s="24">
        <f>(B817-$B$2)/$B$2</f>
        <v>0.34886460310189121</v>
      </c>
      <c r="G817" s="11">
        <f t="shared" si="77"/>
        <v>0.2937493073257233</v>
      </c>
      <c r="H817" s="25">
        <f t="shared" si="72"/>
        <v>88.28543281792092</v>
      </c>
      <c r="I817" s="26">
        <f>MAX($B$2:B817)</f>
        <v>2083.5</v>
      </c>
      <c r="J817" s="27">
        <f t="shared" si="73"/>
        <v>-1.0703143748500208E-2</v>
      </c>
      <c r="K817" s="10">
        <f>MAX($C$2:C817)</f>
        <v>29.440999999999999</v>
      </c>
      <c r="L817" s="11">
        <f t="shared" si="74"/>
        <v>-0.20699025168982024</v>
      </c>
    </row>
    <row r="818" spans="1:12" x14ac:dyDescent="0.35">
      <c r="A818" s="5" t="s">
        <v>1862</v>
      </c>
      <c r="B818" s="22">
        <v>2032.9</v>
      </c>
      <c r="C818" s="10">
        <v>22.533999999999999</v>
      </c>
      <c r="D818" s="23">
        <f t="shared" si="75"/>
        <v>-1.3729866097418848E-2</v>
      </c>
      <c r="E818" s="11">
        <f t="shared" si="76"/>
        <v>-3.4822461129909728E-2</v>
      </c>
      <c r="F818" s="24">
        <f>(B818-$B$2)/$B$2</f>
        <v>0.3303448727177542</v>
      </c>
      <c r="G818" s="11">
        <f t="shared" si="77"/>
        <v>0.24869777235952564</v>
      </c>
      <c r="H818" s="25">
        <f t="shared" si="72"/>
        <v>90.214786544776786</v>
      </c>
      <c r="I818" s="26">
        <f>MAX($B$2:B818)</f>
        <v>2083.5</v>
      </c>
      <c r="J818" s="27">
        <f t="shared" si="73"/>
        <v>-2.428605711543072E-2</v>
      </c>
      <c r="K818" s="10">
        <f>MAX($C$2:C818)</f>
        <v>29.440999999999999</v>
      </c>
      <c r="L818" s="11">
        <f t="shared" si="74"/>
        <v>-0.23460480282599097</v>
      </c>
    </row>
    <row r="819" spans="1:12" x14ac:dyDescent="0.35">
      <c r="A819" s="5" t="s">
        <v>1863</v>
      </c>
      <c r="B819" s="22">
        <v>2041.5</v>
      </c>
      <c r="C819" s="10">
        <v>22.588000000000001</v>
      </c>
      <c r="D819" s="23">
        <f t="shared" si="75"/>
        <v>4.2304097594568889E-3</v>
      </c>
      <c r="E819" s="11">
        <f t="shared" si="76"/>
        <v>2.3963788053608789E-3</v>
      </c>
      <c r="F819" s="24">
        <f>(B819-$B$2)/$B$2</f>
        <v>0.33597277665074282</v>
      </c>
      <c r="G819" s="11">
        <f t="shared" si="77"/>
        <v>0.25169012523550938</v>
      </c>
      <c r="H819" s="25">
        <f t="shared" si="72"/>
        <v>90.379847706746943</v>
      </c>
      <c r="I819" s="26">
        <f>MAX($B$2:B819)</f>
        <v>2083.5</v>
      </c>
      <c r="J819" s="27">
        <f t="shared" si="73"/>
        <v>-2.0158387329013677E-2</v>
      </c>
      <c r="K819" s="10">
        <f>MAX($C$2:C819)</f>
        <v>29.440999999999999</v>
      </c>
      <c r="L819" s="11">
        <f t="shared" si="74"/>
        <v>-0.23277062599775816</v>
      </c>
    </row>
    <row r="820" spans="1:12" x14ac:dyDescent="0.35">
      <c r="A820" s="5" t="s">
        <v>1865</v>
      </c>
      <c r="B820" s="22">
        <v>2041.8</v>
      </c>
      <c r="C820" s="10">
        <v>22.471</v>
      </c>
      <c r="D820" s="23">
        <f t="shared" si="75"/>
        <v>1.4695077149152805E-4</v>
      </c>
      <c r="E820" s="11">
        <f t="shared" si="76"/>
        <v>-5.1797414556402016E-3</v>
      </c>
      <c r="F820" s="24">
        <f>(B820-$B$2)/$B$2</f>
        <v>0.33616909888096336</v>
      </c>
      <c r="G820" s="11">
        <f t="shared" si="77"/>
        <v>0.2452066940042115</v>
      </c>
      <c r="H820" s="25">
        <f t="shared" si="72"/>
        <v>90.863779983089316</v>
      </c>
      <c r="I820" s="26">
        <f>MAX($B$2:B820)</f>
        <v>2083.5</v>
      </c>
      <c r="J820" s="27">
        <f t="shared" si="73"/>
        <v>-2.0014398848092176E-2</v>
      </c>
      <c r="K820" s="10">
        <f>MAX($C$2:C820)</f>
        <v>29.440999999999999</v>
      </c>
      <c r="L820" s="11">
        <f t="shared" si="74"/>
        <v>-0.23674467579226247</v>
      </c>
    </row>
    <row r="821" spans="1:12" x14ac:dyDescent="0.35">
      <c r="A821" s="5" t="s">
        <v>1867</v>
      </c>
      <c r="B821" s="22">
        <v>2038.1</v>
      </c>
      <c r="C821" s="10">
        <v>22.748999999999999</v>
      </c>
      <c r="D821" s="23">
        <f t="shared" si="75"/>
        <v>-1.812126555000512E-3</v>
      </c>
      <c r="E821" s="11">
        <f t="shared" si="76"/>
        <v>1.2371501045792297E-2</v>
      </c>
      <c r="F821" s="24">
        <f>(B821-$B$2)/$B$2</f>
        <v>0.33374779137491006</v>
      </c>
      <c r="G821" s="11">
        <f t="shared" si="77"/>
        <v>0.26061176992131219</v>
      </c>
      <c r="H821" s="25">
        <f t="shared" si="72"/>
        <v>89.590751241812825</v>
      </c>
      <c r="I821" s="26">
        <f>MAX($B$2:B821)</f>
        <v>2083.5</v>
      </c>
      <c r="J821" s="27">
        <f t="shared" si="73"/>
        <v>-2.1790256779457687E-2</v>
      </c>
      <c r="K821" s="10">
        <f>MAX($C$2:C821)</f>
        <v>29.440999999999999</v>
      </c>
      <c r="L821" s="11">
        <f t="shared" si="74"/>
        <v>-0.2273020617506199</v>
      </c>
    </row>
    <row r="822" spans="1:12" x14ac:dyDescent="0.35">
      <c r="A822" s="5" t="s">
        <v>1869</v>
      </c>
      <c r="B822" s="22">
        <v>2023.4</v>
      </c>
      <c r="C822" s="10">
        <v>22.878</v>
      </c>
      <c r="D822" s="23">
        <f t="shared" si="75"/>
        <v>-7.2125999705607274E-3</v>
      </c>
      <c r="E822" s="11">
        <f t="shared" si="76"/>
        <v>5.6705789265462806E-3</v>
      </c>
      <c r="F822" s="24">
        <f>(B822-$B$2)/$B$2</f>
        <v>0.32412800209410392</v>
      </c>
      <c r="G822" s="11">
        <f t="shared" si="77"/>
        <v>0.26776016845838418</v>
      </c>
      <c r="H822" s="25">
        <f t="shared" si="72"/>
        <v>88.443045720779793</v>
      </c>
      <c r="I822" s="26">
        <f>MAX($B$2:B822)</f>
        <v>2083.5</v>
      </c>
      <c r="J822" s="27">
        <f t="shared" si="73"/>
        <v>-2.8845692344612386E-2</v>
      </c>
      <c r="K822" s="10">
        <f>MAX($C$2:C822)</f>
        <v>29.440999999999999</v>
      </c>
      <c r="L822" s="11">
        <f t="shared" si="74"/>
        <v>-0.2229204171053972</v>
      </c>
    </row>
    <row r="823" spans="1:12" x14ac:dyDescent="0.35">
      <c r="A823" s="5" t="s">
        <v>1871</v>
      </c>
      <c r="B823" s="22">
        <v>1997.7</v>
      </c>
      <c r="C823" s="10">
        <v>22.265999999999998</v>
      </c>
      <c r="D823" s="23">
        <f t="shared" si="75"/>
        <v>-1.2701393693782764E-2</v>
      </c>
      <c r="E823" s="11">
        <f t="shared" si="76"/>
        <v>-2.6750590086546108E-2</v>
      </c>
      <c r="F823" s="24">
        <f>(B823-$B$2)/$B$2</f>
        <v>0.3073097310385447</v>
      </c>
      <c r="G823" s="11">
        <f t="shared" si="77"/>
        <v>0.23384683586390331</v>
      </c>
      <c r="H823" s="25">
        <f t="shared" si="72"/>
        <v>89.719752088385889</v>
      </c>
      <c r="I823" s="26">
        <f>MAX($B$2:B823)</f>
        <v>2083.5</v>
      </c>
      <c r="J823" s="27">
        <f t="shared" si="73"/>
        <v>-4.1180705543556496E-2</v>
      </c>
      <c r="K823" s="10">
        <f>MAX($C$2:C823)</f>
        <v>29.440999999999999</v>
      </c>
      <c r="L823" s="11">
        <f t="shared" si="74"/>
        <v>-0.24370775449203494</v>
      </c>
    </row>
    <row r="824" spans="1:12" x14ac:dyDescent="0.35">
      <c r="A824" s="5" t="s">
        <v>1873</v>
      </c>
      <c r="B824" s="22">
        <v>1994.7</v>
      </c>
      <c r="C824" s="10">
        <v>22.495000000000001</v>
      </c>
      <c r="D824" s="23">
        <f t="shared" si="75"/>
        <v>-1.5017269860339391E-3</v>
      </c>
      <c r="E824" s="11">
        <f t="shared" si="76"/>
        <v>1.0284739064043959E-2</v>
      </c>
      <c r="F824" s="24">
        <f>(B824-$B$2)/$B$2</f>
        <v>0.30534650873633934</v>
      </c>
      <c r="G824" s="11">
        <f t="shared" si="77"/>
        <v>0.24653662861575981</v>
      </c>
      <c r="H824" s="25">
        <f t="shared" si="72"/>
        <v>88.673038452989545</v>
      </c>
      <c r="I824" s="26">
        <f>MAX($B$2:B824)</f>
        <v>2083.5</v>
      </c>
      <c r="J824" s="27">
        <f t="shared" si="73"/>
        <v>-4.2620590352771756E-2</v>
      </c>
      <c r="K824" s="10">
        <f>MAX($C$2:C824)</f>
        <v>29.440999999999999</v>
      </c>
      <c r="L824" s="11">
        <f t="shared" si="74"/>
        <v>-0.23592948609082565</v>
      </c>
    </row>
    <row r="825" spans="1:12" x14ac:dyDescent="0.35">
      <c r="A825" s="5" t="s">
        <v>1875</v>
      </c>
      <c r="B825" s="22">
        <v>2005.3</v>
      </c>
      <c r="C825" s="10">
        <v>23.061</v>
      </c>
      <c r="D825" s="23">
        <f t="shared" si="75"/>
        <v>5.3140823181430331E-3</v>
      </c>
      <c r="E825" s="11">
        <f t="shared" si="76"/>
        <v>2.516114692153807E-2</v>
      </c>
      <c r="F825" s="24">
        <f>(B825-$B$2)/$B$2</f>
        <v>0.31228322753746485</v>
      </c>
      <c r="G825" s="11">
        <f t="shared" si="77"/>
        <v>0.27790091987143972</v>
      </c>
      <c r="H825" s="25">
        <f t="shared" si="72"/>
        <v>86.956333203243574</v>
      </c>
      <c r="I825" s="26">
        <f>MAX($B$2:B825)</f>
        <v>2083.5</v>
      </c>
      <c r="J825" s="27">
        <f t="shared" si="73"/>
        <v>-3.7532997360211207E-2</v>
      </c>
      <c r="K825" s="10">
        <f>MAX($C$2:C825)</f>
        <v>29.440999999999999</v>
      </c>
      <c r="L825" s="11">
        <f t="shared" si="74"/>
        <v>-0.21670459563194183</v>
      </c>
    </row>
    <row r="826" spans="1:12" x14ac:dyDescent="0.35">
      <c r="A826" s="5" t="s">
        <v>1877</v>
      </c>
      <c r="B826" s="22">
        <v>2030</v>
      </c>
      <c r="C826" s="10">
        <v>23.25</v>
      </c>
      <c r="D826" s="23">
        <f t="shared" si="75"/>
        <v>1.2317358998653591E-2</v>
      </c>
      <c r="E826" s="11">
        <f t="shared" si="76"/>
        <v>8.1956550019513484E-3</v>
      </c>
      <c r="F826" s="24">
        <f>(B826-$B$2)/$B$2</f>
        <v>0.32844709115895565</v>
      </c>
      <c r="G826" s="11">
        <f t="shared" si="77"/>
        <v>0.28837415493738228</v>
      </c>
      <c r="H826" s="25">
        <f t="shared" si="72"/>
        <v>87.311827956989248</v>
      </c>
      <c r="I826" s="26">
        <f>MAX($B$2:B826)</f>
        <v>2083.5</v>
      </c>
      <c r="J826" s="27">
        <f t="shared" si="73"/>
        <v>-2.5677945764338853E-2</v>
      </c>
      <c r="K826" s="10">
        <f>MAX($C$2:C826)</f>
        <v>29.440999999999999</v>
      </c>
      <c r="L826" s="11">
        <f t="shared" si="74"/>
        <v>-0.21028497673312724</v>
      </c>
    </row>
    <row r="827" spans="1:12" x14ac:dyDescent="0.35">
      <c r="A827" s="5" t="s">
        <v>1879</v>
      </c>
      <c r="B827" s="22">
        <v>2024.5</v>
      </c>
      <c r="C827" s="10">
        <v>22.989000000000001</v>
      </c>
      <c r="D827" s="23">
        <f t="shared" si="75"/>
        <v>-2.7093596059113299E-3</v>
      </c>
      <c r="E827" s="11">
        <f t="shared" si="76"/>
        <v>-1.122580645161287E-2</v>
      </c>
      <c r="F827" s="24">
        <f>(B827-$B$2)/$B$2</f>
        <v>0.32484785027157914</v>
      </c>
      <c r="G827" s="11">
        <f t="shared" si="77"/>
        <v>0.27391111603679497</v>
      </c>
      <c r="H827" s="25">
        <f t="shared" si="72"/>
        <v>88.063856627082515</v>
      </c>
      <c r="I827" s="26">
        <f>MAX($B$2:B827)</f>
        <v>2083.5</v>
      </c>
      <c r="J827" s="27">
        <f t="shared" si="73"/>
        <v>-2.8317734581233503E-2</v>
      </c>
      <c r="K827" s="10">
        <f>MAX($C$2:C827)</f>
        <v>29.440999999999999</v>
      </c>
      <c r="L827" s="11">
        <f t="shared" si="74"/>
        <v>-0.21915016473625212</v>
      </c>
    </row>
    <row r="828" spans="1:12" x14ac:dyDescent="0.35">
      <c r="A828" s="5" t="s">
        <v>1880</v>
      </c>
      <c r="B828" s="22">
        <v>2020.8</v>
      </c>
      <c r="C828" s="10">
        <v>22.899000000000001</v>
      </c>
      <c r="D828" s="23">
        <f t="shared" si="75"/>
        <v>-1.8276117559891556E-3</v>
      </c>
      <c r="E828" s="11">
        <f t="shared" si="76"/>
        <v>-3.9149158293096632E-3</v>
      </c>
      <c r="F828" s="24">
        <f>(B828-$B$2)/$B$2</f>
        <v>0.32242654276552585</v>
      </c>
      <c r="G828" s="11">
        <f t="shared" si="77"/>
        <v>0.26892386124348894</v>
      </c>
      <c r="H828" s="25">
        <f t="shared" si="72"/>
        <v>88.248395126424725</v>
      </c>
      <c r="I828" s="26">
        <f>MAX($B$2:B828)</f>
        <v>2083.5</v>
      </c>
      <c r="J828" s="27">
        <f t="shared" si="73"/>
        <v>-3.0093592512599014E-2</v>
      </c>
      <c r="K828" s="10">
        <f>MAX($C$2:C828)</f>
        <v>29.440999999999999</v>
      </c>
      <c r="L828" s="11">
        <f t="shared" si="74"/>
        <v>-0.22220712611664001</v>
      </c>
    </row>
    <row r="829" spans="1:12" x14ac:dyDescent="0.35">
      <c r="A829" s="5" t="s">
        <v>1882</v>
      </c>
      <c r="B829" s="22">
        <v>2029.1</v>
      </c>
      <c r="C829" s="10">
        <v>22.638000000000002</v>
      </c>
      <c r="D829" s="23">
        <f t="shared" si="75"/>
        <v>4.1072842438637939E-3</v>
      </c>
      <c r="E829" s="11">
        <f t="shared" si="76"/>
        <v>-1.1397877636577982E-2</v>
      </c>
      <c r="F829" s="24">
        <f>(B829-$B$2)/$B$2</f>
        <v>0.32785812446829399</v>
      </c>
      <c r="G829" s="11">
        <f t="shared" si="77"/>
        <v>0.25446082234290163</v>
      </c>
      <c r="H829" s="25">
        <f t="shared" si="72"/>
        <v>89.632476367170227</v>
      </c>
      <c r="I829" s="26">
        <f>MAX($B$2:B829)</f>
        <v>2083.5</v>
      </c>
      <c r="J829" s="27">
        <f t="shared" si="73"/>
        <v>-2.6109911207103476E-2</v>
      </c>
      <c r="K829" s="10">
        <f>MAX($C$2:C829)</f>
        <v>29.440999999999999</v>
      </c>
      <c r="L829" s="11">
        <f t="shared" si="74"/>
        <v>-0.23107231411976487</v>
      </c>
    </row>
    <row r="830" spans="1:12" x14ac:dyDescent="0.35">
      <c r="A830" s="5" t="s">
        <v>1883</v>
      </c>
      <c r="B830" s="22">
        <v>2034.4</v>
      </c>
      <c r="C830" s="10">
        <v>22.651</v>
      </c>
      <c r="D830" s="23">
        <f t="shared" si="75"/>
        <v>2.6119954659702244E-3</v>
      </c>
      <c r="E830" s="11">
        <f t="shared" si="76"/>
        <v>5.7425567629640969E-4</v>
      </c>
      <c r="F830" s="24">
        <f>(B830-$B$2)/$B$2</f>
        <v>0.33132648386885688</v>
      </c>
      <c r="G830" s="11">
        <f t="shared" si="77"/>
        <v>0.25518120359082347</v>
      </c>
      <c r="H830" s="25">
        <f t="shared" si="72"/>
        <v>89.815019204450138</v>
      </c>
      <c r="I830" s="26">
        <f>MAX($B$2:B830)</f>
        <v>2083.5</v>
      </c>
      <c r="J830" s="27">
        <f t="shared" si="73"/>
        <v>-2.356611471082309E-2</v>
      </c>
      <c r="K830" s="10">
        <f>MAX($C$2:C830)</f>
        <v>29.440999999999999</v>
      </c>
      <c r="L830" s="11">
        <f t="shared" si="74"/>
        <v>-0.23063075303148667</v>
      </c>
    </row>
    <row r="831" spans="1:12" x14ac:dyDescent="0.35">
      <c r="A831" s="5" t="s">
        <v>1884</v>
      </c>
      <c r="B831" s="22">
        <v>2042.7</v>
      </c>
      <c r="C831" s="10">
        <v>22.635999999999999</v>
      </c>
      <c r="D831" s="23">
        <f t="shared" si="75"/>
        <v>4.0798269760125606E-3</v>
      </c>
      <c r="E831" s="11">
        <f t="shared" si="76"/>
        <v>-6.6222241843629718E-4</v>
      </c>
      <c r="F831" s="24">
        <f>(B831-$B$2)/$B$2</f>
        <v>0.33675806557162502</v>
      </c>
      <c r="G831" s="11">
        <f t="shared" si="77"/>
        <v>0.25434999445860579</v>
      </c>
      <c r="H831" s="25">
        <f t="shared" si="72"/>
        <v>90.241208694115571</v>
      </c>
      <c r="I831" s="26">
        <f>MAX($B$2:B831)</f>
        <v>2083.5</v>
      </c>
      <c r="J831" s="27">
        <f t="shared" si="73"/>
        <v>-1.9582433405327553E-2</v>
      </c>
      <c r="K831" s="10">
        <f>MAX($C$2:C831)</f>
        <v>29.440999999999999</v>
      </c>
      <c r="L831" s="11">
        <f t="shared" si="74"/>
        <v>-0.23114024659488469</v>
      </c>
    </row>
    <row r="832" spans="1:12" x14ac:dyDescent="0.35">
      <c r="A832" s="5" t="s">
        <v>1885</v>
      </c>
      <c r="B832" s="22">
        <v>2054.6999999999998</v>
      </c>
      <c r="C832" s="10">
        <v>22.885000000000002</v>
      </c>
      <c r="D832" s="23">
        <f t="shared" si="75"/>
        <v>5.8745777647230494E-3</v>
      </c>
      <c r="E832" s="11">
        <f t="shared" si="76"/>
        <v>1.1000176709666121E-2</v>
      </c>
      <c r="F832" s="24">
        <f>(B832-$B$2)/$B$2</f>
        <v>0.34461095478044629</v>
      </c>
      <c r="G832" s="11">
        <f t="shared" si="77"/>
        <v>0.26814806605341918</v>
      </c>
      <c r="H832" s="25">
        <f t="shared" si="72"/>
        <v>89.783701114266975</v>
      </c>
      <c r="I832" s="26">
        <f>MAX($B$2:B832)</f>
        <v>2083.5</v>
      </c>
      <c r="J832" s="27">
        <f t="shared" si="73"/>
        <v>-1.3822894168466609E-2</v>
      </c>
      <c r="K832" s="10">
        <f>MAX($C$2:C832)</f>
        <v>29.440999999999999</v>
      </c>
      <c r="L832" s="11">
        <f t="shared" si="74"/>
        <v>-0.22268265344247809</v>
      </c>
    </row>
    <row r="833" spans="1:12" x14ac:dyDescent="0.35">
      <c r="A833" s="5" t="s">
        <v>1887</v>
      </c>
      <c r="B833" s="22">
        <v>2126.3000000000002</v>
      </c>
      <c r="C833" s="10">
        <v>23.991</v>
      </c>
      <c r="D833" s="23">
        <f t="shared" si="75"/>
        <v>3.4846936292402965E-2</v>
      </c>
      <c r="E833" s="11">
        <f t="shared" si="76"/>
        <v>4.832859951933572E-2</v>
      </c>
      <c r="F833" s="24">
        <f>(B833-$B$2)/$B$2</f>
        <v>0.3914665270597476</v>
      </c>
      <c r="G833" s="11">
        <f t="shared" si="77"/>
        <v>0.32943588606893498</v>
      </c>
      <c r="H833" s="25">
        <f t="shared" si="72"/>
        <v>88.62906923429621</v>
      </c>
      <c r="I833" s="26">
        <f>MAX($B$2:B833)</f>
        <v>2126.3000000000002</v>
      </c>
      <c r="J833" s="27">
        <f t="shared" si="73"/>
        <v>0</v>
      </c>
      <c r="K833" s="10">
        <f>MAX($C$2:C833)</f>
        <v>29.440999999999999</v>
      </c>
      <c r="L833" s="11">
        <f t="shared" si="74"/>
        <v>-0.18511599470126691</v>
      </c>
    </row>
    <row r="834" spans="1:12" x14ac:dyDescent="0.35">
      <c r="A834" s="5" t="s">
        <v>1889</v>
      </c>
      <c r="B834" s="22">
        <v>2141.9</v>
      </c>
      <c r="C834" s="10">
        <v>23.984000000000002</v>
      </c>
      <c r="D834" s="23">
        <f t="shared" si="75"/>
        <v>7.3366881437237959E-3</v>
      </c>
      <c r="E834" s="11">
        <f t="shared" si="76"/>
        <v>-2.9177608269759063E-4</v>
      </c>
      <c r="F834" s="24">
        <f>(B834-$B$2)/$B$2</f>
        <v>0.40167528303121536</v>
      </c>
      <c r="G834" s="11">
        <f t="shared" si="77"/>
        <v>0.32904798847390015</v>
      </c>
      <c r="H834" s="25">
        <f t="shared" si="72"/>
        <v>89.305370246831217</v>
      </c>
      <c r="I834" s="26">
        <f>MAX($B$2:B834)</f>
        <v>2141.9</v>
      </c>
      <c r="J834" s="27">
        <f t="shared" si="73"/>
        <v>0</v>
      </c>
      <c r="K834" s="10">
        <f>MAX($C$2:C834)</f>
        <v>29.440999999999999</v>
      </c>
      <c r="L834" s="11">
        <f t="shared" si="74"/>
        <v>-0.18535375836418591</v>
      </c>
    </row>
    <row r="835" spans="1:12" x14ac:dyDescent="0.35">
      <c r="A835" s="5" t="s">
        <v>1891</v>
      </c>
      <c r="B835" s="22">
        <v>2158.1999999999998</v>
      </c>
      <c r="C835" s="10">
        <v>24.492999999999999</v>
      </c>
      <c r="D835" s="23">
        <f t="shared" si="75"/>
        <v>7.6100658294036725E-3</v>
      </c>
      <c r="E835" s="11">
        <f t="shared" si="76"/>
        <v>2.1222481654436156E-2</v>
      </c>
      <c r="F835" s="24">
        <f>(B835-$B$2)/$B$2</f>
        <v>0.41234212420653094</v>
      </c>
      <c r="G835" s="11">
        <f t="shared" si="77"/>
        <v>0.35725368502715282</v>
      </c>
      <c r="H835" s="25">
        <f t="shared" ref="H835:H898" si="78">B835/C835</f>
        <v>88.114971624545788</v>
      </c>
      <c r="I835" s="26">
        <f>MAX($B$2:B835)</f>
        <v>2158.1999999999998</v>
      </c>
      <c r="J835" s="27">
        <f t="shared" ref="J835:J898" si="79">(B835-I835)/I835</f>
        <v>0</v>
      </c>
      <c r="K835" s="10">
        <f>MAX($C$2:C835)</f>
        <v>29.440999999999999</v>
      </c>
      <c r="L835" s="11">
        <f t="shared" ref="L835:L898" si="80">(C835-K835)/K835</f>
        <v>-0.16806494344621448</v>
      </c>
    </row>
    <row r="836" spans="1:12" x14ac:dyDescent="0.35">
      <c r="A836" s="5" t="s">
        <v>1893</v>
      </c>
      <c r="B836" s="22">
        <v>2165.1999999999998</v>
      </c>
      <c r="C836" s="10">
        <v>24.577999999999999</v>
      </c>
      <c r="D836" s="23">
        <f t="shared" ref="D836:D899" si="81">(B836-B835)/B835</f>
        <v>3.2434436104160878E-3</v>
      </c>
      <c r="E836" s="11">
        <f t="shared" ref="E836:E899" si="82">(C836-C835)/C835</f>
        <v>3.4703792920426596E-3</v>
      </c>
      <c r="F836" s="24">
        <f>(B836-$B$2)/$B$2</f>
        <v>0.41692297624501012</v>
      </c>
      <c r="G836" s="11">
        <f t="shared" ref="G836:G899" si="83">(C836-$C$2)/$C$2</f>
        <v>0.36196387010971964</v>
      </c>
      <c r="H836" s="25">
        <f t="shared" si="78"/>
        <v>88.095044348604432</v>
      </c>
      <c r="I836" s="26">
        <f>MAX($B$2:B836)</f>
        <v>2165.1999999999998</v>
      </c>
      <c r="J836" s="27">
        <f t="shared" si="79"/>
        <v>0</v>
      </c>
      <c r="K836" s="10">
        <f>MAX($C$2:C836)</f>
        <v>29.440999999999999</v>
      </c>
      <c r="L836" s="11">
        <f t="shared" si="80"/>
        <v>-0.16517781325362588</v>
      </c>
    </row>
    <row r="837" spans="1:12" x14ac:dyDescent="0.35">
      <c r="A837" s="5" t="s">
        <v>1895</v>
      </c>
      <c r="B837" s="22">
        <v>2188.6</v>
      </c>
      <c r="C837" s="10">
        <v>24.715</v>
      </c>
      <c r="D837" s="23">
        <f t="shared" si="81"/>
        <v>1.080731572141146E-2</v>
      </c>
      <c r="E837" s="11">
        <f t="shared" si="82"/>
        <v>5.5740906501749714E-3</v>
      </c>
      <c r="F837" s="24">
        <f>(B837-$B$2)/$B$2</f>
        <v>0.43223611020221192</v>
      </c>
      <c r="G837" s="11">
        <f t="shared" si="83"/>
        <v>0.36955558018397433</v>
      </c>
      <c r="H837" s="25">
        <f t="shared" si="78"/>
        <v>88.553510014161432</v>
      </c>
      <c r="I837" s="26">
        <f>MAX($B$2:B837)</f>
        <v>2188.6</v>
      </c>
      <c r="J837" s="27">
        <f t="shared" si="79"/>
        <v>0</v>
      </c>
      <c r="K837" s="10">
        <f>MAX($C$2:C837)</f>
        <v>29.440999999999999</v>
      </c>
      <c r="L837" s="11">
        <f t="shared" si="80"/>
        <v>-0.16052443870792429</v>
      </c>
    </row>
    <row r="838" spans="1:12" x14ac:dyDescent="0.35">
      <c r="A838" s="5" t="s">
        <v>1896</v>
      </c>
      <c r="B838" s="22">
        <v>2166.1</v>
      </c>
      <c r="C838" s="10">
        <v>24.393999999999998</v>
      </c>
      <c r="D838" s="23">
        <f t="shared" si="81"/>
        <v>-1.0280544640409395E-2</v>
      </c>
      <c r="E838" s="11">
        <f t="shared" si="82"/>
        <v>-1.2988063928788247E-2</v>
      </c>
      <c r="F838" s="24">
        <f>(B838-$B$2)/$B$2</f>
        <v>0.41751194293567179</v>
      </c>
      <c r="G838" s="11">
        <f t="shared" si="83"/>
        <v>0.35176770475451619</v>
      </c>
      <c r="H838" s="25">
        <f t="shared" si="78"/>
        <v>88.796425350496023</v>
      </c>
      <c r="I838" s="26">
        <f>MAX($B$2:B838)</f>
        <v>2188.6</v>
      </c>
      <c r="J838" s="27">
        <f t="shared" si="79"/>
        <v>-1.0280544640409395E-2</v>
      </c>
      <c r="K838" s="10">
        <f>MAX($C$2:C838)</f>
        <v>29.440999999999999</v>
      </c>
      <c r="L838" s="11">
        <f t="shared" si="80"/>
        <v>-0.17142760096464119</v>
      </c>
    </row>
    <row r="839" spans="1:12" x14ac:dyDescent="0.35">
      <c r="A839" s="5" t="s">
        <v>1898</v>
      </c>
      <c r="B839" s="22">
        <v>2180.8000000000002</v>
      </c>
      <c r="C839" s="10">
        <v>25.155999999999999</v>
      </c>
      <c r="D839" s="23">
        <f t="shared" si="81"/>
        <v>6.7863902866904914E-3</v>
      </c>
      <c r="E839" s="11">
        <f t="shared" si="82"/>
        <v>3.1237189472821208E-2</v>
      </c>
      <c r="F839" s="24">
        <f>(B839-$B$2)/$B$2</f>
        <v>0.42713173221647821</v>
      </c>
      <c r="G839" s="11">
        <f t="shared" si="83"/>
        <v>0.39399312867117364</v>
      </c>
      <c r="H839" s="25">
        <f t="shared" si="78"/>
        <v>86.691047861345211</v>
      </c>
      <c r="I839" s="26">
        <f>MAX($B$2:B839)</f>
        <v>2188.6</v>
      </c>
      <c r="J839" s="27">
        <f t="shared" si="79"/>
        <v>-3.5639221420084655E-3</v>
      </c>
      <c r="K839" s="10">
        <f>MAX($C$2:C839)</f>
        <v>29.440999999999999</v>
      </c>
      <c r="L839" s="11">
        <f t="shared" si="80"/>
        <v>-0.14554532794402364</v>
      </c>
    </row>
    <row r="840" spans="1:12" x14ac:dyDescent="0.35">
      <c r="A840" s="5" t="s">
        <v>1900</v>
      </c>
      <c r="B840" s="22">
        <v>2167.5</v>
      </c>
      <c r="C840" s="10">
        <v>25.06</v>
      </c>
      <c r="D840" s="23">
        <f t="shared" si="81"/>
        <v>-6.098679383712482E-3</v>
      </c>
      <c r="E840" s="11">
        <f t="shared" si="82"/>
        <v>-3.8161869931626685E-3</v>
      </c>
      <c r="F840" s="24">
        <f>(B840-$B$2)/$B$2</f>
        <v>0.41842811334336766</v>
      </c>
      <c r="G840" s="11">
        <f t="shared" si="83"/>
        <v>0.3886733902249806</v>
      </c>
      <c r="H840" s="25">
        <f t="shared" si="78"/>
        <v>86.492418196328813</v>
      </c>
      <c r="I840" s="26">
        <f>MAX($B$2:B840)</f>
        <v>2188.6</v>
      </c>
      <c r="J840" s="27">
        <f t="shared" si="79"/>
        <v>-9.6408663072283241E-3</v>
      </c>
      <c r="K840" s="10">
        <f>MAX($C$2:C840)</f>
        <v>29.440999999999999</v>
      </c>
      <c r="L840" s="11">
        <f t="shared" si="80"/>
        <v>-0.14880608674977075</v>
      </c>
    </row>
    <row r="841" spans="1:12" x14ac:dyDescent="0.35">
      <c r="A841" s="5" t="s">
        <v>1902</v>
      </c>
      <c r="B841" s="22">
        <v>2164.3000000000002</v>
      </c>
      <c r="C841" s="10">
        <v>25.265000000000001</v>
      </c>
      <c r="D841" s="23">
        <f t="shared" si="81"/>
        <v>-1.4763552479814617E-3</v>
      </c>
      <c r="E841" s="11">
        <f t="shared" si="82"/>
        <v>8.1803671189146793E-3</v>
      </c>
      <c r="F841" s="24">
        <f>(B841-$B$2)/$B$2</f>
        <v>0.41633400955434874</v>
      </c>
      <c r="G841" s="11">
        <f t="shared" si="83"/>
        <v>0.40003324836528881</v>
      </c>
      <c r="H841" s="25">
        <f t="shared" si="78"/>
        <v>85.663962002770631</v>
      </c>
      <c r="I841" s="26">
        <f>MAX($B$2:B841)</f>
        <v>2188.6</v>
      </c>
      <c r="J841" s="27">
        <f t="shared" si="79"/>
        <v>-1.1102988211642021E-2</v>
      </c>
      <c r="K841" s="10">
        <f>MAX($C$2:C841)</f>
        <v>29.440999999999999</v>
      </c>
      <c r="L841" s="11">
        <f t="shared" si="80"/>
        <v>-0.14184300804999825</v>
      </c>
    </row>
    <row r="842" spans="1:12" x14ac:dyDescent="0.35">
      <c r="A842" s="5" t="s">
        <v>1904</v>
      </c>
      <c r="B842" s="22">
        <v>2159.6999999999998</v>
      </c>
      <c r="C842" s="10">
        <v>25.135000000000002</v>
      </c>
      <c r="D842" s="23">
        <f t="shared" si="81"/>
        <v>-2.1253985122212092E-3</v>
      </c>
      <c r="E842" s="11">
        <f t="shared" si="82"/>
        <v>-5.1454581436769838E-3</v>
      </c>
      <c r="F842" s="24">
        <f>(B842-$B$2)/$B$2</f>
        <v>0.41332373535763361</v>
      </c>
      <c r="G842" s="11">
        <f t="shared" si="83"/>
        <v>0.39282943588606906</v>
      </c>
      <c r="H842" s="25">
        <f t="shared" si="78"/>
        <v>85.924010344141621</v>
      </c>
      <c r="I842" s="26">
        <f>MAX($B$2:B842)</f>
        <v>2188.6</v>
      </c>
      <c r="J842" s="27">
        <f t="shared" si="79"/>
        <v>-1.3204788449236997E-2</v>
      </c>
      <c r="K842" s="10">
        <f>MAX($C$2:C842)</f>
        <v>29.440999999999999</v>
      </c>
      <c r="L842" s="11">
        <f t="shared" si="80"/>
        <v>-0.14625861893278072</v>
      </c>
    </row>
    <row r="843" spans="1:12" x14ac:dyDescent="0.35">
      <c r="A843" s="5" t="s">
        <v>1906</v>
      </c>
      <c r="B843" s="22">
        <v>2161</v>
      </c>
      <c r="C843" s="10">
        <v>25.103999999999999</v>
      </c>
      <c r="D843" s="23">
        <f t="shared" si="81"/>
        <v>6.0193545399832478E-4</v>
      </c>
      <c r="E843" s="11">
        <f t="shared" si="82"/>
        <v>-1.2333399641934497E-3</v>
      </c>
      <c r="F843" s="24">
        <f>(B843-$B$2)/$B$2</f>
        <v>0.41417446502192273</v>
      </c>
      <c r="G843" s="11">
        <f t="shared" si="83"/>
        <v>0.39111160367948578</v>
      </c>
      <c r="H843" s="25">
        <f t="shared" si="78"/>
        <v>86.081899298916511</v>
      </c>
      <c r="I843" s="26">
        <f>MAX($B$2:B843)</f>
        <v>2188.6</v>
      </c>
      <c r="J843" s="27">
        <f t="shared" si="79"/>
        <v>-1.2610801425568816E-2</v>
      </c>
      <c r="K843" s="10">
        <f>MAX($C$2:C843)</f>
        <v>29.440999999999999</v>
      </c>
      <c r="L843" s="11">
        <f t="shared" si="80"/>
        <v>-0.14731157229713665</v>
      </c>
    </row>
    <row r="844" spans="1:12" x14ac:dyDescent="0.35">
      <c r="A844" s="5" t="s">
        <v>1908</v>
      </c>
      <c r="B844" s="22">
        <v>2184.6999999999998</v>
      </c>
      <c r="C844" s="10">
        <v>25.007000000000001</v>
      </c>
      <c r="D844" s="23">
        <f t="shared" si="81"/>
        <v>1.0967144840351604E-2</v>
      </c>
      <c r="E844" s="11">
        <f t="shared" si="82"/>
        <v>-3.8639260675588654E-3</v>
      </c>
      <c r="F844" s="24">
        <f>(B844-$B$2)/$B$2</f>
        <v>0.4296839212093449</v>
      </c>
      <c r="G844" s="11">
        <f t="shared" si="83"/>
        <v>0.38573645129114498</v>
      </c>
      <c r="H844" s="25">
        <f t="shared" si="78"/>
        <v>87.363538209301382</v>
      </c>
      <c r="I844" s="26">
        <f>MAX($B$2:B844)</f>
        <v>2188.6</v>
      </c>
      <c r="J844" s="27">
        <f t="shared" si="79"/>
        <v>-1.7819610710043366E-3</v>
      </c>
      <c r="K844" s="10">
        <f>MAX($C$2:C844)</f>
        <v>29.440999999999999</v>
      </c>
      <c r="L844" s="11">
        <f t="shared" si="80"/>
        <v>-0.15060629734044351</v>
      </c>
    </row>
    <row r="845" spans="1:12" x14ac:dyDescent="0.35">
      <c r="A845" s="5" t="s">
        <v>1910</v>
      </c>
      <c r="B845" s="22">
        <v>2176.4</v>
      </c>
      <c r="C845" s="10">
        <v>24.890999999999998</v>
      </c>
      <c r="D845" s="23">
        <f t="shared" si="81"/>
        <v>-3.7991486245249817E-3</v>
      </c>
      <c r="E845" s="11">
        <f t="shared" si="82"/>
        <v>-4.6387011636742992E-3</v>
      </c>
      <c r="F845" s="24">
        <f>(B845-$B$2)/$B$2</f>
        <v>0.42425233950657693</v>
      </c>
      <c r="G845" s="11">
        <f t="shared" si="83"/>
        <v>0.37930843400199488</v>
      </c>
      <c r="H845" s="25">
        <f t="shared" si="78"/>
        <v>87.437226306697212</v>
      </c>
      <c r="I845" s="26">
        <f>MAX($B$2:B845)</f>
        <v>2188.6</v>
      </c>
      <c r="J845" s="27">
        <f t="shared" si="79"/>
        <v>-5.5743397605774554E-3</v>
      </c>
      <c r="K845" s="10">
        <f>MAX($C$2:C845)</f>
        <v>29.440999999999999</v>
      </c>
      <c r="L845" s="11">
        <f t="shared" si="80"/>
        <v>-0.15454638089738804</v>
      </c>
    </row>
    <row r="846" spans="1:12" x14ac:dyDescent="0.35">
      <c r="A846" s="5" t="s">
        <v>1912</v>
      </c>
      <c r="B846" s="22">
        <v>2177.1999999999998</v>
      </c>
      <c r="C846" s="10">
        <v>24.623000000000001</v>
      </c>
      <c r="D846" s="23">
        <f t="shared" si="81"/>
        <v>3.6757948906438484E-4</v>
      </c>
      <c r="E846" s="11">
        <f t="shared" si="82"/>
        <v>-1.0766943875296177E-2</v>
      </c>
      <c r="F846" s="24">
        <f>(B846-$B$2)/$B$2</f>
        <v>0.4247758654538315</v>
      </c>
      <c r="G846" s="11">
        <f t="shared" si="83"/>
        <v>0.36445749750637269</v>
      </c>
      <c r="H846" s="25">
        <f t="shared" si="78"/>
        <v>88.421394631036009</v>
      </c>
      <c r="I846" s="26">
        <f>MAX($B$2:B846)</f>
        <v>2188.6</v>
      </c>
      <c r="J846" s="27">
        <f t="shared" si="79"/>
        <v>-5.2088092844741352E-3</v>
      </c>
      <c r="K846" s="10">
        <f>MAX($C$2:C846)</f>
        <v>29.440999999999999</v>
      </c>
      <c r="L846" s="11">
        <f t="shared" si="80"/>
        <v>-0.16364933256343189</v>
      </c>
    </row>
    <row r="847" spans="1:12" x14ac:dyDescent="0.35">
      <c r="A847" s="5" t="s">
        <v>1914</v>
      </c>
      <c r="B847" s="22">
        <v>2201.4</v>
      </c>
      <c r="C847" s="10">
        <v>24.879000000000001</v>
      </c>
      <c r="D847" s="23">
        <f t="shared" si="81"/>
        <v>1.1115193826933803E-2</v>
      </c>
      <c r="E847" s="11">
        <f t="shared" si="82"/>
        <v>1.0396783495106211E-2</v>
      </c>
      <c r="F847" s="24">
        <f>(B847-$B$2)/$B$2</f>
        <v>0.44061252535828821</v>
      </c>
      <c r="G847" s="11">
        <f t="shared" si="83"/>
        <v>0.3786434666962209</v>
      </c>
      <c r="H847" s="25">
        <f t="shared" si="78"/>
        <v>88.484263836970939</v>
      </c>
      <c r="I847" s="26">
        <f>MAX($B$2:B847)</f>
        <v>2201.4</v>
      </c>
      <c r="J847" s="27">
        <f t="shared" si="79"/>
        <v>0</v>
      </c>
      <c r="K847" s="10">
        <f>MAX($C$2:C847)</f>
        <v>29.440999999999999</v>
      </c>
      <c r="L847" s="11">
        <f t="shared" si="80"/>
        <v>-0.15495397574810629</v>
      </c>
    </row>
    <row r="848" spans="1:12" x14ac:dyDescent="0.35">
      <c r="A848" s="5" t="s">
        <v>1916</v>
      </c>
      <c r="B848" s="22">
        <v>2245.9</v>
      </c>
      <c r="C848" s="10">
        <v>25.202999999999999</v>
      </c>
      <c r="D848" s="23">
        <f t="shared" si="81"/>
        <v>2.0214409012446623E-2</v>
      </c>
      <c r="E848" s="11">
        <f t="shared" si="82"/>
        <v>1.302303147232598E-2</v>
      </c>
      <c r="F848" s="24">
        <f>(B848-$B$2)/$B$2</f>
        <v>0.46973365617433427</v>
      </c>
      <c r="G848" s="11">
        <f t="shared" si="83"/>
        <v>0.39659758395212236</v>
      </c>
      <c r="H848" s="25">
        <f t="shared" si="78"/>
        <v>89.112407253104791</v>
      </c>
      <c r="I848" s="26">
        <f>MAX($B$2:B848)</f>
        <v>2245.9</v>
      </c>
      <c r="J848" s="27">
        <f t="shared" si="79"/>
        <v>0</v>
      </c>
      <c r="K848" s="10">
        <f>MAX($C$2:C848)</f>
        <v>29.440999999999999</v>
      </c>
      <c r="L848" s="11">
        <f t="shared" si="80"/>
        <v>-0.14394891477870994</v>
      </c>
    </row>
    <row r="849" spans="1:12" x14ac:dyDescent="0.35">
      <c r="A849" s="5" t="s">
        <v>1918</v>
      </c>
      <c r="B849" s="22">
        <v>2270.3000000000002</v>
      </c>
      <c r="C849" s="10">
        <v>26.056999999999999</v>
      </c>
      <c r="D849" s="23">
        <f t="shared" si="81"/>
        <v>1.0864241506745665E-2</v>
      </c>
      <c r="E849" s="11">
        <f t="shared" si="82"/>
        <v>3.3884854977582E-2</v>
      </c>
      <c r="F849" s="24">
        <f>(B849-$B$2)/$B$2</f>
        <v>0.48570119756560454</v>
      </c>
      <c r="G849" s="11">
        <f t="shared" si="83"/>
        <v>0.44392109054638146</v>
      </c>
      <c r="H849" s="25">
        <f t="shared" si="78"/>
        <v>87.128218904708916</v>
      </c>
      <c r="I849" s="26">
        <f>MAX($B$2:B849)</f>
        <v>2270.3000000000002</v>
      </c>
      <c r="J849" s="27">
        <f t="shared" si="79"/>
        <v>0</v>
      </c>
      <c r="K849" s="10">
        <f>MAX($C$2:C849)</f>
        <v>29.440999999999999</v>
      </c>
      <c r="L849" s="11">
        <f t="shared" si="80"/>
        <v>-0.11494174790258485</v>
      </c>
    </row>
    <row r="850" spans="1:12" x14ac:dyDescent="0.35">
      <c r="A850" s="5" t="s">
        <v>1920</v>
      </c>
      <c r="B850" s="22">
        <v>2303.3000000000002</v>
      </c>
      <c r="C850" s="10">
        <v>27.195</v>
      </c>
      <c r="D850" s="23">
        <f t="shared" si="81"/>
        <v>1.4535523939567457E-2</v>
      </c>
      <c r="E850" s="11">
        <f t="shared" si="82"/>
        <v>4.367348505200145E-2</v>
      </c>
      <c r="F850" s="24">
        <f>(B850-$B$2)/$B$2</f>
        <v>0.50729664288986343</v>
      </c>
      <c r="G850" s="11">
        <f t="shared" si="83"/>
        <v>0.50698215671062841</v>
      </c>
      <c r="H850" s="25">
        <f t="shared" si="78"/>
        <v>84.695716124287557</v>
      </c>
      <c r="I850" s="26">
        <f>MAX($B$2:B850)</f>
        <v>2303.3000000000002</v>
      </c>
      <c r="J850" s="27">
        <f t="shared" si="79"/>
        <v>0</v>
      </c>
      <c r="K850" s="10">
        <f>MAX($C$2:C850)</f>
        <v>29.440999999999999</v>
      </c>
      <c r="L850" s="11">
        <f t="shared" si="80"/>
        <v>-7.6288169559457858E-2</v>
      </c>
    </row>
    <row r="851" spans="1:12" x14ac:dyDescent="0.35">
      <c r="A851" s="5" t="s">
        <v>1922</v>
      </c>
      <c r="B851" s="22">
        <v>2296.9</v>
      </c>
      <c r="C851" s="10">
        <v>27.385000000000002</v>
      </c>
      <c r="D851" s="23">
        <f t="shared" si="81"/>
        <v>-2.7786219771632399E-3</v>
      </c>
      <c r="E851" s="11">
        <f t="shared" si="82"/>
        <v>6.9865784151498904E-3</v>
      </c>
      <c r="F851" s="24">
        <f>(B851-$B$2)/$B$2</f>
        <v>0.50310843531182525</v>
      </c>
      <c r="G851" s="11">
        <f t="shared" si="83"/>
        <v>0.51751080571871899</v>
      </c>
      <c r="H851" s="25">
        <f t="shared" si="78"/>
        <v>83.874383786744573</v>
      </c>
      <c r="I851" s="26">
        <f>MAX($B$2:B851)</f>
        <v>2303.3000000000002</v>
      </c>
      <c r="J851" s="27">
        <f t="shared" si="79"/>
        <v>-2.7786219771632399E-3</v>
      </c>
      <c r="K851" s="10">
        <f>MAX($C$2:C851)</f>
        <v>29.440999999999999</v>
      </c>
      <c r="L851" s="11">
        <f t="shared" si="80"/>
        <v>-6.9834584423083365E-2</v>
      </c>
    </row>
    <row r="852" spans="1:12" x14ac:dyDescent="0.35">
      <c r="A852" s="5" t="s">
        <v>1924</v>
      </c>
      <c r="B852" s="22">
        <v>2339</v>
      </c>
      <c r="C852" s="10">
        <v>27.956</v>
      </c>
      <c r="D852" s="23">
        <f t="shared" si="81"/>
        <v>1.8329052200792333E-2</v>
      </c>
      <c r="E852" s="11">
        <f t="shared" si="82"/>
        <v>2.08508307467591E-2</v>
      </c>
      <c r="F852" s="24">
        <f>(B852-$B$2)/$B$2</f>
        <v>0.53065898828610703</v>
      </c>
      <c r="G852" s="11">
        <f t="shared" si="83"/>
        <v>0.549152166685138</v>
      </c>
      <c r="H852" s="25">
        <f t="shared" si="78"/>
        <v>83.667191300615258</v>
      </c>
      <c r="I852" s="26">
        <f>MAX($B$2:B852)</f>
        <v>2339</v>
      </c>
      <c r="J852" s="27">
        <f t="shared" si="79"/>
        <v>0</v>
      </c>
      <c r="K852" s="10">
        <f>MAX($C$2:C852)</f>
        <v>29.440999999999999</v>
      </c>
      <c r="L852" s="11">
        <f t="shared" si="80"/>
        <v>-5.0439862776400238E-2</v>
      </c>
    </row>
    <row r="853" spans="1:12" x14ac:dyDescent="0.35">
      <c r="A853" s="5" t="s">
        <v>1926</v>
      </c>
      <c r="B853" s="22">
        <v>2350.6</v>
      </c>
      <c r="C853" s="10">
        <v>28.134</v>
      </c>
      <c r="D853" s="23">
        <f t="shared" si="81"/>
        <v>4.9593843522872634E-3</v>
      </c>
      <c r="E853" s="11">
        <f t="shared" si="82"/>
        <v>6.3671483760194885E-3</v>
      </c>
      <c r="F853" s="24">
        <f>(B853-$B$2)/$B$2</f>
        <v>0.538250114521301</v>
      </c>
      <c r="G853" s="11">
        <f t="shared" si="83"/>
        <v>0.55901584838745433</v>
      </c>
      <c r="H853" s="25">
        <f t="shared" si="78"/>
        <v>83.550152839980086</v>
      </c>
      <c r="I853" s="26">
        <f>MAX($B$2:B853)</f>
        <v>2350.6</v>
      </c>
      <c r="J853" s="27">
        <f t="shared" si="79"/>
        <v>0</v>
      </c>
      <c r="K853" s="10">
        <f>MAX($C$2:C853)</f>
        <v>29.440999999999999</v>
      </c>
      <c r="L853" s="11">
        <f t="shared" si="80"/>
        <v>-4.4393872490744155E-2</v>
      </c>
    </row>
    <row r="854" spans="1:12" x14ac:dyDescent="0.35">
      <c r="A854" s="5" t="s">
        <v>1928</v>
      </c>
      <c r="B854" s="22">
        <v>2336.6</v>
      </c>
      <c r="C854" s="10">
        <v>28.204000000000001</v>
      </c>
      <c r="D854" s="23">
        <f t="shared" si="81"/>
        <v>-5.9559261465157833E-3</v>
      </c>
      <c r="E854" s="11">
        <f t="shared" si="82"/>
        <v>2.4880926992251469E-3</v>
      </c>
      <c r="F854" s="24">
        <f>(B854-$B$2)/$B$2</f>
        <v>0.52908841044434263</v>
      </c>
      <c r="G854" s="11">
        <f t="shared" si="83"/>
        <v>0.56289482433780347</v>
      </c>
      <c r="H854" s="25">
        <f t="shared" si="78"/>
        <v>82.84640476528152</v>
      </c>
      <c r="I854" s="26">
        <f>MAX($B$2:B854)</f>
        <v>2350.6</v>
      </c>
      <c r="J854" s="27">
        <f t="shared" si="79"/>
        <v>-5.9559261465157833E-3</v>
      </c>
      <c r="K854" s="10">
        <f>MAX($C$2:C854)</f>
        <v>29.440999999999999</v>
      </c>
      <c r="L854" s="11">
        <f t="shared" si="80"/>
        <v>-4.2016235861553564E-2</v>
      </c>
    </row>
    <row r="855" spans="1:12" x14ac:dyDescent="0.35">
      <c r="A855" s="5" t="s">
        <v>1930</v>
      </c>
      <c r="B855" s="22">
        <v>2360.8000000000002</v>
      </c>
      <c r="C855" s="10">
        <v>28.401</v>
      </c>
      <c r="D855" s="23">
        <f t="shared" si="81"/>
        <v>1.0356928871009276E-2</v>
      </c>
      <c r="E855" s="11">
        <f t="shared" si="82"/>
        <v>6.9848248475393266E-3</v>
      </c>
      <c r="F855" s="24">
        <f>(B855-$B$2)/$B$2</f>
        <v>0.54492507034879933</v>
      </c>
      <c r="G855" s="11">
        <f t="shared" si="83"/>
        <v>0.57381137094092882</v>
      </c>
      <c r="H855" s="25">
        <f t="shared" si="78"/>
        <v>83.123833667828606</v>
      </c>
      <c r="I855" s="26">
        <f>MAX($B$2:B855)</f>
        <v>2360.8000000000002</v>
      </c>
      <c r="J855" s="27">
        <f t="shared" si="79"/>
        <v>0</v>
      </c>
      <c r="K855" s="10">
        <f>MAX($C$2:C855)</f>
        <v>29.440999999999999</v>
      </c>
      <c r="L855" s="11">
        <f t="shared" si="80"/>
        <v>-3.5324887062260085E-2</v>
      </c>
    </row>
    <row r="856" spans="1:12" x14ac:dyDescent="0.35">
      <c r="A856" s="5" t="s">
        <v>1932</v>
      </c>
      <c r="B856" s="22">
        <v>2370.9</v>
      </c>
      <c r="C856" s="10">
        <v>28.866</v>
      </c>
      <c r="D856" s="23">
        <f t="shared" si="81"/>
        <v>4.2782107760080939E-3</v>
      </c>
      <c r="E856" s="11">
        <f t="shared" si="82"/>
        <v>1.6372662934403714E-2</v>
      </c>
      <c r="F856" s="24">
        <f>(B856-$B$2)/$B$2</f>
        <v>0.55153458543289069</v>
      </c>
      <c r="G856" s="11">
        <f t="shared" si="83"/>
        <v>0.59957885403967637</v>
      </c>
      <c r="H856" s="25">
        <f t="shared" si="78"/>
        <v>82.134691332363332</v>
      </c>
      <c r="I856" s="26">
        <f>MAX($B$2:B856)</f>
        <v>2370.9</v>
      </c>
      <c r="J856" s="27">
        <f t="shared" si="79"/>
        <v>0</v>
      </c>
      <c r="K856" s="10">
        <f>MAX($C$2:C856)</f>
        <v>29.440999999999999</v>
      </c>
      <c r="L856" s="11">
        <f t="shared" si="80"/>
        <v>-1.9530586596922635E-2</v>
      </c>
    </row>
    <row r="857" spans="1:12" x14ac:dyDescent="0.35">
      <c r="A857" s="5" t="s">
        <v>1934</v>
      </c>
      <c r="B857" s="22">
        <v>2395.5</v>
      </c>
      <c r="C857" s="10">
        <v>28.526</v>
      </c>
      <c r="D857" s="23">
        <f t="shared" si="81"/>
        <v>1.0375806655700329E-2</v>
      </c>
      <c r="E857" s="11">
        <f t="shared" si="82"/>
        <v>-1.1778563015312127E-2</v>
      </c>
      <c r="F857" s="24">
        <f>(B857-$B$2)/$B$2</f>
        <v>0.56763300831097452</v>
      </c>
      <c r="G857" s="11">
        <f t="shared" si="83"/>
        <v>0.58073811370940931</v>
      </c>
      <c r="H857" s="25">
        <f t="shared" si="78"/>
        <v>83.976021874780898</v>
      </c>
      <c r="I857" s="26">
        <f>MAX($B$2:B857)</f>
        <v>2395.5</v>
      </c>
      <c r="J857" s="27">
        <f t="shared" si="79"/>
        <v>0</v>
      </c>
      <c r="K857" s="10">
        <f>MAX($C$2:C857)</f>
        <v>29.440999999999999</v>
      </c>
      <c r="L857" s="11">
        <f t="shared" si="80"/>
        <v>-3.1079107367276898E-2</v>
      </c>
    </row>
    <row r="858" spans="1:12" x14ac:dyDescent="0.35">
      <c r="A858" s="5" t="s">
        <v>1936</v>
      </c>
      <c r="B858" s="22">
        <v>2376.1999999999998</v>
      </c>
      <c r="C858" s="10">
        <v>28.553000000000001</v>
      </c>
      <c r="D858" s="23">
        <f t="shared" si="81"/>
        <v>-8.056773116259729E-3</v>
      </c>
      <c r="E858" s="11">
        <f t="shared" si="82"/>
        <v>9.4650494285918193E-4</v>
      </c>
      <c r="F858" s="24">
        <f>(B858-$B$2)/$B$2</f>
        <v>0.55500294483345325</v>
      </c>
      <c r="G858" s="11">
        <f t="shared" si="83"/>
        <v>0.58223429014740113</v>
      </c>
      <c r="H858" s="25">
        <f t="shared" si="78"/>
        <v>83.220677336882275</v>
      </c>
      <c r="I858" s="26">
        <f>MAX($B$2:B858)</f>
        <v>2395.5</v>
      </c>
      <c r="J858" s="27">
        <f t="shared" si="79"/>
        <v>-8.056773116259729E-3</v>
      </c>
      <c r="K858" s="10">
        <f>MAX($C$2:C858)</f>
        <v>29.440999999999999</v>
      </c>
      <c r="L858" s="11">
        <f t="shared" si="80"/>
        <v>-3.0162018953160497E-2</v>
      </c>
    </row>
    <row r="859" spans="1:12" x14ac:dyDescent="0.35">
      <c r="A859" s="5" t="s">
        <v>1938</v>
      </c>
      <c r="B859" s="22">
        <v>2385.8000000000002</v>
      </c>
      <c r="C859" s="10">
        <v>28.532</v>
      </c>
      <c r="D859" s="23">
        <f t="shared" si="81"/>
        <v>4.0400639676796413E-3</v>
      </c>
      <c r="E859" s="11">
        <f t="shared" si="82"/>
        <v>-7.3547438097575719E-4</v>
      </c>
      <c r="F859" s="24">
        <f>(B859-$B$2)/$B$2</f>
        <v>0.56128525620051062</v>
      </c>
      <c r="G859" s="11">
        <f t="shared" si="83"/>
        <v>0.58107059736229638</v>
      </c>
      <c r="H859" s="25">
        <f t="shared" si="78"/>
        <v>83.618393382868362</v>
      </c>
      <c r="I859" s="26">
        <f>MAX($B$2:B859)</f>
        <v>2395.5</v>
      </c>
      <c r="J859" s="27">
        <f t="shared" si="79"/>
        <v>-4.0492590273428584E-3</v>
      </c>
      <c r="K859" s="10">
        <f>MAX($C$2:C859)</f>
        <v>29.440999999999999</v>
      </c>
      <c r="L859" s="11">
        <f t="shared" si="80"/>
        <v>-3.0875309941917697E-2</v>
      </c>
    </row>
    <row r="860" spans="1:12" x14ac:dyDescent="0.35">
      <c r="A860" s="5" t="s">
        <v>1940</v>
      </c>
      <c r="B860" s="22">
        <v>2334.6</v>
      </c>
      <c r="C860" s="10">
        <v>27.396999999999998</v>
      </c>
      <c r="D860" s="23">
        <f t="shared" si="81"/>
        <v>-2.1460306815324112E-2</v>
      </c>
      <c r="E860" s="11">
        <f t="shared" si="82"/>
        <v>-3.9779896256834486E-2</v>
      </c>
      <c r="F860" s="24">
        <f>(B860-$B$2)/$B$2</f>
        <v>0.5277795955762058</v>
      </c>
      <c r="G860" s="11">
        <f t="shared" si="83"/>
        <v>0.51817577302449291</v>
      </c>
      <c r="H860" s="25">
        <f t="shared" si="78"/>
        <v>85.213709530240536</v>
      </c>
      <c r="I860" s="26">
        <f>MAX($B$2:B860)</f>
        <v>2395.5</v>
      </c>
      <c r="J860" s="27">
        <f t="shared" si="79"/>
        <v>-2.5422667501565473E-2</v>
      </c>
      <c r="K860" s="10">
        <f>MAX($C$2:C860)</f>
        <v>29.440999999999999</v>
      </c>
      <c r="L860" s="11">
        <f t="shared" si="80"/>
        <v>-6.9426989572365094E-2</v>
      </c>
    </row>
    <row r="861" spans="1:12" x14ac:dyDescent="0.35">
      <c r="A861" s="5" t="s">
        <v>1942</v>
      </c>
      <c r="B861" s="22">
        <v>2329.9</v>
      </c>
      <c r="C861" s="10">
        <v>27.510999999999999</v>
      </c>
      <c r="D861" s="23">
        <f t="shared" si="81"/>
        <v>-2.0131928381734851E-3</v>
      </c>
      <c r="E861" s="11">
        <f t="shared" si="82"/>
        <v>4.1610395298755619E-3</v>
      </c>
      <c r="F861" s="24">
        <f>(B861-$B$2)/$B$2</f>
        <v>0.5247038806360842</v>
      </c>
      <c r="G861" s="11">
        <f t="shared" si="83"/>
        <v>0.52449296242934729</v>
      </c>
      <c r="H861" s="25">
        <f t="shared" si="78"/>
        <v>84.689760459452586</v>
      </c>
      <c r="I861" s="26">
        <f>MAX($B$2:B861)</f>
        <v>2395.5</v>
      </c>
      <c r="J861" s="27">
        <f t="shared" si="79"/>
        <v>-2.738467960759754E-2</v>
      </c>
      <c r="K861" s="10">
        <f>MAX($C$2:C861)</f>
        <v>29.440999999999999</v>
      </c>
      <c r="L861" s="11">
        <f t="shared" si="80"/>
        <v>-6.555483849054039E-2</v>
      </c>
    </row>
    <row r="862" spans="1:12" x14ac:dyDescent="0.35">
      <c r="A862" s="5" t="s">
        <v>1944</v>
      </c>
      <c r="B862" s="22">
        <v>2326</v>
      </c>
      <c r="C862" s="10">
        <v>27.495999999999999</v>
      </c>
      <c r="D862" s="23">
        <f t="shared" si="81"/>
        <v>-1.6738915833297955E-3</v>
      </c>
      <c r="E862" s="11">
        <f t="shared" si="82"/>
        <v>-5.4523645087421648E-4</v>
      </c>
      <c r="F862" s="24">
        <f>(B862-$B$2)/$B$2</f>
        <v>0.52215169164321718</v>
      </c>
      <c r="G862" s="11">
        <f t="shared" si="83"/>
        <v>0.5236617532971295</v>
      </c>
      <c r="H862" s="25">
        <f t="shared" si="78"/>
        <v>84.5941227814955</v>
      </c>
      <c r="I862" s="26">
        <f>MAX($B$2:B862)</f>
        <v>2395.5</v>
      </c>
      <c r="J862" s="27">
        <f t="shared" si="79"/>
        <v>-2.9012732206219995E-2</v>
      </c>
      <c r="K862" s="10">
        <f>MAX($C$2:C862)</f>
        <v>29.440999999999999</v>
      </c>
      <c r="L862" s="11">
        <f t="shared" si="80"/>
        <v>-6.6064332053938399E-2</v>
      </c>
    </row>
    <row r="863" spans="1:12" x14ac:dyDescent="0.35">
      <c r="A863" s="5" t="s">
        <v>1946</v>
      </c>
      <c r="B863" s="22">
        <v>2330.3000000000002</v>
      </c>
      <c r="C863" s="10">
        <v>27.501999999999999</v>
      </c>
      <c r="D863" s="23">
        <f t="shared" si="81"/>
        <v>1.8486672398968969E-3</v>
      </c>
      <c r="E863" s="11">
        <f t="shared" si="82"/>
        <v>2.1821355833576622E-4</v>
      </c>
      <c r="F863" s="24">
        <f>(B863-$B$2)/$B$2</f>
        <v>0.52496564360971165</v>
      </c>
      <c r="G863" s="11">
        <f t="shared" si="83"/>
        <v>0.52399423695001657</v>
      </c>
      <c r="H863" s="25">
        <f t="shared" si="78"/>
        <v>84.732019489491677</v>
      </c>
      <c r="I863" s="26">
        <f>MAX($B$2:B863)</f>
        <v>2395.5</v>
      </c>
      <c r="J863" s="27">
        <f t="shared" si="79"/>
        <v>-2.7217699853892639E-2</v>
      </c>
      <c r="K863" s="10">
        <f>MAX($C$2:C863)</f>
        <v>29.440999999999999</v>
      </c>
      <c r="L863" s="11">
        <f t="shared" si="80"/>
        <v>-6.5860534628579201E-2</v>
      </c>
    </row>
    <row r="864" spans="1:12" x14ac:dyDescent="0.35">
      <c r="A864" s="5" t="s">
        <v>1948</v>
      </c>
      <c r="B864" s="22">
        <v>2357.6999999999998</v>
      </c>
      <c r="C864" s="10">
        <v>27.66</v>
      </c>
      <c r="D864" s="23">
        <f t="shared" si="81"/>
        <v>1.1758142728403911E-2</v>
      </c>
      <c r="E864" s="11">
        <f t="shared" si="82"/>
        <v>5.7450367246018926E-3</v>
      </c>
      <c r="F864" s="24">
        <f>(B864-$B$2)/$B$2</f>
        <v>0.54289640730318689</v>
      </c>
      <c r="G864" s="11">
        <f t="shared" si="83"/>
        <v>0.53274963980937606</v>
      </c>
      <c r="H864" s="25">
        <f t="shared" si="78"/>
        <v>85.238611713665932</v>
      </c>
      <c r="I864" s="26">
        <f>MAX($B$2:B864)</f>
        <v>2395.5</v>
      </c>
      <c r="J864" s="27">
        <f t="shared" si="79"/>
        <v>-1.5779586725109658E-2</v>
      </c>
      <c r="K864" s="10">
        <f>MAX($C$2:C864)</f>
        <v>29.440999999999999</v>
      </c>
      <c r="L864" s="11">
        <f t="shared" si="80"/>
        <v>-6.0493869094120405E-2</v>
      </c>
    </row>
    <row r="865" spans="1:12" x14ac:dyDescent="0.35">
      <c r="A865" s="5" t="s">
        <v>1950</v>
      </c>
      <c r="B865" s="22">
        <v>2302.9</v>
      </c>
      <c r="C865" s="10">
        <v>26.654</v>
      </c>
      <c r="D865" s="23">
        <f t="shared" si="81"/>
        <v>-2.3242991050600046E-2</v>
      </c>
      <c r="E865" s="11">
        <f t="shared" si="82"/>
        <v>-3.6370209689081716E-2</v>
      </c>
      <c r="F865" s="24">
        <f>(B865-$B$2)/$B$2</f>
        <v>0.50703487991623597</v>
      </c>
      <c r="G865" s="11">
        <f t="shared" si="83"/>
        <v>0.47700321400864459</v>
      </c>
      <c r="H865" s="25">
        <f t="shared" si="78"/>
        <v>86.399789900202606</v>
      </c>
      <c r="I865" s="26">
        <f>MAX($B$2:B865)</f>
        <v>2395.5</v>
      </c>
      <c r="J865" s="27">
        <f t="shared" si="79"/>
        <v>-3.8655812982675813E-2</v>
      </c>
      <c r="K865" s="10">
        <f>MAX($C$2:C865)</f>
        <v>29.440999999999999</v>
      </c>
      <c r="L865" s="11">
        <f t="shared" si="80"/>
        <v>-9.4663904079345107E-2</v>
      </c>
    </row>
    <row r="866" spans="1:12" x14ac:dyDescent="0.35">
      <c r="A866" s="5" t="s">
        <v>1952</v>
      </c>
      <c r="B866" s="22">
        <v>2311</v>
      </c>
      <c r="C866" s="10">
        <v>26.748000000000001</v>
      </c>
      <c r="D866" s="23">
        <f t="shared" si="81"/>
        <v>3.5173042685309429E-3</v>
      </c>
      <c r="E866" s="11">
        <f t="shared" si="82"/>
        <v>3.5266751707061302E-3</v>
      </c>
      <c r="F866" s="24">
        <f>(B866-$B$2)/$B$2</f>
        <v>0.51233558013219038</v>
      </c>
      <c r="G866" s="11">
        <f t="shared" si="83"/>
        <v>0.48221212457054208</v>
      </c>
      <c r="H866" s="25">
        <f t="shared" si="78"/>
        <v>86.398983101540296</v>
      </c>
      <c r="I866" s="26">
        <f>MAX($B$2:B866)</f>
        <v>2395.5</v>
      </c>
      <c r="J866" s="27">
        <f t="shared" si="79"/>
        <v>-3.5274472970152369E-2</v>
      </c>
      <c r="K866" s="10">
        <f>MAX($C$2:C866)</f>
        <v>29.440999999999999</v>
      </c>
      <c r="L866" s="11">
        <f t="shared" si="80"/>
        <v>-9.1471077748717711E-2</v>
      </c>
    </row>
    <row r="867" spans="1:12" x14ac:dyDescent="0.35">
      <c r="A867" s="5" t="s">
        <v>1954</v>
      </c>
      <c r="B867" s="22">
        <v>2309.6</v>
      </c>
      <c r="C867" s="10">
        <v>26.829000000000001</v>
      </c>
      <c r="D867" s="23">
        <f t="shared" si="81"/>
        <v>-6.0579835569021681E-4</v>
      </c>
      <c r="E867" s="11">
        <f t="shared" si="82"/>
        <v>3.0282637954239387E-3</v>
      </c>
      <c r="F867" s="24">
        <f>(B867-$B$2)/$B$2</f>
        <v>0.51141940972449451</v>
      </c>
      <c r="G867" s="11">
        <f t="shared" si="83"/>
        <v>0.48670065388451744</v>
      </c>
      <c r="H867" s="25">
        <f t="shared" si="78"/>
        <v>86.085951768608595</v>
      </c>
      <c r="I867" s="26">
        <f>MAX($B$2:B867)</f>
        <v>2395.5</v>
      </c>
      <c r="J867" s="27">
        <f t="shared" si="79"/>
        <v>-3.5858902108119428E-2</v>
      </c>
      <c r="K867" s="10">
        <f>MAX($C$2:C867)</f>
        <v>29.440999999999999</v>
      </c>
      <c r="L867" s="11">
        <f t="shared" si="80"/>
        <v>-8.8719812506368609E-2</v>
      </c>
    </row>
    <row r="868" spans="1:12" x14ac:dyDescent="0.35">
      <c r="A868" s="5" t="s">
        <v>1956</v>
      </c>
      <c r="B868" s="22">
        <v>2331.1999999999998</v>
      </c>
      <c r="C868" s="10">
        <v>27.614000000000001</v>
      </c>
      <c r="D868" s="23">
        <f t="shared" si="81"/>
        <v>9.3522687911326251E-3</v>
      </c>
      <c r="E868" s="11">
        <f t="shared" si="82"/>
        <v>2.9259383502925944E-2</v>
      </c>
      <c r="F868" s="24">
        <f>(B868-$B$2)/$B$2</f>
        <v>0.52555461030037298</v>
      </c>
      <c r="G868" s="11">
        <f t="shared" si="83"/>
        <v>0.53020059847057532</v>
      </c>
      <c r="H868" s="25">
        <f t="shared" si="78"/>
        <v>84.42094589700875</v>
      </c>
      <c r="I868" s="26">
        <f>MAX($B$2:B868)</f>
        <v>2395.5</v>
      </c>
      <c r="J868" s="27">
        <f t="shared" si="79"/>
        <v>-2.6841995408056849E-2</v>
      </c>
      <c r="K868" s="10">
        <f>MAX($C$2:C868)</f>
        <v>29.440999999999999</v>
      </c>
      <c r="L868" s="11">
        <f t="shared" si="80"/>
        <v>-6.2056316021874197E-2</v>
      </c>
    </row>
    <row r="869" spans="1:12" x14ac:dyDescent="0.35">
      <c r="A869" s="5" t="s">
        <v>1958</v>
      </c>
      <c r="B869" s="22">
        <v>2324.1999999999998</v>
      </c>
      <c r="C869" s="10">
        <v>27.544</v>
      </c>
      <c r="D869" s="23">
        <f t="shared" si="81"/>
        <v>-3.0027453671928623E-3</v>
      </c>
      <c r="E869" s="11">
        <f t="shared" si="82"/>
        <v>-2.5349460418628332E-3</v>
      </c>
      <c r="F869" s="24">
        <f>(B869-$B$2)/$B$2</f>
        <v>0.52097375826189385</v>
      </c>
      <c r="G869" s="11">
        <f t="shared" si="83"/>
        <v>0.52632162252022618</v>
      </c>
      <c r="H869" s="25">
        <f t="shared" si="78"/>
        <v>84.381353470810325</v>
      </c>
      <c r="I869" s="26">
        <f>MAX($B$2:B869)</f>
        <v>2395.5</v>
      </c>
      <c r="J869" s="27">
        <f t="shared" si="79"/>
        <v>-2.9764141097891956E-2</v>
      </c>
      <c r="K869" s="10">
        <f>MAX($C$2:C869)</f>
        <v>29.440999999999999</v>
      </c>
      <c r="L869" s="11">
        <f t="shared" si="80"/>
        <v>-6.4433952651064788E-2</v>
      </c>
    </row>
    <row r="870" spans="1:12" x14ac:dyDescent="0.35">
      <c r="A870" s="5" t="s">
        <v>1960</v>
      </c>
      <c r="B870" s="22">
        <v>2322.3000000000002</v>
      </c>
      <c r="C870" s="10">
        <v>27.600999999999999</v>
      </c>
      <c r="D870" s="23">
        <f t="shared" si="81"/>
        <v>-8.174855864381879E-4</v>
      </c>
      <c r="E870" s="11">
        <f t="shared" si="82"/>
        <v>2.069416206796348E-3</v>
      </c>
      <c r="F870" s="24">
        <f>(B870-$B$2)/$B$2</f>
        <v>0.51973038413716399</v>
      </c>
      <c r="G870" s="11">
        <f t="shared" si="83"/>
        <v>0.52948021722265326</v>
      </c>
      <c r="H870" s="25">
        <f t="shared" si="78"/>
        <v>84.138255860294933</v>
      </c>
      <c r="I870" s="26">
        <f>MAX($B$2:B870)</f>
        <v>2395.5</v>
      </c>
      <c r="J870" s="27">
        <f t="shared" si="79"/>
        <v>-3.0557294927989906E-2</v>
      </c>
      <c r="K870" s="10">
        <f>MAX($C$2:C870)</f>
        <v>29.440999999999999</v>
      </c>
      <c r="L870" s="11">
        <f t="shared" si="80"/>
        <v>-6.2497877110152505E-2</v>
      </c>
    </row>
    <row r="871" spans="1:12" x14ac:dyDescent="0.35">
      <c r="A871" s="5" t="s">
        <v>1962</v>
      </c>
      <c r="B871" s="22">
        <v>2340.3000000000002</v>
      </c>
      <c r="C871" s="10">
        <v>28.364999999999998</v>
      </c>
      <c r="D871" s="23">
        <f t="shared" si="81"/>
        <v>7.7509365715023896E-3</v>
      </c>
      <c r="E871" s="11">
        <f t="shared" si="82"/>
        <v>2.7680156516068234E-2</v>
      </c>
      <c r="F871" s="24">
        <f>(B871-$B$2)/$B$2</f>
        <v>0.53150971795039614</v>
      </c>
      <c r="G871" s="11">
        <f t="shared" si="83"/>
        <v>0.57181646902360628</v>
      </c>
      <c r="H871" s="25">
        <f t="shared" si="78"/>
        <v>82.506610259122169</v>
      </c>
      <c r="I871" s="26">
        <f>MAX($B$2:B871)</f>
        <v>2395.5</v>
      </c>
      <c r="J871" s="27">
        <f t="shared" si="79"/>
        <v>-2.3043206011271057E-2</v>
      </c>
      <c r="K871" s="10">
        <f>MAX($C$2:C871)</f>
        <v>29.440999999999999</v>
      </c>
      <c r="L871" s="11">
        <f t="shared" si="80"/>
        <v>-3.6547671614415293E-2</v>
      </c>
    </row>
    <row r="872" spans="1:12" x14ac:dyDescent="0.35">
      <c r="A872" s="5" t="s">
        <v>1964</v>
      </c>
      <c r="B872" s="22">
        <v>2343</v>
      </c>
      <c r="C872" s="10">
        <v>28.443000000000001</v>
      </c>
      <c r="D872" s="23">
        <f t="shared" si="81"/>
        <v>1.1536982438148176E-3</v>
      </c>
      <c r="E872" s="11">
        <f t="shared" si="82"/>
        <v>2.7498677948176614E-3</v>
      </c>
      <c r="F872" s="24">
        <f>(B872-$B$2)/$B$2</f>
        <v>0.5332766180223808</v>
      </c>
      <c r="G872" s="11">
        <f t="shared" si="83"/>
        <v>0.57613875651113833</v>
      </c>
      <c r="H872" s="25">
        <f t="shared" si="78"/>
        <v>82.37527686952852</v>
      </c>
      <c r="I872" s="26">
        <f>MAX($B$2:B872)</f>
        <v>2395.5</v>
      </c>
      <c r="J872" s="27">
        <f t="shared" si="79"/>
        <v>-2.1916092673763307E-2</v>
      </c>
      <c r="K872" s="10">
        <f>MAX($C$2:C872)</f>
        <v>29.440999999999999</v>
      </c>
      <c r="L872" s="11">
        <f t="shared" si="80"/>
        <v>-3.3898305084745679E-2</v>
      </c>
    </row>
    <row r="873" spans="1:12" x14ac:dyDescent="0.35">
      <c r="A873" s="5" t="s">
        <v>1966</v>
      </c>
      <c r="B873" s="22">
        <v>2359.9</v>
      </c>
      <c r="C873" s="10">
        <v>28.702000000000002</v>
      </c>
      <c r="D873" s="23">
        <f t="shared" si="81"/>
        <v>7.2129748186086605E-3</v>
      </c>
      <c r="E873" s="11">
        <f t="shared" si="82"/>
        <v>9.1059311605667589E-3</v>
      </c>
      <c r="F873" s="24">
        <f>(B873-$B$2)/$B$2</f>
        <v>0.54433610365813767</v>
      </c>
      <c r="G873" s="11">
        <f t="shared" si="83"/>
        <v>0.59049096752743002</v>
      </c>
      <c r="H873" s="25">
        <f t="shared" si="78"/>
        <v>82.220751167166043</v>
      </c>
      <c r="I873" s="26">
        <f>MAX($B$2:B873)</f>
        <v>2395.5</v>
      </c>
      <c r="J873" s="27">
        <f t="shared" si="79"/>
        <v>-1.4861198079732794E-2</v>
      </c>
      <c r="K873" s="10">
        <f>MAX($C$2:C873)</f>
        <v>29.440999999999999</v>
      </c>
      <c r="L873" s="11">
        <f t="shared" si="80"/>
        <v>-2.5101049556740505E-2</v>
      </c>
    </row>
    <row r="874" spans="1:12" x14ac:dyDescent="0.35">
      <c r="A874" s="5" t="s">
        <v>1968</v>
      </c>
      <c r="B874" s="22">
        <v>2394.9</v>
      </c>
      <c r="C874" s="10">
        <v>29.728999999999999</v>
      </c>
      <c r="D874" s="23">
        <f t="shared" si="81"/>
        <v>1.483113691258104E-2</v>
      </c>
      <c r="E874" s="11">
        <f t="shared" si="82"/>
        <v>3.5781478642603212E-2</v>
      </c>
      <c r="F874" s="24">
        <f>(B874-$B$2)/$B$2</f>
        <v>0.56724036385053345</v>
      </c>
      <c r="G874" s="11">
        <f t="shared" si="83"/>
        <v>0.64740108611326608</v>
      </c>
      <c r="H874" s="25">
        <f t="shared" si="78"/>
        <v>80.557704598203784</v>
      </c>
      <c r="I874" s="26">
        <f>MAX($B$2:B874)</f>
        <v>2395.5</v>
      </c>
      <c r="J874" s="27">
        <f t="shared" si="79"/>
        <v>-2.5046963055725698E-4</v>
      </c>
      <c r="K874" s="10">
        <f>MAX($C$2:C874)</f>
        <v>29.728999999999999</v>
      </c>
      <c r="L874" s="11">
        <f t="shared" si="80"/>
        <v>0</v>
      </c>
    </row>
    <row r="875" spans="1:12" x14ac:dyDescent="0.35">
      <c r="A875" s="5" t="s">
        <v>1970</v>
      </c>
      <c r="B875" s="22">
        <v>2385.5</v>
      </c>
      <c r="C875" s="10">
        <v>29.876000000000001</v>
      </c>
      <c r="D875" s="23">
        <f t="shared" si="81"/>
        <v>-3.9250073071944924E-3</v>
      </c>
      <c r="E875" s="11">
        <f t="shared" si="82"/>
        <v>4.9446668236402848E-3</v>
      </c>
      <c r="F875" s="24">
        <f>(B875-$B$2)/$B$2</f>
        <v>0.56108893397029003</v>
      </c>
      <c r="G875" s="11">
        <f t="shared" si="83"/>
        <v>0.65554693560899935</v>
      </c>
      <c r="H875" s="25">
        <f t="shared" si="78"/>
        <v>79.846699692060511</v>
      </c>
      <c r="I875" s="26">
        <f>MAX($B$2:B875)</f>
        <v>2395.5</v>
      </c>
      <c r="J875" s="27">
        <f t="shared" si="79"/>
        <v>-4.1744938426215824E-3</v>
      </c>
      <c r="K875" s="10">
        <f>MAX($C$2:C875)</f>
        <v>29.876000000000001</v>
      </c>
      <c r="L875" s="11">
        <f t="shared" si="80"/>
        <v>0</v>
      </c>
    </row>
    <row r="876" spans="1:12" x14ac:dyDescent="0.35">
      <c r="A876" s="5" t="s">
        <v>1972</v>
      </c>
      <c r="B876" s="22">
        <v>2438.5</v>
      </c>
      <c r="C876" s="10">
        <v>32.426000000000002</v>
      </c>
      <c r="D876" s="23">
        <f t="shared" si="81"/>
        <v>2.2217564451896876E-2</v>
      </c>
      <c r="E876" s="11">
        <f t="shared" si="82"/>
        <v>8.5352791538358563E-2</v>
      </c>
      <c r="F876" s="24">
        <f>(B876-$B$2)/$B$2</f>
        <v>0.59577252797591795</v>
      </c>
      <c r="G876" s="11">
        <f t="shared" si="83"/>
        <v>0.79685248808600262</v>
      </c>
      <c r="H876" s="25">
        <f t="shared" si="78"/>
        <v>75.2019983963486</v>
      </c>
      <c r="I876" s="26">
        <f>MAX($B$2:B876)</f>
        <v>2438.5</v>
      </c>
      <c r="J876" s="27">
        <f t="shared" si="79"/>
        <v>0</v>
      </c>
      <c r="K876" s="10">
        <f>MAX($C$2:C876)</f>
        <v>32.426000000000002</v>
      </c>
      <c r="L876" s="11">
        <f t="shared" si="80"/>
        <v>0</v>
      </c>
    </row>
    <row r="877" spans="1:12" x14ac:dyDescent="0.35">
      <c r="A877" s="5" t="s">
        <v>1974</v>
      </c>
      <c r="B877" s="22">
        <v>2425.9</v>
      </c>
      <c r="C877" s="10">
        <v>32.078000000000003</v>
      </c>
      <c r="D877" s="23">
        <f t="shared" si="81"/>
        <v>-5.1671109288496655E-3</v>
      </c>
      <c r="E877" s="11">
        <f t="shared" si="82"/>
        <v>-1.0732128538826834E-2</v>
      </c>
      <c r="F877" s="24">
        <f>(B877-$B$2)/$B$2</f>
        <v>0.58752699430665545</v>
      </c>
      <c r="G877" s="11">
        <f t="shared" si="83"/>
        <v>0.77756843621855276</v>
      </c>
      <c r="H877" s="25">
        <f t="shared" si="78"/>
        <v>75.625038967516673</v>
      </c>
      <c r="I877" s="26">
        <f>MAX($B$2:B877)</f>
        <v>2438.5</v>
      </c>
      <c r="J877" s="27">
        <f t="shared" si="79"/>
        <v>-5.1671109288496655E-3</v>
      </c>
      <c r="K877" s="10">
        <f>MAX($C$2:C877)</f>
        <v>32.426000000000002</v>
      </c>
      <c r="L877" s="11">
        <f t="shared" si="80"/>
        <v>-1.0732128538826834E-2</v>
      </c>
    </row>
    <row r="878" spans="1:12" x14ac:dyDescent="0.35">
      <c r="A878" s="5" t="s">
        <v>1976</v>
      </c>
      <c r="B878" s="22">
        <v>2392.9</v>
      </c>
      <c r="C878" s="10">
        <v>31.495999999999999</v>
      </c>
      <c r="D878" s="23">
        <f t="shared" si="81"/>
        <v>-1.360319881281174E-2</v>
      </c>
      <c r="E878" s="11">
        <f t="shared" si="82"/>
        <v>-1.814327576532216E-2</v>
      </c>
      <c r="F878" s="24">
        <f>(B878-$B$2)/$B$2</f>
        <v>0.56593154898239661</v>
      </c>
      <c r="G878" s="11">
        <f t="shared" si="83"/>
        <v>0.74531752188850708</v>
      </c>
      <c r="H878" s="25">
        <f t="shared" si="78"/>
        <v>75.97472694945391</v>
      </c>
      <c r="I878" s="26">
        <f>MAX($B$2:B878)</f>
        <v>2438.5</v>
      </c>
      <c r="J878" s="27">
        <f t="shared" si="79"/>
        <v>-1.8700020504408412E-2</v>
      </c>
      <c r="K878" s="10">
        <f>MAX($C$2:C878)</f>
        <v>32.426000000000002</v>
      </c>
      <c r="L878" s="11">
        <f t="shared" si="80"/>
        <v>-2.8680688336520176E-2</v>
      </c>
    </row>
    <row r="879" spans="1:12" x14ac:dyDescent="0.35">
      <c r="A879" s="5" t="s">
        <v>1978</v>
      </c>
      <c r="B879" s="22">
        <v>2337.1999999999998</v>
      </c>
      <c r="C879" s="10">
        <v>30.454999999999998</v>
      </c>
      <c r="D879" s="23">
        <f t="shared" si="81"/>
        <v>-2.3277195035312913E-2</v>
      </c>
      <c r="E879" s="11">
        <f t="shared" si="82"/>
        <v>-3.3051816103632219E-2</v>
      </c>
      <c r="F879" s="24">
        <f>(B879-$B$2)/$B$2</f>
        <v>0.5294810549047837</v>
      </c>
      <c r="G879" s="11">
        <f t="shared" si="83"/>
        <v>0.68763160811260104</v>
      </c>
      <c r="H879" s="25">
        <f t="shared" si="78"/>
        <v>76.742735183056965</v>
      </c>
      <c r="I879" s="26">
        <f>MAX($B$2:B879)</f>
        <v>2438.5</v>
      </c>
      <c r="J879" s="27">
        <f t="shared" si="79"/>
        <v>-4.1541931515275861E-2</v>
      </c>
      <c r="K879" s="10">
        <f>MAX($C$2:C879)</f>
        <v>32.426000000000002</v>
      </c>
      <c r="L879" s="11">
        <f t="shared" si="80"/>
        <v>-6.0784555603528141E-2</v>
      </c>
    </row>
    <row r="880" spans="1:12" x14ac:dyDescent="0.35">
      <c r="A880" s="5" t="s">
        <v>1980</v>
      </c>
      <c r="B880" s="22">
        <v>2356.5</v>
      </c>
      <c r="C880" s="10">
        <v>32.137</v>
      </c>
      <c r="D880" s="23">
        <f t="shared" si="81"/>
        <v>8.2577443094301664E-3</v>
      </c>
      <c r="E880" s="11">
        <f t="shared" si="82"/>
        <v>5.5229026432441382E-2</v>
      </c>
      <c r="F880" s="24">
        <f>(B880-$B$2)/$B$2</f>
        <v>0.54211111838230497</v>
      </c>
      <c r="G880" s="11">
        <f t="shared" si="83"/>
        <v>0.78083785880527545</v>
      </c>
      <c r="H880" s="25">
        <f t="shared" si="78"/>
        <v>73.326695086660237</v>
      </c>
      <c r="I880" s="26">
        <f>MAX($B$2:B880)</f>
        <v>2438.5</v>
      </c>
      <c r="J880" s="27">
        <f t="shared" si="79"/>
        <v>-3.3627229854418697E-2</v>
      </c>
      <c r="K880" s="10">
        <f>MAX($C$2:C880)</f>
        <v>32.426000000000002</v>
      </c>
      <c r="L880" s="11">
        <f t="shared" si="80"/>
        <v>-8.9126009991982186E-3</v>
      </c>
    </row>
    <row r="881" spans="1:12" x14ac:dyDescent="0.35">
      <c r="A881" s="5" t="s">
        <v>1982</v>
      </c>
      <c r="B881" s="22">
        <v>2341.1999999999998</v>
      </c>
      <c r="C881" s="10">
        <v>32.372999999999998</v>
      </c>
      <c r="D881" s="23">
        <f t="shared" si="81"/>
        <v>-6.4926798217696509E-3</v>
      </c>
      <c r="E881" s="11">
        <f t="shared" si="82"/>
        <v>7.3435603821139835E-3</v>
      </c>
      <c r="F881" s="24">
        <f>(B881-$B$2)/$B$2</f>
        <v>0.53209868464105747</v>
      </c>
      <c r="G881" s="11">
        <f t="shared" si="83"/>
        <v>0.79391554915216667</v>
      </c>
      <c r="H881" s="25">
        <f t="shared" si="78"/>
        <v>72.319525530534705</v>
      </c>
      <c r="I881" s="26">
        <f>MAX($B$2:B881)</f>
        <v>2438.5</v>
      </c>
      <c r="J881" s="27">
        <f t="shared" si="79"/>
        <v>-3.9901578839450558E-2</v>
      </c>
      <c r="K881" s="10">
        <f>MAX($C$2:C881)</f>
        <v>32.426000000000002</v>
      </c>
      <c r="L881" s="11">
        <f t="shared" si="80"/>
        <v>-1.6344908406835371E-3</v>
      </c>
    </row>
    <row r="882" spans="1:12" x14ac:dyDescent="0.35">
      <c r="A882" s="5" t="s">
        <v>1984</v>
      </c>
      <c r="B882" s="22">
        <v>2354.6999999999998</v>
      </c>
      <c r="C882" s="10">
        <v>31.68</v>
      </c>
      <c r="D882" s="23">
        <f t="shared" si="81"/>
        <v>5.7662737057919021E-3</v>
      </c>
      <c r="E882" s="11">
        <f t="shared" si="82"/>
        <v>-2.1406727828746114E-2</v>
      </c>
      <c r="F882" s="24">
        <f>(B882-$B$2)/$B$2</f>
        <v>0.54093318500098153</v>
      </c>
      <c r="G882" s="11">
        <f t="shared" si="83"/>
        <v>0.7555136872437106</v>
      </c>
      <c r="H882" s="25">
        <f t="shared" si="78"/>
        <v>74.327651515151516</v>
      </c>
      <c r="I882" s="26">
        <f>MAX($B$2:B882)</f>
        <v>2438.5</v>
      </c>
      <c r="J882" s="27">
        <f t="shared" si="79"/>
        <v>-3.4365388558540162E-2</v>
      </c>
      <c r="K882" s="10">
        <f>MAX($C$2:C882)</f>
        <v>32.426000000000002</v>
      </c>
      <c r="L882" s="11">
        <f t="shared" si="80"/>
        <v>-2.3006229568864559E-2</v>
      </c>
    </row>
    <row r="883" spans="1:12" x14ac:dyDescent="0.35">
      <c r="A883" s="5" t="s">
        <v>1986</v>
      </c>
      <c r="B883" s="22">
        <v>2357.5</v>
      </c>
      <c r="C883" s="10">
        <v>30.942</v>
      </c>
      <c r="D883" s="23">
        <f t="shared" si="81"/>
        <v>1.1891111394233583E-3</v>
      </c>
      <c r="E883" s="11">
        <f t="shared" si="82"/>
        <v>-2.3295454545454532E-2</v>
      </c>
      <c r="F883" s="24">
        <f>(B883-$B$2)/$B$2</f>
        <v>0.54276552581637338</v>
      </c>
      <c r="G883" s="11">
        <f t="shared" si="83"/>
        <v>0.71461819793860137</v>
      </c>
      <c r="H883" s="25">
        <f t="shared" si="78"/>
        <v>76.190937883782567</v>
      </c>
      <c r="I883" s="26">
        <f>MAX($B$2:B883)</f>
        <v>2438.5</v>
      </c>
      <c r="J883" s="27">
        <f t="shared" si="79"/>
        <v>-3.3217141685462373E-2</v>
      </c>
      <c r="K883" s="10">
        <f>MAX($C$2:C883)</f>
        <v>32.426000000000002</v>
      </c>
      <c r="L883" s="11">
        <f t="shared" si="80"/>
        <v>-4.576574353913531E-2</v>
      </c>
    </row>
    <row r="884" spans="1:12" x14ac:dyDescent="0.35">
      <c r="A884" s="5" t="s">
        <v>1988</v>
      </c>
      <c r="B884" s="22">
        <v>2335.6999999999998</v>
      </c>
      <c r="C884" s="10">
        <v>29.771999999999998</v>
      </c>
      <c r="D884" s="23">
        <f t="shared" si="81"/>
        <v>-9.2470837751856549E-3</v>
      </c>
      <c r="E884" s="11">
        <f t="shared" si="82"/>
        <v>-3.7812681791739439E-2</v>
      </c>
      <c r="F884" s="24">
        <f>(B884-$B$2)/$B$2</f>
        <v>0.52849944375368096</v>
      </c>
      <c r="G884" s="11">
        <f t="shared" si="83"/>
        <v>0.64978388562562339</v>
      </c>
      <c r="H884" s="25">
        <f t="shared" si="78"/>
        <v>78.452908773344078</v>
      </c>
      <c r="I884" s="26">
        <f>MAX($B$2:B884)</f>
        <v>2438.5</v>
      </c>
      <c r="J884" s="27">
        <f t="shared" si="79"/>
        <v>-4.2157063768710347E-2</v>
      </c>
      <c r="K884" s="10">
        <f>MAX($C$2:C884)</f>
        <v>32.426000000000002</v>
      </c>
      <c r="L884" s="11">
        <f t="shared" si="80"/>
        <v>-8.1847899833467075E-2</v>
      </c>
    </row>
    <row r="885" spans="1:12" x14ac:dyDescent="0.35">
      <c r="A885" s="5" t="s">
        <v>1990</v>
      </c>
      <c r="B885" s="22">
        <v>2363.6</v>
      </c>
      <c r="C885" s="10">
        <v>30.228999999999999</v>
      </c>
      <c r="D885" s="23">
        <f t="shared" si="81"/>
        <v>1.1945027186710661E-2</v>
      </c>
      <c r="E885" s="11">
        <f t="shared" si="82"/>
        <v>1.5349993282278677E-2</v>
      </c>
      <c r="F885" s="24">
        <f>(B885-$B$2)/$B$2</f>
        <v>0.54675741116419085</v>
      </c>
      <c r="G885" s="11">
        <f t="shared" si="83"/>
        <v>0.67510805718718836</v>
      </c>
      <c r="H885" s="25">
        <f t="shared" si="78"/>
        <v>78.189817724701442</v>
      </c>
      <c r="I885" s="26">
        <f>MAX($B$2:B885)</f>
        <v>2438.5</v>
      </c>
      <c r="J885" s="27">
        <f t="shared" si="79"/>
        <v>-3.0715603854828827E-2</v>
      </c>
      <c r="K885" s="10">
        <f>MAX($C$2:C885)</f>
        <v>32.426000000000002</v>
      </c>
      <c r="L885" s="11">
        <f t="shared" si="80"/>
        <v>-6.7754271263800736E-2</v>
      </c>
    </row>
    <row r="886" spans="1:12" x14ac:dyDescent="0.35">
      <c r="A886" s="5" t="s">
        <v>1992</v>
      </c>
      <c r="B886" s="22">
        <v>2378.9</v>
      </c>
      <c r="C886" s="10">
        <v>31.532</v>
      </c>
      <c r="D886" s="23">
        <f t="shared" si="81"/>
        <v>6.4731765104079292E-3</v>
      </c>
      <c r="E886" s="11">
        <f t="shared" si="82"/>
        <v>4.3104303814218162E-2</v>
      </c>
      <c r="F886" s="24">
        <f>(B886-$B$2)/$B$2</f>
        <v>0.55676984490543824</v>
      </c>
      <c r="G886" s="11">
        <f t="shared" si="83"/>
        <v>0.74731242380582963</v>
      </c>
      <c r="H886" s="25">
        <f t="shared" si="78"/>
        <v>75.443993403526576</v>
      </c>
      <c r="I886" s="26">
        <f>MAX($B$2:B886)</f>
        <v>2438.5</v>
      </c>
      <c r="J886" s="27">
        <f t="shared" si="79"/>
        <v>-2.444125486979697E-2</v>
      </c>
      <c r="K886" s="10">
        <f>MAX($C$2:C886)</f>
        <v>32.426000000000002</v>
      </c>
      <c r="L886" s="11">
        <f t="shared" si="80"/>
        <v>-2.757046814284839E-2</v>
      </c>
    </row>
    <row r="887" spans="1:12" x14ac:dyDescent="0.35">
      <c r="A887" s="5" t="s">
        <v>1994</v>
      </c>
      <c r="B887" s="22">
        <v>2315.1</v>
      </c>
      <c r="C887" s="10">
        <v>30.03</v>
      </c>
      <c r="D887" s="23">
        <f t="shared" si="81"/>
        <v>-2.6819118079784848E-2</v>
      </c>
      <c r="E887" s="11">
        <f t="shared" si="82"/>
        <v>-4.7634149435494065E-2</v>
      </c>
      <c r="F887" s="24">
        <f>(B887-$B$2)/$B$2</f>
        <v>0.51501865061187102</v>
      </c>
      <c r="G887" s="11">
        <f t="shared" si="83"/>
        <v>0.66408068269976739</v>
      </c>
      <c r="H887" s="25">
        <f t="shared" si="78"/>
        <v>77.092907092907083</v>
      </c>
      <c r="I887" s="26">
        <f>MAX($B$2:B887)</f>
        <v>2438.5</v>
      </c>
      <c r="J887" s="27">
        <f t="shared" si="79"/>
        <v>-5.060488004921062E-2</v>
      </c>
      <c r="K887" s="10">
        <f>MAX($C$2:C887)</f>
        <v>32.426000000000002</v>
      </c>
      <c r="L887" s="11">
        <f t="shared" si="80"/>
        <v>-7.3891321778819491E-2</v>
      </c>
    </row>
    <row r="888" spans="1:12" x14ac:dyDescent="0.35">
      <c r="A888" s="5" t="s">
        <v>1996</v>
      </c>
      <c r="B888" s="22">
        <v>2314.6</v>
      </c>
      <c r="C888" s="10">
        <v>29.385999999999999</v>
      </c>
      <c r="D888" s="23">
        <f t="shared" si="81"/>
        <v>-2.1597339207809598E-4</v>
      </c>
      <c r="E888" s="11">
        <f t="shared" si="82"/>
        <v>-2.1445221445221509E-2</v>
      </c>
      <c r="F888" s="24">
        <f>(B888-$B$2)/$B$2</f>
        <v>0.5146914468948367</v>
      </c>
      <c r="G888" s="11">
        <f t="shared" si="83"/>
        <v>0.62839410395655548</v>
      </c>
      <c r="H888" s="25">
        <f t="shared" si="78"/>
        <v>78.765398489076432</v>
      </c>
      <c r="I888" s="26">
        <f>MAX($B$2:B888)</f>
        <v>2438.5</v>
      </c>
      <c r="J888" s="27">
        <f t="shared" si="79"/>
        <v>-5.0809924133688782E-2</v>
      </c>
      <c r="K888" s="10">
        <f>MAX($C$2:C888)</f>
        <v>32.426000000000002</v>
      </c>
      <c r="L888" s="11">
        <f t="shared" si="80"/>
        <v>-9.3751927465614088E-2</v>
      </c>
    </row>
    <row r="889" spans="1:12" x14ac:dyDescent="0.35">
      <c r="A889" s="5" t="s">
        <v>1998</v>
      </c>
      <c r="B889" s="22">
        <v>2342.6999999999998</v>
      </c>
      <c r="C889" s="10">
        <v>30.422000000000001</v>
      </c>
      <c r="D889" s="23">
        <f t="shared" si="81"/>
        <v>1.2140326622310512E-2</v>
      </c>
      <c r="E889" s="11">
        <f t="shared" si="82"/>
        <v>3.5254883277751357E-2</v>
      </c>
      <c r="F889" s="24">
        <f>(B889-$B$2)/$B$2</f>
        <v>0.53308029579216021</v>
      </c>
      <c r="G889" s="11">
        <f t="shared" si="83"/>
        <v>0.68580294802172237</v>
      </c>
      <c r="H889" s="25">
        <f t="shared" si="78"/>
        <v>77.006771415423046</v>
      </c>
      <c r="I889" s="26">
        <f>MAX($B$2:B889)</f>
        <v>2438.5</v>
      </c>
      <c r="J889" s="27">
        <f t="shared" si="79"/>
        <v>-3.9286446586016065E-2</v>
      </c>
      <c r="K889" s="10">
        <f>MAX($C$2:C889)</f>
        <v>32.426000000000002</v>
      </c>
      <c r="L889" s="11">
        <f t="shared" si="80"/>
        <v>-6.1802257447727167E-2</v>
      </c>
    </row>
    <row r="890" spans="1:12" x14ac:dyDescent="0.35">
      <c r="A890" s="5" t="s">
        <v>2000</v>
      </c>
      <c r="B890" s="22">
        <v>2305.9</v>
      </c>
      <c r="C890" s="10">
        <v>29.216000000000001</v>
      </c>
      <c r="D890" s="23">
        <f t="shared" si="81"/>
        <v>-1.5708370683399382E-2</v>
      </c>
      <c r="E890" s="11">
        <f t="shared" si="82"/>
        <v>-3.9642364078627292E-2</v>
      </c>
      <c r="F890" s="24">
        <f>(B890-$B$2)/$B$2</f>
        <v>0.50899810221844133</v>
      </c>
      <c r="G890" s="11">
        <f t="shared" si="83"/>
        <v>0.61897373379142206</v>
      </c>
      <c r="H890" s="25">
        <f t="shared" si="78"/>
        <v>78.925930996714129</v>
      </c>
      <c r="I890" s="26">
        <f>MAX($B$2:B890)</f>
        <v>2438.5</v>
      </c>
      <c r="J890" s="27">
        <f t="shared" si="79"/>
        <v>-5.437769120360874E-2</v>
      </c>
      <c r="K890" s="10">
        <f>MAX($C$2:C890)</f>
        <v>32.426000000000002</v>
      </c>
      <c r="L890" s="11">
        <f t="shared" si="80"/>
        <v>-9.8994633935730603E-2</v>
      </c>
    </row>
    <row r="891" spans="1:12" x14ac:dyDescent="0.35">
      <c r="A891" s="5" t="s">
        <v>2002</v>
      </c>
      <c r="B891" s="22">
        <v>2316.9</v>
      </c>
      <c r="C891" s="10">
        <v>29.545000000000002</v>
      </c>
      <c r="D891" s="23">
        <f t="shared" si="81"/>
        <v>4.7703716553189638E-3</v>
      </c>
      <c r="E891" s="11">
        <f t="shared" si="82"/>
        <v>1.1260952902519189E-2</v>
      </c>
      <c r="F891" s="24">
        <f>(B891-$B$2)/$B$2</f>
        <v>0.51619658399319435</v>
      </c>
      <c r="G891" s="11">
        <f t="shared" si="83"/>
        <v>0.6372049207580629</v>
      </c>
      <c r="H891" s="25">
        <f t="shared" si="78"/>
        <v>78.41936029785073</v>
      </c>
      <c r="I891" s="26">
        <f>MAX($B$2:B891)</f>
        <v>2438.5</v>
      </c>
      <c r="J891" s="27">
        <f t="shared" si="79"/>
        <v>-4.9866721345089154E-2</v>
      </c>
      <c r="K891" s="10">
        <f>MAX($C$2:C891)</f>
        <v>32.426000000000002</v>
      </c>
      <c r="L891" s="11">
        <f t="shared" si="80"/>
        <v>-8.8848454943563804E-2</v>
      </c>
    </row>
    <row r="892" spans="1:12" x14ac:dyDescent="0.35">
      <c r="A892" s="5" t="s">
        <v>2004</v>
      </c>
      <c r="B892" s="22">
        <v>2334.8000000000002</v>
      </c>
      <c r="C892" s="10">
        <v>29.716999999999999</v>
      </c>
      <c r="D892" s="23">
        <f t="shared" si="81"/>
        <v>7.7258405628210496E-3</v>
      </c>
      <c r="E892" s="11">
        <f t="shared" si="82"/>
        <v>5.8216280250464386E-3</v>
      </c>
      <c r="F892" s="24">
        <f>(B892-$B$2)/$B$2</f>
        <v>0.52791047706301963</v>
      </c>
      <c r="G892" s="11">
        <f t="shared" si="83"/>
        <v>0.64673611880749193</v>
      </c>
      <c r="H892" s="25">
        <f t="shared" si="78"/>
        <v>78.567823131540877</v>
      </c>
      <c r="I892" s="26">
        <f>MAX($B$2:B892)</f>
        <v>2438.5</v>
      </c>
      <c r="J892" s="27">
        <f t="shared" si="79"/>
        <v>-4.2526143120770889E-2</v>
      </c>
      <c r="K892" s="10">
        <f>MAX($C$2:C892)</f>
        <v>32.426000000000002</v>
      </c>
      <c r="L892" s="11">
        <f t="shared" si="80"/>
        <v>-8.3544069573798896E-2</v>
      </c>
    </row>
    <row r="893" spans="1:12" x14ac:dyDescent="0.35">
      <c r="A893" s="5" t="s">
        <v>2006</v>
      </c>
      <c r="B893" s="22">
        <v>2357</v>
      </c>
      <c r="C893" s="10">
        <v>30.981000000000002</v>
      </c>
      <c r="D893" s="23">
        <f t="shared" si="81"/>
        <v>9.5083090628746859E-3</v>
      </c>
      <c r="E893" s="11">
        <f t="shared" si="82"/>
        <v>4.2534576168523165E-2</v>
      </c>
      <c r="F893" s="24">
        <f>(B893-$B$2)/$B$2</f>
        <v>0.54243832209933918</v>
      </c>
      <c r="G893" s="11">
        <f t="shared" si="83"/>
        <v>0.71677934168236745</v>
      </c>
      <c r="H893" s="25">
        <f t="shared" si="78"/>
        <v>76.078887059810853</v>
      </c>
      <c r="I893" s="26">
        <f>MAX($B$2:B893)</f>
        <v>2438.5</v>
      </c>
      <c r="J893" s="27">
        <f t="shared" si="79"/>
        <v>-3.3422185769940535E-2</v>
      </c>
      <c r="K893" s="10">
        <f>MAX($C$2:C893)</f>
        <v>32.426000000000002</v>
      </c>
      <c r="L893" s="11">
        <f t="shared" si="80"/>
        <v>-4.4563004995990876E-2</v>
      </c>
    </row>
    <row r="894" spans="1:12" x14ac:dyDescent="0.35">
      <c r="A894" s="5" t="s">
        <v>2008</v>
      </c>
      <c r="B894" s="22">
        <v>2332.4</v>
      </c>
      <c r="C894" s="10">
        <v>29.684999999999999</v>
      </c>
      <c r="D894" s="23">
        <f t="shared" si="81"/>
        <v>-1.0436996181586724E-2</v>
      </c>
      <c r="E894" s="11">
        <f t="shared" si="82"/>
        <v>-4.1832090636196473E-2</v>
      </c>
      <c r="F894" s="24">
        <f>(B894-$B$2)/$B$2</f>
        <v>0.52633989922125535</v>
      </c>
      <c r="G894" s="11">
        <f t="shared" si="83"/>
        <v>0.64496287265876096</v>
      </c>
      <c r="H894" s="25">
        <f t="shared" si="78"/>
        <v>78.57166919319522</v>
      </c>
      <c r="I894" s="26">
        <f>MAX($B$2:B894)</f>
        <v>2438.5</v>
      </c>
      <c r="J894" s="27">
        <f t="shared" si="79"/>
        <v>-4.3510354726266111E-2</v>
      </c>
      <c r="K894" s="10">
        <f>MAX($C$2:C894)</f>
        <v>32.426000000000002</v>
      </c>
      <c r="L894" s="11">
        <f t="shared" si="80"/>
        <v>-8.4530931968173781E-2</v>
      </c>
    </row>
    <row r="895" spans="1:12" x14ac:dyDescent="0.35">
      <c r="A895" s="5" t="s">
        <v>2010</v>
      </c>
      <c r="B895" s="22">
        <v>2318.4</v>
      </c>
      <c r="C895" s="10">
        <v>29.027999999999999</v>
      </c>
      <c r="D895" s="23">
        <f t="shared" si="81"/>
        <v>-6.002400960384153E-3</v>
      </c>
      <c r="E895" s="11">
        <f t="shared" si="82"/>
        <v>-2.2132390096008085E-2</v>
      </c>
      <c r="F895" s="24">
        <f>(B895-$B$2)/$B$2</f>
        <v>0.51717819514429697</v>
      </c>
      <c r="G895" s="11">
        <f t="shared" si="83"/>
        <v>0.60855591266762721</v>
      </c>
      <c r="H895" s="25">
        <f t="shared" si="78"/>
        <v>79.867713931376613</v>
      </c>
      <c r="I895" s="26">
        <f>MAX($B$2:B895)</f>
        <v>2438.5</v>
      </c>
      <c r="J895" s="27">
        <f t="shared" si="79"/>
        <v>-4.9251589091654668E-2</v>
      </c>
      <c r="K895" s="10">
        <f>MAX($C$2:C895)</f>
        <v>32.426000000000002</v>
      </c>
      <c r="L895" s="11">
        <f t="shared" si="80"/>
        <v>-0.10479245050268313</v>
      </c>
    </row>
    <row r="896" spans="1:12" x14ac:dyDescent="0.35">
      <c r="A896" s="5" t="s">
        <v>2012</v>
      </c>
      <c r="B896" s="22">
        <v>2301</v>
      </c>
      <c r="C896" s="10">
        <v>29.091000000000001</v>
      </c>
      <c r="D896" s="23">
        <f t="shared" si="81"/>
        <v>-7.505175983436892E-3</v>
      </c>
      <c r="E896" s="11">
        <f t="shared" si="82"/>
        <v>2.1703183133527076E-3</v>
      </c>
      <c r="F896" s="24">
        <f>(B896-$B$2)/$B$2</f>
        <v>0.50579150579150589</v>
      </c>
      <c r="G896" s="11">
        <f t="shared" si="83"/>
        <v>0.61204699102294147</v>
      </c>
      <c r="H896" s="25">
        <f t="shared" si="78"/>
        <v>79.096627823038048</v>
      </c>
      <c r="I896" s="26">
        <f>MAX($B$2:B896)</f>
        <v>2438.5</v>
      </c>
      <c r="J896" s="27">
        <f t="shared" si="79"/>
        <v>-5.6387123231494772E-2</v>
      </c>
      <c r="K896" s="10">
        <f>MAX($C$2:C896)</f>
        <v>32.426000000000002</v>
      </c>
      <c r="L896" s="11">
        <f t="shared" si="80"/>
        <v>-0.1028495651637575</v>
      </c>
    </row>
    <row r="897" spans="1:12" x14ac:dyDescent="0.35">
      <c r="A897" s="5" t="s">
        <v>2014</v>
      </c>
      <c r="B897" s="22">
        <v>2336.6</v>
      </c>
      <c r="C897" s="10">
        <v>29.256</v>
      </c>
      <c r="D897" s="23">
        <f t="shared" si="81"/>
        <v>1.5471534115601872E-2</v>
      </c>
      <c r="E897" s="11">
        <f t="shared" si="82"/>
        <v>5.6718572754459844E-3</v>
      </c>
      <c r="F897" s="24">
        <f>(B897-$B$2)/$B$2</f>
        <v>0.52908841044434263</v>
      </c>
      <c r="G897" s="11">
        <f t="shared" si="83"/>
        <v>0.62119029147733573</v>
      </c>
      <c r="H897" s="25">
        <f t="shared" si="78"/>
        <v>79.867377631938737</v>
      </c>
      <c r="I897" s="26">
        <f>MAX($B$2:B897)</f>
        <v>2438.5</v>
      </c>
      <c r="J897" s="27">
        <f t="shared" si="79"/>
        <v>-4.1787984416649618E-2</v>
      </c>
      <c r="K897" s="10">
        <f>MAX($C$2:C897)</f>
        <v>32.426000000000002</v>
      </c>
      <c r="L897" s="11">
        <f t="shared" si="80"/>
        <v>-9.7761055942762035E-2</v>
      </c>
    </row>
    <row r="898" spans="1:12" x14ac:dyDescent="0.35">
      <c r="A898" s="5" t="s">
        <v>2016</v>
      </c>
      <c r="B898" s="22">
        <v>2338.9</v>
      </c>
      <c r="C898" s="10">
        <v>29.613</v>
      </c>
      <c r="D898" s="23">
        <f t="shared" si="81"/>
        <v>9.8433621501334495E-4</v>
      </c>
      <c r="E898" s="11">
        <f t="shared" si="82"/>
        <v>1.2202625102543045E-2</v>
      </c>
      <c r="F898" s="24">
        <f>(B898-$B$2)/$B$2</f>
        <v>0.53059354754270027</v>
      </c>
      <c r="G898" s="11">
        <f t="shared" si="83"/>
        <v>0.6409730688241162</v>
      </c>
      <c r="H898" s="25">
        <f t="shared" si="78"/>
        <v>78.982203761861342</v>
      </c>
      <c r="I898" s="26">
        <f>MAX($B$2:B898)</f>
        <v>2438.5</v>
      </c>
      <c r="J898" s="27">
        <f t="shared" si="79"/>
        <v>-4.0844781628049991E-2</v>
      </c>
      <c r="K898" s="10">
        <f>MAX($C$2:C898)</f>
        <v>32.426000000000002</v>
      </c>
      <c r="L898" s="11">
        <f t="shared" si="80"/>
        <v>-8.6751372355517248E-2</v>
      </c>
    </row>
    <row r="899" spans="1:12" x14ac:dyDescent="0.35">
      <c r="A899" s="5" t="s">
        <v>2018</v>
      </c>
      <c r="B899" s="22">
        <v>2333.4</v>
      </c>
      <c r="C899" s="10">
        <v>29.658000000000001</v>
      </c>
      <c r="D899" s="23">
        <f t="shared" si="81"/>
        <v>-2.3515327718158108E-3</v>
      </c>
      <c r="E899" s="11">
        <f t="shared" si="82"/>
        <v>1.5196028771148383E-3</v>
      </c>
      <c r="F899" s="24">
        <f>(B899-$B$2)/$B$2</f>
        <v>0.52699430665532376</v>
      </c>
      <c r="G899" s="11">
        <f t="shared" si="83"/>
        <v>0.64346669622076924</v>
      </c>
      <c r="H899" s="25">
        <f t="shared" ref="H899:H962" si="84">B899/C899</f>
        <v>78.676916852114104</v>
      </c>
      <c r="I899" s="26">
        <f>MAX($B$2:B899)</f>
        <v>2438.5</v>
      </c>
      <c r="J899" s="27">
        <f t="shared" ref="J899:J962" si="85">(B899-I899)/I899</f>
        <v>-4.3100266557309787E-2</v>
      </c>
      <c r="K899" s="10">
        <f>MAX($C$2:C899)</f>
        <v>32.426000000000002</v>
      </c>
      <c r="L899" s="11">
        <f t="shared" ref="L899:L962" si="86">(C899-K899)/K899</f>
        <v>-8.5363597113427517E-2</v>
      </c>
    </row>
    <row r="900" spans="1:12" x14ac:dyDescent="0.35">
      <c r="A900" s="5" t="s">
        <v>2020</v>
      </c>
      <c r="B900" s="22">
        <v>2369.4</v>
      </c>
      <c r="C900" s="10">
        <v>30.841999999999999</v>
      </c>
      <c r="D900" s="23">
        <f t="shared" ref="D900:D963" si="87">(B900-B899)/B899</f>
        <v>1.542813062483929E-2</v>
      </c>
      <c r="E900" s="11">
        <f t="shared" ref="E900:E963" si="88">(C900-C899)/C899</f>
        <v>3.9921774900532656E-2</v>
      </c>
      <c r="F900" s="24">
        <f>(B900-$B$2)/$B$2</f>
        <v>0.55055297428178795</v>
      </c>
      <c r="G900" s="11">
        <f t="shared" ref="G900:G963" si="89">(C900-$C$2)/$C$2</f>
        <v>0.70907680372381687</v>
      </c>
      <c r="H900" s="25">
        <f t="shared" si="84"/>
        <v>76.82381168536412</v>
      </c>
      <c r="I900" s="26">
        <f>MAX($B$2:B900)</f>
        <v>2438.5</v>
      </c>
      <c r="J900" s="27">
        <f t="shared" si="85"/>
        <v>-2.8337092474882062E-2</v>
      </c>
      <c r="K900" s="10">
        <f>MAX($C$2:C900)</f>
        <v>32.426000000000002</v>
      </c>
      <c r="L900" s="11">
        <f t="shared" si="86"/>
        <v>-4.8849688521556869E-2</v>
      </c>
    </row>
    <row r="901" spans="1:12" x14ac:dyDescent="0.35">
      <c r="A901" s="5" t="s">
        <v>2022</v>
      </c>
      <c r="B901" s="22">
        <v>2363.5</v>
      </c>
      <c r="C901" s="10">
        <v>30.913</v>
      </c>
      <c r="D901" s="23">
        <f t="shared" si="87"/>
        <v>-2.490081877268545E-3</v>
      </c>
      <c r="E901" s="11">
        <f t="shared" si="88"/>
        <v>2.3020556384151969E-3</v>
      </c>
      <c r="F901" s="24">
        <f>(B901-$B$2)/$B$2</f>
        <v>0.5466919704207841</v>
      </c>
      <c r="G901" s="11">
        <f t="shared" si="89"/>
        <v>0.71301119361631393</v>
      </c>
      <c r="H901" s="25">
        <f t="shared" si="84"/>
        <v>76.456506971177177</v>
      </c>
      <c r="I901" s="26">
        <f>MAX($B$2:B901)</f>
        <v>2438.5</v>
      </c>
      <c r="J901" s="27">
        <f t="shared" si="85"/>
        <v>-3.0756612671724422E-2</v>
      </c>
      <c r="K901" s="10">
        <f>MAX($C$2:C901)</f>
        <v>32.426000000000002</v>
      </c>
      <c r="L901" s="11">
        <f t="shared" si="86"/>
        <v>-4.666008758403755E-2</v>
      </c>
    </row>
    <row r="902" spans="1:12" x14ac:dyDescent="0.35">
      <c r="A902" s="5" t="s">
        <v>2024</v>
      </c>
      <c r="B902" s="22">
        <v>2367.9</v>
      </c>
      <c r="C902" s="10">
        <v>31.056000000000001</v>
      </c>
      <c r="D902" s="23">
        <f t="shared" si="87"/>
        <v>1.8616458641845107E-3</v>
      </c>
      <c r="E902" s="11">
        <f t="shared" si="88"/>
        <v>4.6258855497687277E-3</v>
      </c>
      <c r="F902" s="24">
        <f>(B902-$B$2)/$B$2</f>
        <v>0.54957136313068533</v>
      </c>
      <c r="G902" s="11">
        <f t="shared" si="89"/>
        <v>0.72093538734345575</v>
      </c>
      <c r="H902" s="25">
        <f t="shared" si="84"/>
        <v>76.246136012364758</v>
      </c>
      <c r="I902" s="26">
        <f>MAX($B$2:B902)</f>
        <v>2438.5</v>
      </c>
      <c r="J902" s="27">
        <f t="shared" si="85"/>
        <v>-2.8952224728316552E-2</v>
      </c>
      <c r="K902" s="10">
        <f>MAX($C$2:C902)</f>
        <v>32.426000000000002</v>
      </c>
      <c r="L902" s="11">
        <f t="shared" si="86"/>
        <v>-4.2250046259174764E-2</v>
      </c>
    </row>
    <row r="903" spans="1:12" x14ac:dyDescent="0.35">
      <c r="A903" s="5" t="s">
        <v>2026</v>
      </c>
      <c r="B903" s="22">
        <v>2379.6999999999998</v>
      </c>
      <c r="C903" s="10">
        <v>31.013999999999999</v>
      </c>
      <c r="D903" s="23">
        <f t="shared" si="87"/>
        <v>4.9833185523036139E-3</v>
      </c>
      <c r="E903" s="11">
        <f t="shared" si="88"/>
        <v>-1.3523956723338997E-3</v>
      </c>
      <c r="F903" s="24">
        <f>(B903-$B$2)/$B$2</f>
        <v>0.55729337085269282</v>
      </c>
      <c r="G903" s="11">
        <f t="shared" si="89"/>
        <v>0.71860800177324613</v>
      </c>
      <c r="H903" s="25">
        <f t="shared" si="84"/>
        <v>76.729863932417615</v>
      </c>
      <c r="I903" s="26">
        <f>MAX($B$2:B903)</f>
        <v>2438.5</v>
      </c>
      <c r="J903" s="27">
        <f t="shared" si="85"/>
        <v>-2.4113184334632019E-2</v>
      </c>
      <c r="K903" s="10">
        <f>MAX($C$2:C903)</f>
        <v>32.426000000000002</v>
      </c>
      <c r="L903" s="11">
        <f t="shared" si="86"/>
        <v>-4.354530315179185E-2</v>
      </c>
    </row>
    <row r="904" spans="1:12" x14ac:dyDescent="0.35">
      <c r="A904" s="5" t="s">
        <v>2028</v>
      </c>
      <c r="B904" s="22">
        <v>2421.9</v>
      </c>
      <c r="C904" s="10">
        <v>31.670999999999999</v>
      </c>
      <c r="D904" s="23">
        <f t="shared" si="87"/>
        <v>1.77333277303863E-2</v>
      </c>
      <c r="E904" s="11">
        <f t="shared" si="88"/>
        <v>2.1183981427742311E-2</v>
      </c>
      <c r="F904" s="24">
        <f>(B904-$B$2)/$B$2</f>
        <v>0.58490936457038167</v>
      </c>
      <c r="G904" s="11">
        <f t="shared" si="89"/>
        <v>0.75501496176437999</v>
      </c>
      <c r="H904" s="25">
        <f t="shared" si="84"/>
        <v>76.470588235294116</v>
      </c>
      <c r="I904" s="26">
        <f>MAX($B$2:B904)</f>
        <v>2438.5</v>
      </c>
      <c r="J904" s="27">
        <f t="shared" si="85"/>
        <v>-6.8074636046749678E-3</v>
      </c>
      <c r="K904" s="10">
        <f>MAX($C$2:C904)</f>
        <v>32.426000000000002</v>
      </c>
      <c r="L904" s="11">
        <f t="shared" si="86"/>
        <v>-2.3283784617282505E-2</v>
      </c>
    </row>
    <row r="905" spans="1:12" x14ac:dyDescent="0.35">
      <c r="A905" s="5" t="s">
        <v>2029</v>
      </c>
      <c r="B905" s="22">
        <v>2428.9</v>
      </c>
      <c r="C905" s="10">
        <v>30.936</v>
      </c>
      <c r="D905" s="23">
        <f t="shared" si="87"/>
        <v>2.8902927453652088E-3</v>
      </c>
      <c r="E905" s="11">
        <f t="shared" si="88"/>
        <v>-2.3207350573079457E-2</v>
      </c>
      <c r="F905" s="24">
        <f>(B905-$B$2)/$B$2</f>
        <v>0.58949021660886081</v>
      </c>
      <c r="G905" s="11">
        <f t="shared" si="89"/>
        <v>0.7142857142857143</v>
      </c>
      <c r="H905" s="25">
        <f t="shared" si="84"/>
        <v>78.513705715024571</v>
      </c>
      <c r="I905" s="26">
        <f>MAX($B$2:B905)</f>
        <v>2438.5</v>
      </c>
      <c r="J905" s="27">
        <f t="shared" si="85"/>
        <v>-3.9368464219806882E-3</v>
      </c>
      <c r="K905" s="10">
        <f>MAX($C$2:C905)</f>
        <v>32.426000000000002</v>
      </c>
      <c r="L905" s="11">
        <f t="shared" si="86"/>
        <v>-4.5950780238080614E-2</v>
      </c>
    </row>
    <row r="906" spans="1:12" x14ac:dyDescent="0.35">
      <c r="A906" s="5" t="s">
        <v>2031</v>
      </c>
      <c r="B906" s="22">
        <v>2467.8000000000002</v>
      </c>
      <c r="C906" s="10">
        <v>31.457999999999998</v>
      </c>
      <c r="D906" s="23">
        <f t="shared" si="87"/>
        <v>1.6015480258553292E-2</v>
      </c>
      <c r="E906" s="11">
        <f t="shared" si="88"/>
        <v>1.6873545384018571E-2</v>
      </c>
      <c r="F906" s="24">
        <f>(B906-$B$2)/$B$2</f>
        <v>0.6149466657941236</v>
      </c>
      <c r="G906" s="11">
        <f t="shared" si="89"/>
        <v>0.74321179208688903</v>
      </c>
      <c r="H906" s="25">
        <f t="shared" si="84"/>
        <v>78.447453747854297</v>
      </c>
      <c r="I906" s="26">
        <f>MAX($B$2:B906)</f>
        <v>2467.8000000000002</v>
      </c>
      <c r="J906" s="27">
        <f t="shared" si="85"/>
        <v>0</v>
      </c>
      <c r="K906" s="10">
        <f>MAX($C$2:C906)</f>
        <v>32.426000000000002</v>
      </c>
      <c r="L906" s="11">
        <f t="shared" si="86"/>
        <v>-2.9852587429840358E-2</v>
      </c>
    </row>
    <row r="907" spans="1:12" x14ac:dyDescent="0.35">
      <c r="A907" s="5" t="s">
        <v>2033</v>
      </c>
      <c r="B907" s="22">
        <v>2459.9</v>
      </c>
      <c r="C907" s="10">
        <v>30.376999999999999</v>
      </c>
      <c r="D907" s="23">
        <f t="shared" si="87"/>
        <v>-3.2012318664397807E-3</v>
      </c>
      <c r="E907" s="11">
        <f t="shared" si="88"/>
        <v>-3.4363278021488954E-2</v>
      </c>
      <c r="F907" s="24">
        <f>(B907-$B$2)/$B$2</f>
        <v>0.60977684706498281</v>
      </c>
      <c r="G907" s="11">
        <f t="shared" si="89"/>
        <v>0.68330932062506922</v>
      </c>
      <c r="H907" s="25">
        <f t="shared" si="84"/>
        <v>80.979030187312773</v>
      </c>
      <c r="I907" s="26">
        <f>MAX($B$2:B907)</f>
        <v>2467.8000000000002</v>
      </c>
      <c r="J907" s="27">
        <f t="shared" si="85"/>
        <v>-3.2012318664397807E-3</v>
      </c>
      <c r="K907" s="10">
        <f>MAX($C$2:C907)</f>
        <v>32.426000000000002</v>
      </c>
      <c r="L907" s="11">
        <f t="shared" si="86"/>
        <v>-6.3190032689816905E-2</v>
      </c>
    </row>
    <row r="908" spans="1:12" x14ac:dyDescent="0.35">
      <c r="A908" s="5" t="s">
        <v>2035</v>
      </c>
      <c r="B908" s="22">
        <v>2456.4</v>
      </c>
      <c r="C908" s="10">
        <v>30.224</v>
      </c>
      <c r="D908" s="23">
        <f t="shared" si="87"/>
        <v>-1.4228220659376397E-3</v>
      </c>
      <c r="E908" s="11">
        <f t="shared" si="88"/>
        <v>-5.036705402113398E-3</v>
      </c>
      <c r="F908" s="24">
        <f>(B908-$B$2)/$B$2</f>
        <v>0.60748642104574324</v>
      </c>
      <c r="G908" s="11">
        <f t="shared" si="89"/>
        <v>0.6748309874764491</v>
      </c>
      <c r="H908" s="25">
        <f t="shared" si="84"/>
        <v>81.273160402329282</v>
      </c>
      <c r="I908" s="26">
        <f>MAX($B$2:B908)</f>
        <v>2467.8000000000002</v>
      </c>
      <c r="J908" s="27">
        <f t="shared" si="85"/>
        <v>-4.6194991490396669E-3</v>
      </c>
      <c r="K908" s="10">
        <f>MAX($C$2:C908)</f>
        <v>32.426000000000002</v>
      </c>
      <c r="L908" s="11">
        <f t="shared" si="86"/>
        <v>-6.7908468512921774E-2</v>
      </c>
    </row>
    <row r="909" spans="1:12" x14ac:dyDescent="0.35">
      <c r="A909" s="5" t="s">
        <v>2037</v>
      </c>
      <c r="B909" s="22">
        <v>2394.6999999999998</v>
      </c>
      <c r="C909" s="10">
        <v>29.321000000000002</v>
      </c>
      <c r="D909" s="23">
        <f t="shared" si="87"/>
        <v>-2.5118058948054172E-2</v>
      </c>
      <c r="E909" s="11">
        <f t="shared" si="88"/>
        <v>-2.9876919004764382E-2</v>
      </c>
      <c r="F909" s="24">
        <f>(B909-$B$2)/$B$2</f>
        <v>0.56710948236371961</v>
      </c>
      <c r="G909" s="11">
        <f t="shared" si="89"/>
        <v>0.62479219771694572</v>
      </c>
      <c r="H909" s="25">
        <f t="shared" si="84"/>
        <v>81.67183929606766</v>
      </c>
      <c r="I909" s="26">
        <f>MAX($B$2:B909)</f>
        <v>2467.8000000000002</v>
      </c>
      <c r="J909" s="27">
        <f t="shared" si="85"/>
        <v>-2.9621525245157775E-2</v>
      </c>
      <c r="K909" s="10">
        <f>MAX($C$2:C909)</f>
        <v>32.426000000000002</v>
      </c>
      <c r="L909" s="11">
        <f t="shared" si="86"/>
        <v>-9.5756491704187999E-2</v>
      </c>
    </row>
    <row r="910" spans="1:12" x14ac:dyDescent="0.35">
      <c r="A910" s="5" t="s">
        <v>2039</v>
      </c>
      <c r="B910" s="22">
        <v>2407.3000000000002</v>
      </c>
      <c r="C910" s="10">
        <v>29.331</v>
      </c>
      <c r="D910" s="23">
        <f t="shared" si="87"/>
        <v>5.2616194095295296E-3</v>
      </c>
      <c r="E910" s="11">
        <f t="shared" si="88"/>
        <v>3.4105248797783192E-4</v>
      </c>
      <c r="F910" s="24">
        <f>(B910-$B$2)/$B$2</f>
        <v>0.57535501603298234</v>
      </c>
      <c r="G910" s="11">
        <f t="shared" si="89"/>
        <v>0.62534633713842402</v>
      </c>
      <c r="H910" s="25">
        <f t="shared" si="84"/>
        <v>82.07357403429819</v>
      </c>
      <c r="I910" s="26">
        <f>MAX($B$2:B910)</f>
        <v>2467.8000000000002</v>
      </c>
      <c r="J910" s="27">
        <f t="shared" si="85"/>
        <v>-2.4515763027798038E-2</v>
      </c>
      <c r="K910" s="10">
        <f>MAX($C$2:C910)</f>
        <v>32.426000000000002</v>
      </c>
      <c r="L910" s="11">
        <f t="shared" si="86"/>
        <v>-9.5448097205945909E-2</v>
      </c>
    </row>
    <row r="911" spans="1:12" x14ac:dyDescent="0.35">
      <c r="A911" s="5" t="s">
        <v>2041</v>
      </c>
      <c r="B911" s="22">
        <v>2415.6999999999998</v>
      </c>
      <c r="C911" s="10">
        <v>29.315999999999999</v>
      </c>
      <c r="D911" s="23">
        <f t="shared" si="87"/>
        <v>3.4893864495491363E-3</v>
      </c>
      <c r="E911" s="11">
        <f t="shared" si="88"/>
        <v>-5.1140431625244852E-4</v>
      </c>
      <c r="F911" s="24">
        <f>(B911-$B$2)/$B$2</f>
        <v>0.58085203847915712</v>
      </c>
      <c r="G911" s="11">
        <f t="shared" si="89"/>
        <v>0.62451512800620634</v>
      </c>
      <c r="H911" s="25">
        <f t="shared" si="84"/>
        <v>82.402101241642782</v>
      </c>
      <c r="I911" s="26">
        <f>MAX($B$2:B911)</f>
        <v>2467.8000000000002</v>
      </c>
      <c r="J911" s="27">
        <f t="shared" si="85"/>
        <v>-2.1111921549558457E-2</v>
      </c>
      <c r="K911" s="10">
        <f>MAX($C$2:C911)</f>
        <v>32.426000000000002</v>
      </c>
      <c r="L911" s="11">
        <f t="shared" si="86"/>
        <v>-9.5910688953309162E-2</v>
      </c>
    </row>
    <row r="912" spans="1:12" x14ac:dyDescent="0.35">
      <c r="A912" s="5" t="s">
        <v>2043</v>
      </c>
      <c r="B912" s="22">
        <v>2353.5</v>
      </c>
      <c r="C912" s="10">
        <v>27.975000000000001</v>
      </c>
      <c r="D912" s="23">
        <f t="shared" si="87"/>
        <v>-2.5748230326613331E-2</v>
      </c>
      <c r="E912" s="11">
        <f t="shared" si="88"/>
        <v>-4.574293900941457E-2</v>
      </c>
      <c r="F912" s="24">
        <f>(B912-$B$2)/$B$2</f>
        <v>0.54014789608009961</v>
      </c>
      <c r="G912" s="11">
        <f t="shared" si="89"/>
        <v>0.55020503158594714</v>
      </c>
      <c r="H912" s="25">
        <f t="shared" si="84"/>
        <v>84.128686327077745</v>
      </c>
      <c r="I912" s="26">
        <f>MAX($B$2:B912)</f>
        <v>2467.8000000000002</v>
      </c>
      <c r="J912" s="27">
        <f t="shared" si="85"/>
        <v>-4.6316557257476368E-2</v>
      </c>
      <c r="K912" s="10">
        <f>MAX($C$2:C912)</f>
        <v>32.426000000000002</v>
      </c>
      <c r="L912" s="11">
        <f t="shared" si="86"/>
        <v>-0.13726639116758158</v>
      </c>
    </row>
    <row r="913" spans="1:12" x14ac:dyDescent="0.35">
      <c r="A913" s="5" t="s">
        <v>2045</v>
      </c>
      <c r="B913" s="22">
        <v>2377.8000000000002</v>
      </c>
      <c r="C913" s="10">
        <v>27.866</v>
      </c>
      <c r="D913" s="23">
        <f t="shared" si="87"/>
        <v>1.0325047801147305E-2</v>
      </c>
      <c r="E913" s="11">
        <f t="shared" si="88"/>
        <v>-3.8963360142985435E-3</v>
      </c>
      <c r="F913" s="24">
        <f>(B913-$B$2)/$B$2</f>
        <v>0.55604999672796307</v>
      </c>
      <c r="G913" s="11">
        <f t="shared" si="89"/>
        <v>0.54416491189183203</v>
      </c>
      <c r="H913" s="25">
        <f t="shared" si="84"/>
        <v>85.32979257876984</v>
      </c>
      <c r="I913" s="26">
        <f>MAX($B$2:B913)</f>
        <v>2467.8000000000002</v>
      </c>
      <c r="J913" s="27">
        <f t="shared" si="85"/>
        <v>-3.6469730123997082E-2</v>
      </c>
      <c r="K913" s="10">
        <f>MAX($C$2:C913)</f>
        <v>32.426000000000002</v>
      </c>
      <c r="L913" s="11">
        <f t="shared" si="86"/>
        <v>-0.14062789119842109</v>
      </c>
    </row>
    <row r="914" spans="1:12" x14ac:dyDescent="0.35">
      <c r="A914" s="5" t="s">
        <v>2047</v>
      </c>
      <c r="B914" s="22">
        <v>2417.6</v>
      </c>
      <c r="C914" s="10">
        <v>28.684999999999999</v>
      </c>
      <c r="D914" s="23">
        <f t="shared" si="87"/>
        <v>1.6738161325594973E-2</v>
      </c>
      <c r="E914" s="11">
        <f t="shared" si="88"/>
        <v>2.9390655278834388E-2</v>
      </c>
      <c r="F914" s="24">
        <f>(B914-$B$2)/$B$2</f>
        <v>0.5820954126038872</v>
      </c>
      <c r="G914" s="11">
        <f t="shared" si="89"/>
        <v>0.5895489305109165</v>
      </c>
      <c r="H914" s="25">
        <f t="shared" si="84"/>
        <v>84.280983092208473</v>
      </c>
      <c r="I914" s="26">
        <f>MAX($B$2:B914)</f>
        <v>2467.8000000000002</v>
      </c>
      <c r="J914" s="27">
        <f t="shared" si="85"/>
        <v>-2.0342005024718481E-2</v>
      </c>
      <c r="K914" s="10">
        <f>MAX($C$2:C914)</f>
        <v>32.426000000000002</v>
      </c>
      <c r="L914" s="11">
        <f t="shared" si="86"/>
        <v>-0.11537038179238891</v>
      </c>
    </row>
    <row r="915" spans="1:12" x14ac:dyDescent="0.35">
      <c r="A915" s="5" t="s">
        <v>2049</v>
      </c>
      <c r="B915" s="22">
        <v>2438.5</v>
      </c>
      <c r="C915" s="10">
        <v>29.073</v>
      </c>
      <c r="D915" s="23">
        <f t="shared" si="87"/>
        <v>8.6449371277300176E-3</v>
      </c>
      <c r="E915" s="11">
        <f t="shared" si="88"/>
        <v>1.3526233222938878E-2</v>
      </c>
      <c r="F915" s="24">
        <f>(B915-$B$2)/$B$2</f>
        <v>0.59577252797591795</v>
      </c>
      <c r="G915" s="11">
        <f t="shared" si="89"/>
        <v>0.61104954006428025</v>
      </c>
      <c r="H915" s="25">
        <f t="shared" si="84"/>
        <v>83.875073091872181</v>
      </c>
      <c r="I915" s="26">
        <f>MAX($B$2:B915)</f>
        <v>2467.8000000000002</v>
      </c>
      <c r="J915" s="27">
        <f t="shared" si="85"/>
        <v>-1.1872923251479123E-2</v>
      </c>
      <c r="K915" s="10">
        <f>MAX($C$2:C915)</f>
        <v>32.426000000000002</v>
      </c>
      <c r="L915" s="11">
        <f t="shared" si="86"/>
        <v>-0.1034046752605934</v>
      </c>
    </row>
    <row r="916" spans="1:12" x14ac:dyDescent="0.35">
      <c r="A916" s="5" t="s">
        <v>2051</v>
      </c>
      <c r="B916" s="22">
        <v>2445.9</v>
      </c>
      <c r="C916" s="10">
        <v>28.606999999999999</v>
      </c>
      <c r="D916" s="23">
        <f t="shared" si="87"/>
        <v>3.0346524502768467E-3</v>
      </c>
      <c r="E916" s="11">
        <f t="shared" si="88"/>
        <v>-1.6028617617720946E-2</v>
      </c>
      <c r="F916" s="24">
        <f>(B916-$B$2)/$B$2</f>
        <v>0.60061514298802454</v>
      </c>
      <c r="G916" s="11">
        <f t="shared" si="89"/>
        <v>0.58522664302338467</v>
      </c>
      <c r="H916" s="25">
        <f t="shared" si="84"/>
        <v>85.500052434718782</v>
      </c>
      <c r="I916" s="26">
        <f>MAX($B$2:B916)</f>
        <v>2467.8000000000002</v>
      </c>
      <c r="J916" s="27">
        <f t="shared" si="85"/>
        <v>-8.8743009968393263E-3</v>
      </c>
      <c r="K916" s="10">
        <f>MAX($C$2:C916)</f>
        <v>32.426000000000002</v>
      </c>
      <c r="L916" s="11">
        <f t="shared" si="86"/>
        <v>-0.11777585887867768</v>
      </c>
    </row>
    <row r="917" spans="1:12" x14ac:dyDescent="0.35">
      <c r="A917" s="5" t="s">
        <v>2053</v>
      </c>
      <c r="B917" s="22">
        <v>2411.8000000000002</v>
      </c>
      <c r="C917" s="10">
        <v>27.338000000000001</v>
      </c>
      <c r="D917" s="23">
        <f t="shared" si="87"/>
        <v>-1.3941698352344703E-2</v>
      </c>
      <c r="E917" s="11">
        <f t="shared" si="88"/>
        <v>-4.4359772083755668E-2</v>
      </c>
      <c r="F917" s="24">
        <f>(B917-$B$2)/$B$2</f>
        <v>0.57829984948629043</v>
      </c>
      <c r="G917" s="11">
        <f t="shared" si="89"/>
        <v>0.51490635043777022</v>
      </c>
      <c r="H917" s="25">
        <f t="shared" si="84"/>
        <v>88.221523154583366</v>
      </c>
      <c r="I917" s="26">
        <f>MAX($B$2:B917)</f>
        <v>2467.8000000000002</v>
      </c>
      <c r="J917" s="27">
        <f t="shared" si="85"/>
        <v>-2.2692276521598182E-2</v>
      </c>
      <c r="K917" s="10">
        <f>MAX($C$2:C917)</f>
        <v>32.426000000000002</v>
      </c>
      <c r="L917" s="11">
        <f t="shared" si="86"/>
        <v>-0.15691112070560664</v>
      </c>
    </row>
    <row r="918" spans="1:12" x14ac:dyDescent="0.35">
      <c r="A918" s="5" t="s">
        <v>2055</v>
      </c>
      <c r="B918" s="22">
        <v>2398.9</v>
      </c>
      <c r="C918" s="10">
        <v>27.341000000000001</v>
      </c>
      <c r="D918" s="23">
        <f t="shared" si="87"/>
        <v>-5.3487022141139769E-3</v>
      </c>
      <c r="E918" s="11">
        <f t="shared" si="88"/>
        <v>1.0973736191382375E-4</v>
      </c>
      <c r="F918" s="24">
        <f>(B918-$B$2)/$B$2</f>
        <v>0.56985799358680733</v>
      </c>
      <c r="G918" s="11">
        <f t="shared" si="89"/>
        <v>0.51507259226421376</v>
      </c>
      <c r="H918" s="25">
        <f t="shared" si="84"/>
        <v>87.740024139570608</v>
      </c>
      <c r="I918" s="26">
        <f>MAX($B$2:B918)</f>
        <v>2467.8000000000002</v>
      </c>
      <c r="J918" s="27">
        <f t="shared" si="85"/>
        <v>-2.7919604506037803E-2</v>
      </c>
      <c r="K918" s="10">
        <f>MAX($C$2:C918)</f>
        <v>32.426000000000002</v>
      </c>
      <c r="L918" s="11">
        <f t="shared" si="86"/>
        <v>-0.15681860235613398</v>
      </c>
    </row>
    <row r="919" spans="1:12" x14ac:dyDescent="0.35">
      <c r="A919" s="5" t="s">
        <v>2057</v>
      </c>
      <c r="B919" s="22">
        <v>2400</v>
      </c>
      <c r="C919" s="10">
        <v>27.068999999999999</v>
      </c>
      <c r="D919" s="23">
        <f t="shared" si="87"/>
        <v>4.5854349910371794E-4</v>
      </c>
      <c r="E919" s="11">
        <f t="shared" si="88"/>
        <v>-9.9484290991551892E-3</v>
      </c>
      <c r="F919" s="24">
        <f>(B919-$B$2)/$B$2</f>
        <v>0.5705778417642825</v>
      </c>
      <c r="G919" s="11">
        <f t="shared" si="89"/>
        <v>0.5</v>
      </c>
      <c r="H919" s="25">
        <f t="shared" si="84"/>
        <v>88.662307436551046</v>
      </c>
      <c r="I919" s="26">
        <f>MAX($B$2:B919)</f>
        <v>2467.8000000000002</v>
      </c>
      <c r="J919" s="27">
        <f t="shared" si="85"/>
        <v>-2.7473863360077875E-2</v>
      </c>
      <c r="K919" s="10">
        <f>MAX($C$2:C919)</f>
        <v>32.426000000000002</v>
      </c>
      <c r="L919" s="11">
        <f t="shared" si="86"/>
        <v>-0.16520693270832057</v>
      </c>
    </row>
    <row r="920" spans="1:12" x14ac:dyDescent="0.35">
      <c r="A920" s="5" t="s">
        <v>2059</v>
      </c>
      <c r="B920" s="22">
        <v>2430.3000000000002</v>
      </c>
      <c r="C920" s="10">
        <v>27.733000000000001</v>
      </c>
      <c r="D920" s="23">
        <f t="shared" si="87"/>
        <v>1.2625000000000075E-2</v>
      </c>
      <c r="E920" s="11">
        <f t="shared" si="88"/>
        <v>2.4529905057445841E-2</v>
      </c>
      <c r="F920" s="24">
        <f>(B920-$B$2)/$B$2</f>
        <v>0.59040638701655668</v>
      </c>
      <c r="G920" s="11">
        <f t="shared" si="89"/>
        <v>0.53679485758616874</v>
      </c>
      <c r="H920" s="25">
        <f t="shared" si="84"/>
        <v>87.632062885371226</v>
      </c>
      <c r="I920" s="26">
        <f>MAX($B$2:B920)</f>
        <v>2467.8000000000002</v>
      </c>
      <c r="J920" s="27">
        <f t="shared" si="85"/>
        <v>-1.5195720884998784E-2</v>
      </c>
      <c r="K920" s="10">
        <f>MAX($C$2:C920)</f>
        <v>32.426000000000002</v>
      </c>
      <c r="L920" s="11">
        <f t="shared" si="86"/>
        <v>-0.14472953802504165</v>
      </c>
    </row>
    <row r="921" spans="1:12" x14ac:dyDescent="0.35">
      <c r="A921" s="5" t="s">
        <v>2061</v>
      </c>
      <c r="B921" s="22">
        <v>2469.9</v>
      </c>
      <c r="C921" s="10">
        <v>28.134</v>
      </c>
      <c r="D921" s="23">
        <f t="shared" si="87"/>
        <v>1.6294284656215244E-2</v>
      </c>
      <c r="E921" s="11">
        <f t="shared" si="88"/>
        <v>1.4459308405149094E-2</v>
      </c>
      <c r="F921" s="24">
        <f>(B921-$B$2)/$B$2</f>
        <v>0.6163209214056673</v>
      </c>
      <c r="G921" s="11">
        <f t="shared" si="89"/>
        <v>0.55901584838745433</v>
      </c>
      <c r="H921" s="25">
        <f t="shared" si="84"/>
        <v>87.790573683088084</v>
      </c>
      <c r="I921" s="26">
        <f>MAX($B$2:B921)</f>
        <v>2469.9</v>
      </c>
      <c r="J921" s="27">
        <f t="shared" si="85"/>
        <v>0</v>
      </c>
      <c r="K921" s="10">
        <f>MAX($C$2:C921)</f>
        <v>32.426000000000002</v>
      </c>
      <c r="L921" s="11">
        <f t="shared" si="86"/>
        <v>-0.1323629186455314</v>
      </c>
    </row>
    <row r="922" spans="1:12" x14ac:dyDescent="0.35">
      <c r="A922" s="5" t="s">
        <v>2063</v>
      </c>
      <c r="B922" s="22">
        <v>2473.9</v>
      </c>
      <c r="C922" s="10">
        <v>27.916</v>
      </c>
      <c r="D922" s="23">
        <f t="shared" si="87"/>
        <v>1.6194987651321916E-3</v>
      </c>
      <c r="E922" s="11">
        <f t="shared" si="88"/>
        <v>-7.7486315490154249E-3</v>
      </c>
      <c r="F922" s="24">
        <f>(B922-$B$2)/$B$2</f>
        <v>0.61893855114194107</v>
      </c>
      <c r="G922" s="11">
        <f t="shared" si="89"/>
        <v>0.54693560899922433</v>
      </c>
      <c r="H922" s="25">
        <f t="shared" si="84"/>
        <v>88.6194297177246</v>
      </c>
      <c r="I922" s="26">
        <f>MAX($B$2:B922)</f>
        <v>2473.9</v>
      </c>
      <c r="J922" s="27">
        <f t="shared" si="85"/>
        <v>0</v>
      </c>
      <c r="K922" s="10">
        <f>MAX($C$2:C922)</f>
        <v>32.426000000000002</v>
      </c>
      <c r="L922" s="11">
        <f t="shared" si="86"/>
        <v>-0.13908591870721029</v>
      </c>
    </row>
    <row r="923" spans="1:12" x14ac:dyDescent="0.35">
      <c r="A923" s="5" t="s">
        <v>2065</v>
      </c>
      <c r="B923" s="22">
        <v>2446.1999999999998</v>
      </c>
      <c r="C923" s="10">
        <v>27.469000000000001</v>
      </c>
      <c r="D923" s="23">
        <f t="shared" si="87"/>
        <v>-1.1196895589959283E-2</v>
      </c>
      <c r="E923" s="11">
        <f t="shared" si="88"/>
        <v>-1.6012322682332682E-2</v>
      </c>
      <c r="F923" s="24">
        <f>(B923-$B$2)/$B$2</f>
        <v>0.6008114652182448</v>
      </c>
      <c r="G923" s="11">
        <f t="shared" si="89"/>
        <v>0.52216557685913789</v>
      </c>
      <c r="H923" s="25">
        <f t="shared" si="84"/>
        <v>89.0531144198915</v>
      </c>
      <c r="I923" s="26">
        <f>MAX($B$2:B923)</f>
        <v>2473.9</v>
      </c>
      <c r="J923" s="27">
        <f t="shared" si="85"/>
        <v>-1.1196895589959283E-2</v>
      </c>
      <c r="K923" s="10">
        <f>MAX($C$2:C923)</f>
        <v>32.426000000000002</v>
      </c>
      <c r="L923" s="11">
        <f t="shared" si="86"/>
        <v>-0.15287115277863444</v>
      </c>
    </row>
    <row r="924" spans="1:12" x14ac:dyDescent="0.35">
      <c r="A924" s="5" t="s">
        <v>2067</v>
      </c>
      <c r="B924" s="22">
        <v>2458.6</v>
      </c>
      <c r="C924" s="10">
        <v>28.547999999999998</v>
      </c>
      <c r="D924" s="23">
        <f t="shared" si="87"/>
        <v>5.0690867467909784E-3</v>
      </c>
      <c r="E924" s="11">
        <f t="shared" si="88"/>
        <v>3.9280643634642579E-2</v>
      </c>
      <c r="F924" s="24">
        <f>(B924-$B$2)/$B$2</f>
        <v>0.60892611740069369</v>
      </c>
      <c r="G924" s="11">
        <f t="shared" si="89"/>
        <v>0.58195722043666187</v>
      </c>
      <c r="H924" s="25">
        <f t="shared" si="84"/>
        <v>86.121619728177109</v>
      </c>
      <c r="I924" s="26">
        <f>MAX($B$2:B924)</f>
        <v>2473.9</v>
      </c>
      <c r="J924" s="27">
        <f t="shared" si="85"/>
        <v>-6.1845668782085699E-3</v>
      </c>
      <c r="K924" s="10">
        <f>MAX($C$2:C924)</f>
        <v>32.426000000000002</v>
      </c>
      <c r="L924" s="11">
        <f t="shared" si="86"/>
        <v>-0.1195953864183064</v>
      </c>
    </row>
    <row r="925" spans="1:12" x14ac:dyDescent="0.35">
      <c r="A925" s="5" t="s">
        <v>2069</v>
      </c>
      <c r="B925" s="22">
        <v>2506.8000000000002</v>
      </c>
      <c r="C925" s="10">
        <v>29.44</v>
      </c>
      <c r="D925" s="23">
        <f t="shared" si="87"/>
        <v>1.9604653054584021E-2</v>
      </c>
      <c r="E925" s="11">
        <f t="shared" si="88"/>
        <v>3.1245621409555942E-2</v>
      </c>
      <c r="F925" s="24">
        <f>(B925-$B$2)/$B$2</f>
        <v>0.64046855572279326</v>
      </c>
      <c r="G925" s="11">
        <f t="shared" si="89"/>
        <v>0.63138645683253924</v>
      </c>
      <c r="H925" s="25">
        <f t="shared" si="84"/>
        <v>85.14945652173914</v>
      </c>
      <c r="I925" s="26">
        <f>MAX($B$2:B925)</f>
        <v>2506.8000000000002</v>
      </c>
      <c r="J925" s="27">
        <f t="shared" si="85"/>
        <v>0</v>
      </c>
      <c r="K925" s="10">
        <f>MAX($C$2:C925)</f>
        <v>32.426000000000002</v>
      </c>
      <c r="L925" s="11">
        <f t="shared" si="86"/>
        <v>-9.2086597175106408E-2</v>
      </c>
    </row>
    <row r="926" spans="1:12" x14ac:dyDescent="0.35">
      <c r="A926" s="5" t="s">
        <v>2071</v>
      </c>
      <c r="B926" s="22">
        <v>2516.1</v>
      </c>
      <c r="C926" s="10">
        <v>29.658999999999999</v>
      </c>
      <c r="D926" s="23">
        <f t="shared" si="87"/>
        <v>3.7099090473909869E-3</v>
      </c>
      <c r="E926" s="11">
        <f t="shared" si="88"/>
        <v>7.4388586956520937E-3</v>
      </c>
      <c r="F926" s="24">
        <f>(B926-$B$2)/$B$2</f>
        <v>0.6465545448596296</v>
      </c>
      <c r="G926" s="11">
        <f t="shared" si="89"/>
        <v>0.64352211016291694</v>
      </c>
      <c r="H926" s="25">
        <f t="shared" si="84"/>
        <v>84.834283016959432</v>
      </c>
      <c r="I926" s="26">
        <f>MAX($B$2:B926)</f>
        <v>2516.1</v>
      </c>
      <c r="J926" s="27">
        <f t="shared" si="85"/>
        <v>0</v>
      </c>
      <c r="K926" s="10">
        <f>MAX($C$2:C926)</f>
        <v>32.426000000000002</v>
      </c>
      <c r="L926" s="11">
        <f t="shared" si="86"/>
        <v>-8.5332757663603376E-2</v>
      </c>
    </row>
    <row r="927" spans="1:12" x14ac:dyDescent="0.35">
      <c r="A927" s="5" t="s">
        <v>2073</v>
      </c>
      <c r="B927" s="22">
        <v>2512.8000000000002</v>
      </c>
      <c r="C927" s="10">
        <v>29.675999999999998</v>
      </c>
      <c r="D927" s="23">
        <f t="shared" si="87"/>
        <v>-1.311553594849063E-3</v>
      </c>
      <c r="E927" s="11">
        <f t="shared" si="88"/>
        <v>5.7318183350751743E-4</v>
      </c>
      <c r="F927" s="24">
        <f>(B927-$B$2)/$B$2</f>
        <v>0.64439500032720398</v>
      </c>
      <c r="G927" s="11">
        <f t="shared" si="89"/>
        <v>0.64446414717943035</v>
      </c>
      <c r="H927" s="25">
        <f t="shared" si="84"/>
        <v>84.674484431864144</v>
      </c>
      <c r="I927" s="26">
        <f>MAX($B$2:B927)</f>
        <v>2516.1</v>
      </c>
      <c r="J927" s="27">
        <f t="shared" si="85"/>
        <v>-1.311553594849063E-3</v>
      </c>
      <c r="K927" s="10">
        <f>MAX($C$2:C927)</f>
        <v>32.426000000000002</v>
      </c>
      <c r="L927" s="11">
        <f t="shared" si="86"/>
        <v>-8.480848701659173E-2</v>
      </c>
    </row>
    <row r="928" spans="1:12" x14ac:dyDescent="0.35">
      <c r="A928" s="5" t="s">
        <v>2075</v>
      </c>
      <c r="B928" s="22">
        <v>2482.1</v>
      </c>
      <c r="C928" s="10">
        <v>29.184999999999999</v>
      </c>
      <c r="D928" s="23">
        <f t="shared" si="87"/>
        <v>-1.2217446673034173E-2</v>
      </c>
      <c r="E928" s="11">
        <f t="shared" si="88"/>
        <v>-1.6545356517050806E-2</v>
      </c>
      <c r="F928" s="24">
        <f>(B928-$B$2)/$B$2</f>
        <v>0.62430469210130235</v>
      </c>
      <c r="G928" s="11">
        <f t="shared" si="89"/>
        <v>0.61725590158483878</v>
      </c>
      <c r="H928" s="25">
        <f t="shared" si="84"/>
        <v>85.047113243104334</v>
      </c>
      <c r="I928" s="26">
        <f>MAX($B$2:B928)</f>
        <v>2516.1</v>
      </c>
      <c r="J928" s="27">
        <f t="shared" si="85"/>
        <v>-1.3512976431779341E-2</v>
      </c>
      <c r="K928" s="10">
        <f>MAX($C$2:C928)</f>
        <v>32.426000000000002</v>
      </c>
      <c r="L928" s="11">
        <f t="shared" si="86"/>
        <v>-9.9950656880281347E-2</v>
      </c>
    </row>
    <row r="929" spans="1:12" x14ac:dyDescent="0.35">
      <c r="A929" s="5" t="s">
        <v>2077</v>
      </c>
      <c r="B929" s="22">
        <v>2520.1999999999998</v>
      </c>
      <c r="C929" s="10">
        <v>30.155000000000001</v>
      </c>
      <c r="D929" s="23">
        <f t="shared" si="87"/>
        <v>1.5349905322106245E-2</v>
      </c>
      <c r="E929" s="11">
        <f t="shared" si="88"/>
        <v>3.3236251499057817E-2</v>
      </c>
      <c r="F929" s="24">
        <f>(B929-$B$2)/$B$2</f>
        <v>0.64923761533931024</v>
      </c>
      <c r="G929" s="11">
        <f t="shared" si="89"/>
        <v>0.67100742546824799</v>
      </c>
      <c r="H929" s="25">
        <f t="shared" si="84"/>
        <v>83.574863206765045</v>
      </c>
      <c r="I929" s="26">
        <f>MAX($B$2:B929)</f>
        <v>2520.1999999999998</v>
      </c>
      <c r="J929" s="27">
        <f t="shared" si="85"/>
        <v>0</v>
      </c>
      <c r="K929" s="10">
        <f>MAX($C$2:C929)</f>
        <v>32.426000000000002</v>
      </c>
      <c r="L929" s="11">
        <f t="shared" si="86"/>
        <v>-7.0036390550792596E-2</v>
      </c>
    </row>
    <row r="930" spans="1:12" x14ac:dyDescent="0.35">
      <c r="A930" s="5" t="s">
        <v>2079</v>
      </c>
      <c r="B930" s="22">
        <v>2517.6999999999998</v>
      </c>
      <c r="C930" s="10">
        <v>30.125</v>
      </c>
      <c r="D930" s="23">
        <f t="shared" si="87"/>
        <v>-9.9198476311403855E-4</v>
      </c>
      <c r="E930" s="11">
        <f t="shared" si="88"/>
        <v>-9.9485989056544979E-4</v>
      </c>
      <c r="F930" s="24">
        <f>(B930-$B$2)/$B$2</f>
        <v>0.64760159675413909</v>
      </c>
      <c r="G930" s="11">
        <f t="shared" si="89"/>
        <v>0.66934500720381251</v>
      </c>
      <c r="H930" s="25">
        <f t="shared" si="84"/>
        <v>83.575103734439821</v>
      </c>
      <c r="I930" s="26">
        <f>MAX($B$2:B930)</f>
        <v>2520.1999999999998</v>
      </c>
      <c r="J930" s="27">
        <f t="shared" si="85"/>
        <v>-9.9198476311403855E-4</v>
      </c>
      <c r="K930" s="10">
        <f>MAX($C$2:C930)</f>
        <v>32.426000000000002</v>
      </c>
      <c r="L930" s="11">
        <f t="shared" si="86"/>
        <v>-7.0961574045519088E-2</v>
      </c>
    </row>
    <row r="931" spans="1:12" x14ac:dyDescent="0.35">
      <c r="A931" s="5" t="s">
        <v>2081</v>
      </c>
      <c r="B931" s="22">
        <v>2502.6</v>
      </c>
      <c r="C931" s="10">
        <v>29.34</v>
      </c>
      <c r="D931" s="23">
        <f t="shared" si="87"/>
        <v>-5.9975374349604442E-3</v>
      </c>
      <c r="E931" s="11">
        <f t="shared" si="88"/>
        <v>-2.605809128630706E-2</v>
      </c>
      <c r="F931" s="24">
        <f>(B931-$B$2)/$B$2</f>
        <v>0.63772004449970554</v>
      </c>
      <c r="G931" s="11">
        <f t="shared" si="89"/>
        <v>0.62584506261775463</v>
      </c>
      <c r="H931" s="25">
        <f t="shared" si="84"/>
        <v>85.296523517382411</v>
      </c>
      <c r="I931" s="26">
        <f>MAX($B$2:B931)</f>
        <v>2520.1999999999998</v>
      </c>
      <c r="J931" s="27">
        <f t="shared" si="85"/>
        <v>-6.9835727323227957E-3</v>
      </c>
      <c r="K931" s="10">
        <f>MAX($C$2:C931)</f>
        <v>32.426000000000002</v>
      </c>
      <c r="L931" s="11">
        <f t="shared" si="86"/>
        <v>-9.5170542157527974E-2</v>
      </c>
    </row>
    <row r="932" spans="1:12" x14ac:dyDescent="0.35">
      <c r="A932" s="5" t="s">
        <v>2083</v>
      </c>
      <c r="B932" s="22">
        <v>2536.6999999999998</v>
      </c>
      <c r="C932" s="10">
        <v>29.827000000000002</v>
      </c>
      <c r="D932" s="23">
        <f t="shared" si="87"/>
        <v>1.3625829137696759E-2</v>
      </c>
      <c r="E932" s="11">
        <f t="shared" si="88"/>
        <v>1.6598500340831695E-2</v>
      </c>
      <c r="F932" s="24">
        <f>(B932-$B$2)/$B$2</f>
        <v>0.66003533800143965</v>
      </c>
      <c r="G932" s="11">
        <f t="shared" si="89"/>
        <v>0.65283165244375496</v>
      </c>
      <c r="H932" s="25">
        <f t="shared" si="84"/>
        <v>85.047104972005215</v>
      </c>
      <c r="I932" s="26">
        <f>MAX($B$2:B932)</f>
        <v>2536.6999999999998</v>
      </c>
      <c r="J932" s="27">
        <f t="shared" si="85"/>
        <v>0</v>
      </c>
      <c r="K932" s="10">
        <f>MAX($C$2:C932)</f>
        <v>32.426000000000002</v>
      </c>
      <c r="L932" s="11">
        <f t="shared" si="86"/>
        <v>-8.0151730093135143E-2</v>
      </c>
    </row>
    <row r="933" spans="1:12" x14ac:dyDescent="0.35">
      <c r="A933" s="5" t="s">
        <v>2085</v>
      </c>
      <c r="B933" s="22">
        <v>2499.6999999999998</v>
      </c>
      <c r="C933" s="10">
        <v>28.207999999999998</v>
      </c>
      <c r="D933" s="23">
        <f t="shared" si="87"/>
        <v>-1.4585879291993536E-2</v>
      </c>
      <c r="E933" s="11">
        <f t="shared" si="88"/>
        <v>-5.4279679485030451E-2</v>
      </c>
      <c r="F933" s="24">
        <f>(B933-$B$2)/$B$2</f>
        <v>0.63582226294090693</v>
      </c>
      <c r="G933" s="11">
        <f t="shared" si="89"/>
        <v>0.5631164801063947</v>
      </c>
      <c r="H933" s="25">
        <f t="shared" si="84"/>
        <v>88.616704480998294</v>
      </c>
      <c r="I933" s="26">
        <f>MAX($B$2:B933)</f>
        <v>2536.6999999999998</v>
      </c>
      <c r="J933" s="27">
        <f t="shared" si="85"/>
        <v>-1.4585879291993536E-2</v>
      </c>
      <c r="K933" s="10">
        <f>MAX($C$2:C933)</f>
        <v>32.426000000000002</v>
      </c>
      <c r="L933" s="11">
        <f t="shared" si="86"/>
        <v>-0.13008079935853956</v>
      </c>
    </row>
    <row r="934" spans="1:12" x14ac:dyDescent="0.35">
      <c r="A934" s="5" t="s">
        <v>2087</v>
      </c>
      <c r="B934" s="22">
        <v>2502.6999999999998</v>
      </c>
      <c r="C934" s="10">
        <v>28.420999999999999</v>
      </c>
      <c r="D934" s="23">
        <f t="shared" si="87"/>
        <v>1.200144017282074E-3</v>
      </c>
      <c r="E934" s="11">
        <f t="shared" si="88"/>
        <v>7.5510493477028142E-3</v>
      </c>
      <c r="F934" s="24">
        <f>(B934-$B$2)/$B$2</f>
        <v>0.63778548524311229</v>
      </c>
      <c r="G934" s="11">
        <f t="shared" si="89"/>
        <v>0.57491964978388566</v>
      </c>
      <c r="H934" s="25">
        <f t="shared" si="84"/>
        <v>88.058126033566722</v>
      </c>
      <c r="I934" s="26">
        <f>MAX($B$2:B934)</f>
        <v>2536.6999999999998</v>
      </c>
      <c r="J934" s="27">
        <f t="shared" si="85"/>
        <v>-1.3403240430480547E-2</v>
      </c>
      <c r="K934" s="10">
        <f>MAX($C$2:C934)</f>
        <v>32.426000000000002</v>
      </c>
      <c r="L934" s="11">
        <f t="shared" si="86"/>
        <v>-0.12351199654598169</v>
      </c>
    </row>
    <row r="935" spans="1:12" x14ac:dyDescent="0.35">
      <c r="A935" s="5" t="s">
        <v>2089</v>
      </c>
      <c r="B935" s="22">
        <v>2519.6999999999998</v>
      </c>
      <c r="C935" s="10">
        <v>28.96</v>
      </c>
      <c r="D935" s="23">
        <f t="shared" si="87"/>
        <v>6.7926639229632007E-3</v>
      </c>
      <c r="E935" s="11">
        <f t="shared" si="88"/>
        <v>1.8964849934907338E-2</v>
      </c>
      <c r="F935" s="24">
        <f>(B935-$B$2)/$B$2</f>
        <v>0.64891041162227603</v>
      </c>
      <c r="G935" s="11">
        <f t="shared" si="89"/>
        <v>0.60478776460157391</v>
      </c>
      <c r="H935" s="25">
        <f t="shared" si="84"/>
        <v>87.006215469613252</v>
      </c>
      <c r="I935" s="26">
        <f>MAX($B$2:B935)</f>
        <v>2536.6999999999998</v>
      </c>
      <c r="J935" s="27">
        <f t="shared" si="85"/>
        <v>-6.7016202152402737E-3</v>
      </c>
      <c r="K935" s="10">
        <f>MAX($C$2:C935)</f>
        <v>32.426000000000002</v>
      </c>
      <c r="L935" s="11">
        <f t="shared" si="86"/>
        <v>-0.10688953309072968</v>
      </c>
    </row>
    <row r="936" spans="1:12" x14ac:dyDescent="0.35">
      <c r="A936" s="5" t="s">
        <v>2091</v>
      </c>
      <c r="B936" s="22">
        <v>2509.3000000000002</v>
      </c>
      <c r="C936" s="10">
        <v>28.521000000000001</v>
      </c>
      <c r="D936" s="23">
        <f t="shared" si="87"/>
        <v>-4.1274754931141158E-3</v>
      </c>
      <c r="E936" s="11">
        <f t="shared" si="88"/>
        <v>-1.5158839779005527E-2</v>
      </c>
      <c r="F936" s="24">
        <f>(B936-$B$2)/$B$2</f>
        <v>0.6421045743079643</v>
      </c>
      <c r="G936" s="11">
        <f t="shared" si="89"/>
        <v>0.58046104399867016</v>
      </c>
      <c r="H936" s="25">
        <f t="shared" si="84"/>
        <v>87.980786087444343</v>
      </c>
      <c r="I936" s="26">
        <f>MAX($B$2:B936)</f>
        <v>2536.6999999999998</v>
      </c>
      <c r="J936" s="27">
        <f t="shared" si="85"/>
        <v>-1.0801434935151826E-2</v>
      </c>
      <c r="K936" s="10">
        <f>MAX($C$2:C936)</f>
        <v>32.426000000000002</v>
      </c>
      <c r="L936" s="11">
        <f t="shared" si="86"/>
        <v>-0.12042805156356014</v>
      </c>
    </row>
    <row r="937" spans="1:12" x14ac:dyDescent="0.35">
      <c r="A937" s="5" t="s">
        <v>2093</v>
      </c>
      <c r="B937" s="22">
        <v>2519.5</v>
      </c>
      <c r="C937" s="10">
        <v>28.484000000000002</v>
      </c>
      <c r="D937" s="23">
        <f t="shared" si="87"/>
        <v>4.0648786514166568E-3</v>
      </c>
      <c r="E937" s="11">
        <f t="shared" si="88"/>
        <v>-1.2972897163493226E-3</v>
      </c>
      <c r="F937" s="24">
        <f>(B937-$B$2)/$B$2</f>
        <v>0.64877953013546241</v>
      </c>
      <c r="G937" s="11">
        <f t="shared" si="89"/>
        <v>0.57841072813920003</v>
      </c>
      <c r="H937" s="25">
        <f t="shared" si="84"/>
        <v>88.453166690071612</v>
      </c>
      <c r="I937" s="26">
        <f>MAX($B$2:B937)</f>
        <v>2536.6999999999998</v>
      </c>
      <c r="J937" s="27">
        <f t="shared" si="85"/>
        <v>-6.7804628060077338E-3</v>
      </c>
      <c r="K937" s="10">
        <f>MAX($C$2:C937)</f>
        <v>32.426000000000002</v>
      </c>
      <c r="L937" s="11">
        <f t="shared" si="86"/>
        <v>-0.12156911120705606</v>
      </c>
    </row>
    <row r="938" spans="1:12" x14ac:dyDescent="0.35">
      <c r="A938" s="5" t="s">
        <v>2095</v>
      </c>
      <c r="B938" s="22">
        <v>2519</v>
      </c>
      <c r="C938" s="10">
        <v>28.792999999999999</v>
      </c>
      <c r="D938" s="23">
        <f t="shared" si="87"/>
        <v>-1.9845207382417147E-4</v>
      </c>
      <c r="E938" s="11">
        <f t="shared" si="88"/>
        <v>1.084819547816309E-2</v>
      </c>
      <c r="F938" s="24">
        <f>(B938-$B$2)/$B$2</f>
        <v>0.6484523264184282</v>
      </c>
      <c r="G938" s="11">
        <f t="shared" si="89"/>
        <v>0.5955336362628838</v>
      </c>
      <c r="H938" s="25">
        <f t="shared" si="84"/>
        <v>87.486541867815092</v>
      </c>
      <c r="I938" s="26">
        <f>MAX($B$2:B938)</f>
        <v>2536.6999999999998</v>
      </c>
      <c r="J938" s="27">
        <f t="shared" si="85"/>
        <v>-6.9775692829265662E-3</v>
      </c>
      <c r="K938" s="10">
        <f>MAX($C$2:C938)</f>
        <v>32.426000000000002</v>
      </c>
      <c r="L938" s="11">
        <f t="shared" si="86"/>
        <v>-0.11203972121137366</v>
      </c>
    </row>
    <row r="939" spans="1:12" x14ac:dyDescent="0.35">
      <c r="A939" s="5" t="s">
        <v>2097</v>
      </c>
      <c r="B939" s="22">
        <v>2557.1</v>
      </c>
      <c r="C939" s="10">
        <v>29.966999999999999</v>
      </c>
      <c r="D939" s="23">
        <f t="shared" si="87"/>
        <v>1.512504962286618E-2</v>
      </c>
      <c r="E939" s="11">
        <f t="shared" si="88"/>
        <v>4.0773799187302451E-2</v>
      </c>
      <c r="F939" s="24">
        <f>(B939-$B$2)/$B$2</f>
        <v>0.67338524965643609</v>
      </c>
      <c r="G939" s="11">
        <f t="shared" si="89"/>
        <v>0.66058960434445302</v>
      </c>
      <c r="H939" s="25">
        <f t="shared" si="84"/>
        <v>85.330530249941603</v>
      </c>
      <c r="I939" s="26">
        <f>MAX($B$2:B939)</f>
        <v>2557.1</v>
      </c>
      <c r="J939" s="27">
        <f t="shared" si="85"/>
        <v>0</v>
      </c>
      <c r="K939" s="10">
        <f>MAX($C$2:C939)</f>
        <v>32.426000000000002</v>
      </c>
      <c r="L939" s="11">
        <f t="shared" si="86"/>
        <v>-7.583420711774512E-2</v>
      </c>
    </row>
    <row r="940" spans="1:12" x14ac:dyDescent="0.35">
      <c r="A940" s="5" t="s">
        <v>2098</v>
      </c>
      <c r="B940" s="22">
        <v>2585.1999999999998</v>
      </c>
      <c r="C940" s="10">
        <v>30.99</v>
      </c>
      <c r="D940" s="23">
        <f t="shared" si="87"/>
        <v>1.0989010989010953E-2</v>
      </c>
      <c r="E940" s="11">
        <f t="shared" si="88"/>
        <v>3.4137551306437072E-2</v>
      </c>
      <c r="F940" s="24">
        <f>(B940-$B$2)/$B$2</f>
        <v>0.6917740985537596</v>
      </c>
      <c r="G940" s="11">
        <f t="shared" si="89"/>
        <v>0.71727806716169784</v>
      </c>
      <c r="H940" s="25">
        <f t="shared" si="84"/>
        <v>83.420458212326551</v>
      </c>
      <c r="I940" s="26">
        <f>MAX($B$2:B940)</f>
        <v>2585.1999999999998</v>
      </c>
      <c r="J940" s="27">
        <f t="shared" si="85"/>
        <v>0</v>
      </c>
      <c r="K940" s="10">
        <f>MAX($C$2:C940)</f>
        <v>32.426000000000002</v>
      </c>
      <c r="L940" s="11">
        <f t="shared" si="86"/>
        <v>-4.4285449947573038E-2</v>
      </c>
    </row>
    <row r="941" spans="1:12" x14ac:dyDescent="0.35">
      <c r="A941" s="5" t="s">
        <v>2100</v>
      </c>
      <c r="B941" s="22">
        <v>2568.9</v>
      </c>
      <c r="C941" s="10">
        <v>30.834</v>
      </c>
      <c r="D941" s="23">
        <f t="shared" si="87"/>
        <v>-6.3051214606218969E-3</v>
      </c>
      <c r="E941" s="11">
        <f t="shared" si="88"/>
        <v>-5.0338818973862153E-3</v>
      </c>
      <c r="F941" s="24">
        <f>(B941-$B$2)/$B$2</f>
        <v>0.68110725737844402</v>
      </c>
      <c r="G941" s="11">
        <f t="shared" si="89"/>
        <v>0.70863349218663418</v>
      </c>
      <c r="H941" s="25">
        <f t="shared" si="84"/>
        <v>83.313874294609846</v>
      </c>
      <c r="I941" s="26">
        <f>MAX($B$2:B941)</f>
        <v>2585.1999999999998</v>
      </c>
      <c r="J941" s="27">
        <f t="shared" si="85"/>
        <v>-6.3051214606218969E-3</v>
      </c>
      <c r="K941" s="10">
        <f>MAX($C$2:C941)</f>
        <v>32.426000000000002</v>
      </c>
      <c r="L941" s="11">
        <f t="shared" si="86"/>
        <v>-4.9096404120150566E-2</v>
      </c>
    </row>
    <row r="942" spans="1:12" x14ac:dyDescent="0.35">
      <c r="A942" s="5" t="s">
        <v>2102</v>
      </c>
      <c r="B942" s="22">
        <v>2574.9</v>
      </c>
      <c r="C942" s="10">
        <v>30.542000000000002</v>
      </c>
      <c r="D942" s="23">
        <f t="shared" si="87"/>
        <v>2.3356300362022656E-3</v>
      </c>
      <c r="E942" s="11">
        <f t="shared" si="88"/>
        <v>-9.4700655120969722E-3</v>
      </c>
      <c r="F942" s="24">
        <f>(B942-$B$2)/$B$2</f>
        <v>0.68503370198285474</v>
      </c>
      <c r="G942" s="11">
        <f t="shared" si="89"/>
        <v>0.6924526210794637</v>
      </c>
      <c r="H942" s="25">
        <f t="shared" si="84"/>
        <v>84.306856132538798</v>
      </c>
      <c r="I942" s="26">
        <f>MAX($B$2:B942)</f>
        <v>2585.1999999999998</v>
      </c>
      <c r="J942" s="27">
        <f t="shared" si="85"/>
        <v>-3.9842178554849632E-3</v>
      </c>
      <c r="K942" s="10">
        <f>MAX($C$2:C942)</f>
        <v>32.426000000000002</v>
      </c>
      <c r="L942" s="11">
        <f t="shared" si="86"/>
        <v>-5.8101523468821324E-2</v>
      </c>
    </row>
    <row r="943" spans="1:12" x14ac:dyDescent="0.35">
      <c r="A943" s="5" t="s">
        <v>2104</v>
      </c>
      <c r="B943" s="22">
        <v>2590.9</v>
      </c>
      <c r="C943" s="10">
        <v>31.280999999999999</v>
      </c>
      <c r="D943" s="23">
        <f t="shared" si="87"/>
        <v>6.2138335469338613E-3</v>
      </c>
      <c r="E943" s="11">
        <f t="shared" si="88"/>
        <v>2.4196188854691807E-2</v>
      </c>
      <c r="F943" s="24">
        <f>(B943-$B$2)/$B$2</f>
        <v>0.69550422092794995</v>
      </c>
      <c r="G943" s="11">
        <f t="shared" si="89"/>
        <v>0.73340352432672062</v>
      </c>
      <c r="H943" s="25">
        <f t="shared" si="84"/>
        <v>82.826635977110712</v>
      </c>
      <c r="I943" s="26">
        <f>MAX($B$2:B943)</f>
        <v>2590.9</v>
      </c>
      <c r="J943" s="27">
        <f t="shared" si="85"/>
        <v>0</v>
      </c>
      <c r="K943" s="10">
        <f>MAX($C$2:C943)</f>
        <v>32.426000000000002</v>
      </c>
      <c r="L943" s="11">
        <f t="shared" si="86"/>
        <v>-3.5311170048726422E-2</v>
      </c>
    </row>
    <row r="944" spans="1:12" x14ac:dyDescent="0.35">
      <c r="A944" s="5" t="s">
        <v>2106</v>
      </c>
      <c r="B944" s="22">
        <v>2628.6</v>
      </c>
      <c r="C944" s="10">
        <v>30.94</v>
      </c>
      <c r="D944" s="23">
        <f t="shared" si="87"/>
        <v>1.4550928248870979E-2</v>
      </c>
      <c r="E944" s="11">
        <f t="shared" si="88"/>
        <v>-1.0901186023464644E-2</v>
      </c>
      <c r="F944" s="24">
        <f>(B944-$B$2)/$B$2</f>
        <v>0.72017538119233038</v>
      </c>
      <c r="G944" s="11">
        <f t="shared" si="89"/>
        <v>0.71450737005430576</v>
      </c>
      <c r="H944" s="25">
        <f t="shared" si="84"/>
        <v>84.9579831932773</v>
      </c>
      <c r="I944" s="26">
        <f>MAX($B$2:B944)</f>
        <v>2628.6</v>
      </c>
      <c r="J944" s="27">
        <f t="shared" si="85"/>
        <v>0</v>
      </c>
      <c r="K944" s="10">
        <f>MAX($C$2:C944)</f>
        <v>32.426000000000002</v>
      </c>
      <c r="L944" s="11">
        <f t="shared" si="86"/>
        <v>-4.582742243878371E-2</v>
      </c>
    </row>
    <row r="945" spans="1:12" x14ac:dyDescent="0.35">
      <c r="A945" s="5" t="s">
        <v>2108</v>
      </c>
      <c r="B945" s="22">
        <v>2653</v>
      </c>
      <c r="C945" s="10">
        <v>32.28</v>
      </c>
      <c r="D945" s="23">
        <f t="shared" si="87"/>
        <v>9.2825077988283079E-3</v>
      </c>
      <c r="E945" s="11">
        <f t="shared" si="88"/>
        <v>4.3309631544925654E-2</v>
      </c>
      <c r="F945" s="24">
        <f>(B945-$B$2)/$B$2</f>
        <v>0.7361429225836007</v>
      </c>
      <c r="G945" s="11">
        <f t="shared" si="89"/>
        <v>0.78876205253241727</v>
      </c>
      <c r="H945" s="25">
        <f t="shared" si="84"/>
        <v>82.18711276332094</v>
      </c>
      <c r="I945" s="26">
        <f>MAX($B$2:B945)</f>
        <v>2653</v>
      </c>
      <c r="J945" s="27">
        <f t="shared" si="85"/>
        <v>0</v>
      </c>
      <c r="K945" s="10">
        <f>MAX($C$2:C945)</f>
        <v>32.426000000000002</v>
      </c>
      <c r="L945" s="11">
        <f t="shared" si="86"/>
        <v>-4.5025596743354344E-3</v>
      </c>
    </row>
    <row r="946" spans="1:12" x14ac:dyDescent="0.35">
      <c r="A946" s="5" t="s">
        <v>2110</v>
      </c>
      <c r="B946" s="22">
        <v>2660.7</v>
      </c>
      <c r="C946" s="10">
        <v>31.87</v>
      </c>
      <c r="D946" s="23">
        <f t="shared" si="87"/>
        <v>2.9023746701846279E-3</v>
      </c>
      <c r="E946" s="11">
        <f t="shared" si="88"/>
        <v>-1.2701363073110289E-2</v>
      </c>
      <c r="F946" s="24">
        <f>(B946-$B$2)/$B$2</f>
        <v>0.74118185982592766</v>
      </c>
      <c r="G946" s="11">
        <f t="shared" si="89"/>
        <v>0.76604233625180107</v>
      </c>
      <c r="H946" s="25">
        <f t="shared" si="84"/>
        <v>83.48603702541574</v>
      </c>
      <c r="I946" s="26">
        <f>MAX($B$2:B946)</f>
        <v>2660.7</v>
      </c>
      <c r="J946" s="27">
        <f t="shared" si="85"/>
        <v>0</v>
      </c>
      <c r="K946" s="10">
        <f>MAX($C$2:C946)</f>
        <v>32.426000000000002</v>
      </c>
      <c r="L946" s="11">
        <f t="shared" si="86"/>
        <v>-1.7146734102263642E-2</v>
      </c>
    </row>
    <row r="947" spans="1:12" x14ac:dyDescent="0.35">
      <c r="A947" s="5" t="s">
        <v>2112</v>
      </c>
      <c r="B947" s="22">
        <v>2670.4</v>
      </c>
      <c r="C947" s="10">
        <v>32.195</v>
      </c>
      <c r="D947" s="23">
        <f t="shared" si="87"/>
        <v>3.6456571578908836E-3</v>
      </c>
      <c r="E947" s="11">
        <f t="shared" si="88"/>
        <v>1.0197678067147765E-2</v>
      </c>
      <c r="F947" s="24">
        <f>(B947-$B$2)/$B$2</f>
        <v>0.74752961193639178</v>
      </c>
      <c r="G947" s="11">
        <f t="shared" si="89"/>
        <v>0.78405186744985045</v>
      </c>
      <c r="H947" s="25">
        <f t="shared" si="84"/>
        <v>82.944556608168966</v>
      </c>
      <c r="I947" s="26">
        <f>MAX($B$2:B947)</f>
        <v>2670.4</v>
      </c>
      <c r="J947" s="27">
        <f t="shared" si="85"/>
        <v>0</v>
      </c>
      <c r="K947" s="10">
        <f>MAX($C$2:C947)</f>
        <v>32.426000000000002</v>
      </c>
      <c r="L947" s="11">
        <f t="shared" si="86"/>
        <v>-7.1239129093937465E-3</v>
      </c>
    </row>
    <row r="948" spans="1:12" x14ac:dyDescent="0.35">
      <c r="A948" s="5" t="s">
        <v>2114</v>
      </c>
      <c r="B948" s="22">
        <v>2647.9</v>
      </c>
      <c r="C948" s="10">
        <v>31.457999999999998</v>
      </c>
      <c r="D948" s="23">
        <f t="shared" si="87"/>
        <v>-8.425704014379868E-3</v>
      </c>
      <c r="E948" s="11">
        <f t="shared" si="88"/>
        <v>-2.2891753377853763E-2</v>
      </c>
      <c r="F948" s="24">
        <f>(B948-$B$2)/$B$2</f>
        <v>0.73280544466985165</v>
      </c>
      <c r="G948" s="11">
        <f t="shared" si="89"/>
        <v>0.74321179208688903</v>
      </c>
      <c r="H948" s="25">
        <f t="shared" si="84"/>
        <v>84.172547523682383</v>
      </c>
      <c r="I948" s="26">
        <f>MAX($B$2:B948)</f>
        <v>2670.4</v>
      </c>
      <c r="J948" s="27">
        <f t="shared" si="85"/>
        <v>-8.425704014379868E-3</v>
      </c>
      <c r="K948" s="10">
        <f>MAX($C$2:C948)</f>
        <v>32.426000000000002</v>
      </c>
      <c r="L948" s="11">
        <f t="shared" si="86"/>
        <v>-2.9852587429840358E-2</v>
      </c>
    </row>
    <row r="949" spans="1:12" x14ac:dyDescent="0.35">
      <c r="A949" s="5" t="s">
        <v>2116</v>
      </c>
      <c r="B949" s="22">
        <v>2678.5</v>
      </c>
      <c r="C949" s="10">
        <v>31.742000000000001</v>
      </c>
      <c r="D949" s="23">
        <f t="shared" si="87"/>
        <v>1.1556327655878208E-2</v>
      </c>
      <c r="E949" s="11">
        <f t="shared" si="88"/>
        <v>9.0279102295124456E-3</v>
      </c>
      <c r="F949" s="24">
        <f>(B949-$B$2)/$B$2</f>
        <v>0.75283031215234619</v>
      </c>
      <c r="G949" s="11">
        <f t="shared" si="89"/>
        <v>0.75894935165687694</v>
      </c>
      <c r="H949" s="25">
        <f t="shared" si="84"/>
        <v>84.38346670027093</v>
      </c>
      <c r="I949" s="26">
        <f>MAX($B$2:B949)</f>
        <v>2678.5</v>
      </c>
      <c r="J949" s="27">
        <f t="shared" si="85"/>
        <v>0</v>
      </c>
      <c r="K949" s="10">
        <f>MAX($C$2:C949)</f>
        <v>32.426000000000002</v>
      </c>
      <c r="L949" s="11">
        <f t="shared" si="86"/>
        <v>-2.1094183679763186E-2</v>
      </c>
    </row>
    <row r="950" spans="1:12" x14ac:dyDescent="0.35">
      <c r="A950" s="5" t="s">
        <v>2118</v>
      </c>
      <c r="B950" s="22">
        <v>2658.1</v>
      </c>
      <c r="C950" s="10">
        <v>31.92</v>
      </c>
      <c r="D950" s="23">
        <f t="shared" si="87"/>
        <v>-7.6162030987493336E-3</v>
      </c>
      <c r="E950" s="11">
        <f t="shared" si="88"/>
        <v>5.6077121794468159E-3</v>
      </c>
      <c r="F950" s="24">
        <f>(B950-$B$2)/$B$2</f>
        <v>0.73948040049734964</v>
      </c>
      <c r="G950" s="11">
        <f t="shared" si="89"/>
        <v>0.76881303335919338</v>
      </c>
      <c r="H950" s="25">
        <f t="shared" si="84"/>
        <v>83.273809523809518</v>
      </c>
      <c r="I950" s="26">
        <f>MAX($B$2:B950)</f>
        <v>2678.5</v>
      </c>
      <c r="J950" s="27">
        <f t="shared" si="85"/>
        <v>-7.6162030987493336E-3</v>
      </c>
      <c r="K950" s="10">
        <f>MAX($C$2:C950)</f>
        <v>32.426000000000002</v>
      </c>
      <c r="L950" s="11">
        <f t="shared" si="86"/>
        <v>-1.5604761611052865E-2</v>
      </c>
    </row>
    <row r="951" spans="1:12" x14ac:dyDescent="0.35">
      <c r="A951" s="5" t="s">
        <v>2120</v>
      </c>
      <c r="B951" s="22">
        <v>2667.4</v>
      </c>
      <c r="C951" s="10">
        <v>32.463999999999999</v>
      </c>
      <c r="D951" s="23">
        <f t="shared" si="87"/>
        <v>3.4987397012904639E-3</v>
      </c>
      <c r="E951" s="11">
        <f t="shared" si="88"/>
        <v>1.704260651629063E-2</v>
      </c>
      <c r="F951" s="24">
        <f>(B951-$B$2)/$B$2</f>
        <v>0.74556638963418642</v>
      </c>
      <c r="G951" s="11">
        <f t="shared" si="89"/>
        <v>0.79895821788762056</v>
      </c>
      <c r="H951" s="25">
        <f t="shared" si="84"/>
        <v>82.1648595367176</v>
      </c>
      <c r="I951" s="26">
        <f>MAX($B$2:B951)</f>
        <v>2678.5</v>
      </c>
      <c r="J951" s="27">
        <f t="shared" si="85"/>
        <v>-4.1441105096135557E-3</v>
      </c>
      <c r="K951" s="10">
        <f>MAX($C$2:C951)</f>
        <v>32.463999999999999</v>
      </c>
      <c r="L951" s="11">
        <f t="shared" si="86"/>
        <v>0</v>
      </c>
    </row>
    <row r="952" spans="1:12" x14ac:dyDescent="0.35">
      <c r="A952" s="5" t="s">
        <v>2122</v>
      </c>
      <c r="B952" s="22">
        <v>2654</v>
      </c>
      <c r="C952" s="10">
        <v>32.003999999999998</v>
      </c>
      <c r="D952" s="23">
        <f t="shared" si="87"/>
        <v>-5.0236185049111837E-3</v>
      </c>
      <c r="E952" s="11">
        <f t="shared" si="88"/>
        <v>-1.4169541646131125E-2</v>
      </c>
      <c r="F952" s="24">
        <f>(B952-$B$2)/$B$2</f>
        <v>0.73679733001766912</v>
      </c>
      <c r="G952" s="11">
        <f t="shared" si="89"/>
        <v>0.77346780449961205</v>
      </c>
      <c r="H952" s="25">
        <f t="shared" si="84"/>
        <v>82.927134108236473</v>
      </c>
      <c r="I952" s="26">
        <f>MAX($B$2:B952)</f>
        <v>2678.5</v>
      </c>
      <c r="J952" s="27">
        <f t="shared" si="85"/>
        <v>-9.146910584282247E-3</v>
      </c>
      <c r="K952" s="10">
        <f>MAX($C$2:C952)</f>
        <v>32.463999999999999</v>
      </c>
      <c r="L952" s="11">
        <f t="shared" si="86"/>
        <v>-1.4169541646131125E-2</v>
      </c>
    </row>
    <row r="953" spans="1:12" x14ac:dyDescent="0.35">
      <c r="A953" s="5" t="s">
        <v>2124</v>
      </c>
      <c r="B953" s="22">
        <v>2623.5</v>
      </c>
      <c r="C953" s="10">
        <v>30.6</v>
      </c>
      <c r="D953" s="23">
        <f t="shared" si="87"/>
        <v>-1.1492087415222306E-2</v>
      </c>
      <c r="E953" s="11">
        <f t="shared" si="88"/>
        <v>-4.3869516310461085E-2</v>
      </c>
      <c r="F953" s="24">
        <f>(B953-$B$2)/$B$2</f>
        <v>0.71683790327858132</v>
      </c>
      <c r="G953" s="11">
        <f t="shared" si="89"/>
        <v>0.6956666297240387</v>
      </c>
      <c r="H953" s="25">
        <f t="shared" si="84"/>
        <v>85.735294117647058</v>
      </c>
      <c r="I953" s="26">
        <f>MAX($B$2:B953)</f>
        <v>2678.5</v>
      </c>
      <c r="J953" s="27">
        <f t="shared" si="85"/>
        <v>-2.0533880903490759E-2</v>
      </c>
      <c r="K953" s="10">
        <f>MAX($C$2:C953)</f>
        <v>32.463999999999999</v>
      </c>
      <c r="L953" s="11">
        <f t="shared" si="86"/>
        <v>-5.74174470182355E-2</v>
      </c>
    </row>
    <row r="954" spans="1:12" x14ac:dyDescent="0.35">
      <c r="A954" s="5" t="s">
        <v>2126</v>
      </c>
      <c r="B954" s="22">
        <v>2614.1</v>
      </c>
      <c r="C954" s="10">
        <v>30.67</v>
      </c>
      <c r="D954" s="23">
        <f t="shared" si="87"/>
        <v>-3.5829998094149386E-3</v>
      </c>
      <c r="E954" s="11">
        <f t="shared" si="88"/>
        <v>2.2875816993464144E-3</v>
      </c>
      <c r="F954" s="24">
        <f>(B954-$B$2)/$B$2</f>
        <v>0.71068647339833779</v>
      </c>
      <c r="G954" s="11">
        <f t="shared" si="89"/>
        <v>0.69954560567438784</v>
      </c>
      <c r="H954" s="25">
        <f t="shared" si="84"/>
        <v>85.233126834039766</v>
      </c>
      <c r="I954" s="26">
        <f>MAX($B$2:B954)</f>
        <v>2678.5</v>
      </c>
      <c r="J954" s="27">
        <f t="shared" si="85"/>
        <v>-2.4043307821541942E-2</v>
      </c>
      <c r="K954" s="10">
        <f>MAX($C$2:C954)</f>
        <v>32.463999999999999</v>
      </c>
      <c r="L954" s="11">
        <f t="shared" si="86"/>
        <v>-5.5261212419911193E-2</v>
      </c>
    </row>
    <row r="955" spans="1:12" x14ac:dyDescent="0.35">
      <c r="A955" s="5" t="s">
        <v>2128</v>
      </c>
      <c r="B955" s="22">
        <v>2627.4</v>
      </c>
      <c r="C955" s="10">
        <v>31.24</v>
      </c>
      <c r="D955" s="23">
        <f t="shared" si="87"/>
        <v>5.0877931219158344E-3</v>
      </c>
      <c r="E955" s="11">
        <f t="shared" si="88"/>
        <v>1.8584936419954245E-2</v>
      </c>
      <c r="F955" s="24">
        <f>(B955-$B$2)/$B$2</f>
        <v>0.71939009227144834</v>
      </c>
      <c r="G955" s="11">
        <f t="shared" si="89"/>
        <v>0.73113155269865893</v>
      </c>
      <c r="H955" s="25">
        <f t="shared" si="84"/>
        <v>84.10371318822024</v>
      </c>
      <c r="I955" s="26">
        <f>MAX($B$2:B955)</f>
        <v>2678.5</v>
      </c>
      <c r="J955" s="27">
        <f t="shared" si="85"/>
        <v>-1.9077842075788654E-2</v>
      </c>
      <c r="K955" s="10">
        <f>MAX($C$2:C955)</f>
        <v>32.463999999999999</v>
      </c>
      <c r="L955" s="11">
        <f t="shared" si="86"/>
        <v>-3.7703302119270588E-2</v>
      </c>
    </row>
    <row r="956" spans="1:12" x14ac:dyDescent="0.35">
      <c r="A956" s="5" t="s">
        <v>2130</v>
      </c>
      <c r="B956" s="22">
        <v>2653.7</v>
      </c>
      <c r="C956" s="10">
        <v>31.315999999999999</v>
      </c>
      <c r="D956" s="23">
        <f t="shared" si="87"/>
        <v>1.0009895714394354E-2</v>
      </c>
      <c r="E956" s="11">
        <f t="shared" si="88"/>
        <v>2.4327784891165338E-3</v>
      </c>
      <c r="F956" s="24">
        <f>(B956-$B$2)/$B$2</f>
        <v>0.73660100778744841</v>
      </c>
      <c r="G956" s="11">
        <f t="shared" si="89"/>
        <v>0.73534301230189514</v>
      </c>
      <c r="H956" s="25">
        <f t="shared" si="84"/>
        <v>84.739430323157492</v>
      </c>
      <c r="I956" s="26">
        <f>MAX($B$2:B956)</f>
        <v>2678.5</v>
      </c>
      <c r="J956" s="27">
        <f t="shared" si="85"/>
        <v>-9.2589135710286295E-3</v>
      </c>
      <c r="K956" s="10">
        <f>MAX($C$2:C956)</f>
        <v>32.463999999999999</v>
      </c>
      <c r="L956" s="11">
        <f t="shared" si="86"/>
        <v>-3.5362247412518477E-2</v>
      </c>
    </row>
    <row r="957" spans="1:12" x14ac:dyDescent="0.35">
      <c r="A957" s="5" t="s">
        <v>2132</v>
      </c>
      <c r="B957" s="22">
        <v>2667</v>
      </c>
      <c r="C957" s="10">
        <v>31.756</v>
      </c>
      <c r="D957" s="23">
        <f t="shared" si="87"/>
        <v>5.0118702189396623E-3</v>
      </c>
      <c r="E957" s="11">
        <f t="shared" si="88"/>
        <v>1.4050325712096095E-2</v>
      </c>
      <c r="F957" s="24">
        <f>(B957-$B$2)/$B$2</f>
        <v>0.74530462666055897</v>
      </c>
      <c r="G957" s="11">
        <f t="shared" si="89"/>
        <v>0.75972514684694681</v>
      </c>
      <c r="H957" s="25">
        <f t="shared" si="84"/>
        <v>83.984128983499176</v>
      </c>
      <c r="I957" s="26">
        <f>MAX($B$2:B957)</f>
        <v>2678.5</v>
      </c>
      <c r="J957" s="27">
        <f t="shared" si="85"/>
        <v>-4.2934478252753408E-3</v>
      </c>
      <c r="K957" s="10">
        <f>MAX($C$2:C957)</f>
        <v>32.463999999999999</v>
      </c>
      <c r="L957" s="11">
        <f t="shared" si="86"/>
        <v>-2.1808772794479993E-2</v>
      </c>
    </row>
    <row r="958" spans="1:12" x14ac:dyDescent="0.35">
      <c r="A958" s="5" t="s">
        <v>2134</v>
      </c>
      <c r="B958" s="22">
        <v>2679.3</v>
      </c>
      <c r="C958" s="10">
        <v>31.974</v>
      </c>
      <c r="D958" s="23">
        <f t="shared" si="87"/>
        <v>4.6119235095613727E-3</v>
      </c>
      <c r="E958" s="11">
        <f t="shared" si="88"/>
        <v>6.8648444388462017E-3</v>
      </c>
      <c r="F958" s="24">
        <f>(B958-$B$2)/$B$2</f>
        <v>0.75335383809960099</v>
      </c>
      <c r="G958" s="11">
        <f t="shared" si="89"/>
        <v>0.7718053862351768</v>
      </c>
      <c r="H958" s="25">
        <f t="shared" si="84"/>
        <v>83.796209420153886</v>
      </c>
      <c r="I958" s="26">
        <f>MAX($B$2:B958)</f>
        <v>2679.3</v>
      </c>
      <c r="J958" s="27">
        <f t="shared" si="85"/>
        <v>0</v>
      </c>
      <c r="K958" s="10">
        <f>MAX($C$2:C958)</f>
        <v>32.463999999999999</v>
      </c>
      <c r="L958" s="11">
        <f t="shared" si="86"/>
        <v>-1.5093642188270036E-2</v>
      </c>
    </row>
    <row r="959" spans="1:12" x14ac:dyDescent="0.35">
      <c r="A959" s="5" t="s">
        <v>2136</v>
      </c>
      <c r="B959" s="22">
        <v>2695.5</v>
      </c>
      <c r="C959" s="10">
        <v>31.774000000000001</v>
      </c>
      <c r="D959" s="23">
        <f t="shared" si="87"/>
        <v>6.0463553913334888E-3</v>
      </c>
      <c r="E959" s="11">
        <f t="shared" si="88"/>
        <v>-6.2550822543316221E-3</v>
      </c>
      <c r="F959" s="24">
        <f>(B959-$B$2)/$B$2</f>
        <v>0.76395523853150982</v>
      </c>
      <c r="G959" s="11">
        <f t="shared" si="89"/>
        <v>0.76072259780560803</v>
      </c>
      <c r="H959" s="25">
        <f t="shared" si="84"/>
        <v>84.833511676213249</v>
      </c>
      <c r="I959" s="26">
        <f>MAX($B$2:B959)</f>
        <v>2695.5</v>
      </c>
      <c r="J959" s="27">
        <f t="shared" si="85"/>
        <v>0</v>
      </c>
      <c r="K959" s="10">
        <f>MAX($C$2:C959)</f>
        <v>32.463999999999999</v>
      </c>
      <c r="L959" s="11">
        <f t="shared" si="86"/>
        <v>-2.1254312469196578E-2</v>
      </c>
    </row>
    <row r="960" spans="1:12" x14ac:dyDescent="0.35">
      <c r="A960" s="5" t="s">
        <v>2138</v>
      </c>
      <c r="B960" s="22">
        <v>2726.8</v>
      </c>
      <c r="C960" s="10">
        <v>34.078000000000003</v>
      </c>
      <c r="D960" s="23">
        <f t="shared" si="87"/>
        <v>1.1611945835652081E-2</v>
      </c>
      <c r="E960" s="11">
        <f t="shared" si="88"/>
        <v>7.2512116825077175E-2</v>
      </c>
      <c r="F960" s="24">
        <f>(B960-$B$2)/$B$2</f>
        <v>0.78443819121785241</v>
      </c>
      <c r="G960" s="11">
        <f t="shared" si="89"/>
        <v>0.88839632051424167</v>
      </c>
      <c r="H960" s="25">
        <f t="shared" si="84"/>
        <v>80.016432889254062</v>
      </c>
      <c r="I960" s="26">
        <f>MAX($B$2:B960)</f>
        <v>2726.8</v>
      </c>
      <c r="J960" s="27">
        <f t="shared" si="85"/>
        <v>0</v>
      </c>
      <c r="K960" s="10">
        <f>MAX($C$2:C960)</f>
        <v>34.078000000000003</v>
      </c>
      <c r="L960" s="11">
        <f t="shared" si="86"/>
        <v>0</v>
      </c>
    </row>
    <row r="961" spans="1:12" x14ac:dyDescent="0.35">
      <c r="A961" s="5" t="s">
        <v>2140</v>
      </c>
      <c r="B961" s="22">
        <v>2747.4</v>
      </c>
      <c r="C961" s="10">
        <v>35.040999999999997</v>
      </c>
      <c r="D961" s="23">
        <f t="shared" si="87"/>
        <v>7.5546428047527899E-3</v>
      </c>
      <c r="E961" s="11">
        <f t="shared" si="88"/>
        <v>2.8258700627970944E-2</v>
      </c>
      <c r="F961" s="24">
        <f>(B961-$B$2)/$B$2</f>
        <v>0.79791898435966246</v>
      </c>
      <c r="G961" s="11">
        <f t="shared" si="89"/>
        <v>0.94175994680261543</v>
      </c>
      <c r="H961" s="25">
        <f t="shared" si="84"/>
        <v>78.405296652492808</v>
      </c>
      <c r="I961" s="26">
        <f>MAX($B$2:B961)</f>
        <v>2747.4</v>
      </c>
      <c r="J961" s="27">
        <f t="shared" si="85"/>
        <v>0</v>
      </c>
      <c r="K961" s="10">
        <f>MAX($C$2:C961)</f>
        <v>35.040999999999997</v>
      </c>
      <c r="L961" s="11">
        <f t="shared" si="86"/>
        <v>0</v>
      </c>
    </row>
    <row r="962" spans="1:12" x14ac:dyDescent="0.35">
      <c r="A962" s="5" t="s">
        <v>2142</v>
      </c>
      <c r="B962" s="22">
        <v>2717.1</v>
      </c>
      <c r="C962" s="10">
        <v>33.838999999999999</v>
      </c>
      <c r="D962" s="23">
        <f t="shared" si="87"/>
        <v>-1.1028608866564819E-2</v>
      </c>
      <c r="E962" s="11">
        <f t="shared" si="88"/>
        <v>-3.4302674010444859E-2</v>
      </c>
      <c r="F962" s="24">
        <f>(B962-$B$2)/$B$2</f>
        <v>0.77809043910738829</v>
      </c>
      <c r="G962" s="11">
        <f t="shared" si="89"/>
        <v>0.87515238834090658</v>
      </c>
      <c r="H962" s="25">
        <f t="shared" si="84"/>
        <v>80.294925972989745</v>
      </c>
      <c r="I962" s="26">
        <f>MAX($B$2:B962)</f>
        <v>2747.4</v>
      </c>
      <c r="J962" s="27">
        <f t="shared" si="85"/>
        <v>-1.1028608866564819E-2</v>
      </c>
      <c r="K962" s="10">
        <f>MAX($C$2:C962)</f>
        <v>35.040999999999997</v>
      </c>
      <c r="L962" s="11">
        <f t="shared" si="86"/>
        <v>-3.4302674010444859E-2</v>
      </c>
    </row>
    <row r="963" spans="1:12" x14ac:dyDescent="0.35">
      <c r="A963" s="5" t="s">
        <v>2144</v>
      </c>
      <c r="B963" s="22">
        <v>2736.5</v>
      </c>
      <c r="C963" s="10">
        <v>33.795000000000002</v>
      </c>
      <c r="D963" s="23">
        <f t="shared" si="87"/>
        <v>7.1399654042913737E-3</v>
      </c>
      <c r="E963" s="11">
        <f t="shared" si="88"/>
        <v>-1.3002748308164227E-3</v>
      </c>
      <c r="F963" s="24">
        <f>(B963-$B$2)/$B$2</f>
        <v>0.79078594332831631</v>
      </c>
      <c r="G963" s="11">
        <f t="shared" si="89"/>
        <v>0.87271417488640157</v>
      </c>
      <c r="H963" s="25">
        <f t="shared" ref="H963:H1026" si="90">B963/C963</f>
        <v>80.973516792424917</v>
      </c>
      <c r="I963" s="26">
        <f>MAX($B$2:B963)</f>
        <v>2747.4</v>
      </c>
      <c r="J963" s="27">
        <f t="shared" ref="J963:J1026" si="91">(B963-I963)/I963</f>
        <v>-3.9673873480381783E-3</v>
      </c>
      <c r="K963" s="10">
        <f>MAX($C$2:C963)</f>
        <v>35.040999999999997</v>
      </c>
      <c r="L963" s="11">
        <f t="shared" ref="L963:L1026" si="92">(C963-K963)/K963</f>
        <v>-3.5558345937615803E-2</v>
      </c>
    </row>
    <row r="964" spans="1:12" x14ac:dyDescent="0.35">
      <c r="A964" s="5" t="s">
        <v>2146</v>
      </c>
      <c r="B964" s="22">
        <v>2743.6</v>
      </c>
      <c r="C964" s="10">
        <v>34.000999999999998</v>
      </c>
      <c r="D964" s="23">
        <f t="shared" ref="D964:D1027" si="93">(B964-B963)/B963</f>
        <v>2.5945550886168132E-3</v>
      </c>
      <c r="E964" s="11">
        <f t="shared" ref="E964:E1027" si="94">(C964-C963)/C963</f>
        <v>6.0955762686786793E-3</v>
      </c>
      <c r="F964" s="24">
        <f>(B964-$B$2)/$B$2</f>
        <v>0.79543223611020231</v>
      </c>
      <c r="G964" s="11">
        <f t="shared" ref="G964:G1027" si="95">(C964-$C$2)/$C$2</f>
        <v>0.88412944696885731</v>
      </c>
      <c r="H964" s="25">
        <f t="shared" si="90"/>
        <v>80.691744360459992</v>
      </c>
      <c r="I964" s="26">
        <f>MAX($B$2:B964)</f>
        <v>2747.4</v>
      </c>
      <c r="J964" s="27">
        <f t="shared" si="91"/>
        <v>-1.3831258644537315E-3</v>
      </c>
      <c r="K964" s="10">
        <f>MAX($C$2:C964)</f>
        <v>35.040999999999997</v>
      </c>
      <c r="L964" s="11">
        <f t="shared" si="92"/>
        <v>-2.9679518278587919E-2</v>
      </c>
    </row>
    <row r="965" spans="1:12" x14ac:dyDescent="0.35">
      <c r="A965" s="5" t="s">
        <v>2148</v>
      </c>
      <c r="B965" s="22">
        <v>2768.8</v>
      </c>
      <c r="C965" s="10">
        <v>34.441000000000003</v>
      </c>
      <c r="D965" s="23">
        <f t="shared" si="93"/>
        <v>9.1850123924771369E-3</v>
      </c>
      <c r="E965" s="11">
        <f t="shared" si="94"/>
        <v>1.2940795858945468E-2</v>
      </c>
      <c r="F965" s="24">
        <f>(B965-$B$2)/$B$2</f>
        <v>0.81192330344872743</v>
      </c>
      <c r="G965" s="11">
        <f t="shared" si="95"/>
        <v>0.90851158151390909</v>
      </c>
      <c r="H965" s="25">
        <f t="shared" si="90"/>
        <v>80.392555384570713</v>
      </c>
      <c r="I965" s="26">
        <f>MAX($B$2:B965)</f>
        <v>2768.8</v>
      </c>
      <c r="J965" s="27">
        <f t="shared" si="91"/>
        <v>0</v>
      </c>
      <c r="K965" s="10">
        <f>MAX($C$2:C965)</f>
        <v>35.040999999999997</v>
      </c>
      <c r="L965" s="11">
        <f t="shared" si="92"/>
        <v>-1.7122799006877496E-2</v>
      </c>
    </row>
    <row r="966" spans="1:12" x14ac:dyDescent="0.35">
      <c r="A966" s="5" t="s">
        <v>2150</v>
      </c>
      <c r="B966" s="22">
        <v>2800.8</v>
      </c>
      <c r="C966" s="10">
        <v>34.234000000000002</v>
      </c>
      <c r="D966" s="23">
        <f t="shared" si="93"/>
        <v>1.1557353366079166E-2</v>
      </c>
      <c r="E966" s="11">
        <f t="shared" si="94"/>
        <v>-6.0102784471995794E-3</v>
      </c>
      <c r="F966" s="24">
        <f>(B966-$B$2)/$B$2</f>
        <v>0.83286434133891785</v>
      </c>
      <c r="G966" s="11">
        <f t="shared" si="95"/>
        <v>0.89704089548930532</v>
      </c>
      <c r="H966" s="25">
        <f t="shared" si="90"/>
        <v>81.813401881170762</v>
      </c>
      <c r="I966" s="26">
        <f>MAX($B$2:B966)</f>
        <v>2800.8</v>
      </c>
      <c r="J966" s="27">
        <f t="shared" si="91"/>
        <v>0</v>
      </c>
      <c r="K966" s="10">
        <f>MAX($C$2:C966)</f>
        <v>35.040999999999997</v>
      </c>
      <c r="L966" s="11">
        <f t="shared" si="92"/>
        <v>-2.303016466425031E-2</v>
      </c>
    </row>
    <row r="967" spans="1:12" x14ac:dyDescent="0.35">
      <c r="A967" s="5" t="s">
        <v>2152</v>
      </c>
      <c r="B967" s="22">
        <v>2749.3</v>
      </c>
      <c r="C967" s="10">
        <v>32.953000000000003</v>
      </c>
      <c r="D967" s="23">
        <f t="shared" si="93"/>
        <v>-1.8387603541845186E-2</v>
      </c>
      <c r="E967" s="11">
        <f t="shared" si="94"/>
        <v>-3.7418940234854203E-2</v>
      </c>
      <c r="F967" s="24">
        <f>(B967-$B$2)/$B$2</f>
        <v>0.79916235848439265</v>
      </c>
      <c r="G967" s="11">
        <f t="shared" si="95"/>
        <v>0.82605563559791662</v>
      </c>
      <c r="H967" s="25">
        <f t="shared" si="90"/>
        <v>83.430947106484993</v>
      </c>
      <c r="I967" s="26">
        <f>MAX($B$2:B967)</f>
        <v>2800.8</v>
      </c>
      <c r="J967" s="27">
        <f t="shared" si="91"/>
        <v>-1.8387603541845186E-2</v>
      </c>
      <c r="K967" s="10">
        <f>MAX($C$2:C967)</f>
        <v>35.040999999999997</v>
      </c>
      <c r="L967" s="11">
        <f t="shared" si="92"/>
        <v>-5.9587340543934081E-2</v>
      </c>
    </row>
    <row r="968" spans="1:12" x14ac:dyDescent="0.35">
      <c r="A968" s="5" t="s">
        <v>2154</v>
      </c>
      <c r="B968" s="22">
        <v>2746.2</v>
      </c>
      <c r="C968" s="10">
        <v>32.765000000000001</v>
      </c>
      <c r="D968" s="23">
        <f t="shared" si="93"/>
        <v>-1.1275597424800362E-3</v>
      </c>
      <c r="E968" s="11">
        <f t="shared" si="94"/>
        <v>-5.7050951354960817E-3</v>
      </c>
      <c r="F968" s="24">
        <f>(B968-$B$2)/$B$2</f>
        <v>0.79713369543878021</v>
      </c>
      <c r="G968" s="11">
        <f t="shared" si="95"/>
        <v>0.81563781447412176</v>
      </c>
      <c r="H968" s="25">
        <f t="shared" si="90"/>
        <v>83.815046543567831</v>
      </c>
      <c r="I968" s="26">
        <f>MAX($B$2:B968)</f>
        <v>2800.8</v>
      </c>
      <c r="J968" s="27">
        <f t="shared" si="91"/>
        <v>-1.9494430162810755E-2</v>
      </c>
      <c r="K968" s="10">
        <f>MAX($C$2:C968)</f>
        <v>35.040999999999997</v>
      </c>
      <c r="L968" s="11">
        <f t="shared" si="92"/>
        <v>-6.4952484232755819E-2</v>
      </c>
    </row>
    <row r="969" spans="1:12" x14ac:dyDescent="0.35">
      <c r="A969" s="5" t="s">
        <v>2156</v>
      </c>
      <c r="B969" s="22">
        <v>2749.7</v>
      </c>
      <c r="C969" s="10">
        <v>32.933999999999997</v>
      </c>
      <c r="D969" s="23">
        <f t="shared" si="93"/>
        <v>1.2744883839487292E-3</v>
      </c>
      <c r="E969" s="11">
        <f t="shared" si="94"/>
        <v>5.1579429269036142E-3</v>
      </c>
      <c r="F969" s="24">
        <f>(B969-$B$2)/$B$2</f>
        <v>0.79942412145801978</v>
      </c>
      <c r="G969" s="11">
        <f t="shared" si="95"/>
        <v>0.82500277069710737</v>
      </c>
      <c r="H969" s="25">
        <f t="shared" si="90"/>
        <v>83.491224873990404</v>
      </c>
      <c r="I969" s="26">
        <f>MAX($B$2:B969)</f>
        <v>2800.8</v>
      </c>
      <c r="J969" s="27">
        <f t="shared" si="91"/>
        <v>-1.8244787203656226E-2</v>
      </c>
      <c r="K969" s="10">
        <f>MAX($C$2:C969)</f>
        <v>35.040999999999997</v>
      </c>
      <c r="L969" s="11">
        <f t="shared" si="92"/>
        <v>-6.0129562512485357E-2</v>
      </c>
    </row>
    <row r="970" spans="1:12" x14ac:dyDescent="0.35">
      <c r="A970" s="5" t="s">
        <v>2158</v>
      </c>
      <c r="B970" s="22">
        <v>2676.3</v>
      </c>
      <c r="C970" s="10">
        <v>31.484999999999999</v>
      </c>
      <c r="D970" s="23">
        <f t="shared" si="93"/>
        <v>-2.6693821144124684E-2</v>
      </c>
      <c r="E970" s="11">
        <f t="shared" si="94"/>
        <v>-4.3997085079249355E-2</v>
      </c>
      <c r="F970" s="24">
        <f>(B970-$B$2)/$B$2</f>
        <v>0.75139061579739563</v>
      </c>
      <c r="G970" s="11">
        <f t="shared" si="95"/>
        <v>0.74470796852488086</v>
      </c>
      <c r="H970" s="25">
        <f t="shared" si="90"/>
        <v>85.002382086707968</v>
      </c>
      <c r="I970" s="26">
        <f>MAX($B$2:B970)</f>
        <v>2800.8</v>
      </c>
      <c r="J970" s="27">
        <f t="shared" si="91"/>
        <v>-4.4451585261353899E-2</v>
      </c>
      <c r="K970" s="10">
        <f>MAX($C$2:C970)</f>
        <v>35.040999999999997</v>
      </c>
      <c r="L970" s="11">
        <f t="shared" si="92"/>
        <v>-0.10148112211409485</v>
      </c>
    </row>
    <row r="971" spans="1:12" x14ac:dyDescent="0.35">
      <c r="A971" s="5" t="s">
        <v>2160</v>
      </c>
      <c r="B971" s="22">
        <v>2705.8</v>
      </c>
      <c r="C971" s="10">
        <v>32.012999999999998</v>
      </c>
      <c r="D971" s="23">
        <f t="shared" si="93"/>
        <v>1.1022680566453686E-2</v>
      </c>
      <c r="E971" s="11">
        <f t="shared" si="94"/>
        <v>1.6769890424011391E-2</v>
      </c>
      <c r="F971" s="24">
        <f>(B971-$B$2)/$B$2</f>
        <v>0.77069563510241501</v>
      </c>
      <c r="G971" s="11">
        <f t="shared" si="95"/>
        <v>0.77396652997894266</v>
      </c>
      <c r="H971" s="25">
        <f t="shared" si="90"/>
        <v>84.521912972854793</v>
      </c>
      <c r="I971" s="26">
        <f>MAX($B$2:B971)</f>
        <v>2800.8</v>
      </c>
      <c r="J971" s="27">
        <f t="shared" si="91"/>
        <v>-3.3918880319908598E-2</v>
      </c>
      <c r="K971" s="10">
        <f>MAX($C$2:C971)</f>
        <v>35.040999999999997</v>
      </c>
      <c r="L971" s="11">
        <f t="shared" si="92"/>
        <v>-8.6413058988042551E-2</v>
      </c>
    </row>
    <row r="972" spans="1:12" x14ac:dyDescent="0.35">
      <c r="A972" s="5" t="s">
        <v>2162</v>
      </c>
      <c r="B972" s="22">
        <v>2617.6999999999998</v>
      </c>
      <c r="C972" s="10">
        <v>30.768000000000001</v>
      </c>
      <c r="D972" s="23">
        <f t="shared" si="93"/>
        <v>-3.2559686599157499E-2</v>
      </c>
      <c r="E972" s="11">
        <f t="shared" si="94"/>
        <v>-3.8890450754380954E-2</v>
      </c>
      <c r="F972" s="24">
        <f>(B972-$B$2)/$B$2</f>
        <v>0.71304234016098422</v>
      </c>
      <c r="G972" s="11">
        <f t="shared" si="95"/>
        <v>0.7049761720048765</v>
      </c>
      <c r="H972" s="25">
        <f t="shared" si="90"/>
        <v>85.078653146125831</v>
      </c>
      <c r="I972" s="26">
        <f>MAX($B$2:B972)</f>
        <v>2800.8</v>
      </c>
      <c r="J972" s="27">
        <f t="shared" si="91"/>
        <v>-6.5374178806055533E-2</v>
      </c>
      <c r="K972" s="10">
        <f>MAX($C$2:C972)</f>
        <v>35.040999999999997</v>
      </c>
      <c r="L972" s="11">
        <f t="shared" si="92"/>
        <v>-0.12194286692731363</v>
      </c>
    </row>
    <row r="973" spans="1:12" x14ac:dyDescent="0.35">
      <c r="A973" s="5" t="s">
        <v>2164</v>
      </c>
      <c r="B973" s="22">
        <v>2606.3000000000002</v>
      </c>
      <c r="C973" s="10">
        <v>30.914999999999999</v>
      </c>
      <c r="D973" s="23">
        <f t="shared" si="93"/>
        <v>-4.3549681017685899E-3</v>
      </c>
      <c r="E973" s="11">
        <f t="shared" si="94"/>
        <v>4.7776911076442561E-3</v>
      </c>
      <c r="F973" s="24">
        <f>(B973-$B$2)/$B$2</f>
        <v>0.70558209541260408</v>
      </c>
      <c r="G973" s="11">
        <f t="shared" si="95"/>
        <v>0.71312202150060955</v>
      </c>
      <c r="H973" s="25">
        <f t="shared" si="90"/>
        <v>84.305353388322828</v>
      </c>
      <c r="I973" s="26">
        <f>MAX($B$2:B973)</f>
        <v>2800.8</v>
      </c>
      <c r="J973" s="27">
        <f t="shared" si="91"/>
        <v>-6.9444444444444434E-2</v>
      </c>
      <c r="K973" s="10">
        <f>MAX($C$2:C973)</f>
        <v>35.040999999999997</v>
      </c>
      <c r="L973" s="11">
        <f t="shared" si="92"/>
        <v>-0.11774778117062863</v>
      </c>
    </row>
    <row r="974" spans="1:12" x14ac:dyDescent="0.35">
      <c r="A974" s="5" t="s">
        <v>2166</v>
      </c>
      <c r="B974" s="22">
        <v>2586.5</v>
      </c>
      <c r="C974" s="10">
        <v>30.817</v>
      </c>
      <c r="D974" s="23">
        <f t="shared" si="93"/>
        <v>-7.5969765568047352E-3</v>
      </c>
      <c r="E974" s="11">
        <f t="shared" si="94"/>
        <v>-3.1699822092834864E-3</v>
      </c>
      <c r="F974" s="24">
        <f>(B974-$B$2)/$B$2</f>
        <v>0.6926248282180486</v>
      </c>
      <c r="G974" s="11">
        <f t="shared" si="95"/>
        <v>0.70769145517012089</v>
      </c>
      <c r="H974" s="25">
        <f t="shared" si="90"/>
        <v>83.93094720446507</v>
      </c>
      <c r="I974" s="26">
        <f>MAX($B$2:B974)</f>
        <v>2800.8</v>
      </c>
      <c r="J974" s="27">
        <f t="shared" si="91"/>
        <v>-7.6513853184804401E-2</v>
      </c>
      <c r="K974" s="10">
        <f>MAX($C$2:C974)</f>
        <v>35.040999999999997</v>
      </c>
      <c r="L974" s="11">
        <f t="shared" si="92"/>
        <v>-0.12054450500841862</v>
      </c>
    </row>
    <row r="975" spans="1:12" x14ac:dyDescent="0.35">
      <c r="A975" s="5" t="s">
        <v>2168</v>
      </c>
      <c r="B975" s="22">
        <v>2572.9</v>
      </c>
      <c r="C975" s="10">
        <v>30.724</v>
      </c>
      <c r="D975" s="23">
        <f t="shared" si="93"/>
        <v>-5.2580707519814069E-3</v>
      </c>
      <c r="E975" s="11">
        <f t="shared" si="94"/>
        <v>-3.0178148424570843E-3</v>
      </c>
      <c r="F975" s="24">
        <f>(B975-$B$2)/$B$2</f>
        <v>0.68372488711471779</v>
      </c>
      <c r="G975" s="11">
        <f t="shared" si="95"/>
        <v>0.70253795855037138</v>
      </c>
      <c r="H975" s="25">
        <f t="shared" si="90"/>
        <v>83.742351256346836</v>
      </c>
      <c r="I975" s="26">
        <f>MAX($B$2:B975)</f>
        <v>2800.8</v>
      </c>
      <c r="J975" s="27">
        <f t="shared" si="91"/>
        <v>-8.1369608683233383E-2</v>
      </c>
      <c r="K975" s="10">
        <f>MAX($C$2:C975)</f>
        <v>35.040999999999997</v>
      </c>
      <c r="L975" s="11">
        <f t="shared" si="92"/>
        <v>-0.12319853885448466</v>
      </c>
    </row>
    <row r="976" spans="1:12" x14ac:dyDescent="0.35">
      <c r="A976" s="5" t="s">
        <v>2170</v>
      </c>
      <c r="B976" s="22">
        <v>2614.6</v>
      </c>
      <c r="C976" s="10">
        <v>31.379000000000001</v>
      </c>
      <c r="D976" s="23">
        <f t="shared" si="93"/>
        <v>1.6207392436550123E-2</v>
      </c>
      <c r="E976" s="11">
        <f t="shared" si="94"/>
        <v>2.1318838692878567E-2</v>
      </c>
      <c r="F976" s="24">
        <f>(B976-$B$2)/$B$2</f>
        <v>0.71101367711537211</v>
      </c>
      <c r="G976" s="11">
        <f t="shared" si="95"/>
        <v>0.73883409065720951</v>
      </c>
      <c r="H976" s="25">
        <f t="shared" si="90"/>
        <v>83.323241658433972</v>
      </c>
      <c r="I976" s="26">
        <f>MAX($B$2:B976)</f>
        <v>2800.8</v>
      </c>
      <c r="J976" s="27">
        <f t="shared" si="91"/>
        <v>-6.6481005427020942E-2</v>
      </c>
      <c r="K976" s="10">
        <f>MAX($C$2:C976)</f>
        <v>35.040999999999997</v>
      </c>
      <c r="L976" s="11">
        <f t="shared" si="92"/>
        <v>-0.10450614993864318</v>
      </c>
    </row>
    <row r="977" spans="1:12" x14ac:dyDescent="0.35">
      <c r="A977" s="5" t="s">
        <v>2172</v>
      </c>
      <c r="B977" s="22">
        <v>2631</v>
      </c>
      <c r="C977" s="10">
        <v>31.417000000000002</v>
      </c>
      <c r="D977" s="23">
        <f t="shared" si="93"/>
        <v>6.2724699762870383E-3</v>
      </c>
      <c r="E977" s="11">
        <f t="shared" si="94"/>
        <v>1.2110009879218668E-3</v>
      </c>
      <c r="F977" s="24">
        <f>(B977-$B$2)/$B$2</f>
        <v>0.72174595903409478</v>
      </c>
      <c r="G977" s="11">
        <f t="shared" si="95"/>
        <v>0.74093982045882756</v>
      </c>
      <c r="H977" s="25">
        <f t="shared" si="90"/>
        <v>83.744469554699677</v>
      </c>
      <c r="I977" s="26">
        <f>MAX($B$2:B977)</f>
        <v>2800.8</v>
      </c>
      <c r="J977" s="27">
        <f t="shared" si="91"/>
        <v>-6.0625535561268269E-2</v>
      </c>
      <c r="K977" s="10">
        <f>MAX($C$2:C977)</f>
        <v>35.040999999999997</v>
      </c>
      <c r="L977" s="11">
        <f t="shared" si="92"/>
        <v>-0.10342170600154092</v>
      </c>
    </row>
    <row r="978" spans="1:12" x14ac:dyDescent="0.35">
      <c r="A978" s="5" t="s">
        <v>2174</v>
      </c>
      <c r="B978" s="22">
        <v>2651.7</v>
      </c>
      <c r="C978" s="10">
        <v>31.158999999999999</v>
      </c>
      <c r="D978" s="23">
        <f t="shared" si="93"/>
        <v>7.8677309007981061E-3</v>
      </c>
      <c r="E978" s="11">
        <f t="shared" si="94"/>
        <v>-8.2121144603241134E-3</v>
      </c>
      <c r="F978" s="24">
        <f>(B978-$B$2)/$B$2</f>
        <v>0.73529219291931158</v>
      </c>
      <c r="G978" s="11">
        <f t="shared" si="95"/>
        <v>0.72664302338468356</v>
      </c>
      <c r="H978" s="25">
        <f t="shared" si="90"/>
        <v>85.102217657819565</v>
      </c>
      <c r="I978" s="26">
        <f>MAX($B$2:B978)</f>
        <v>2800.8</v>
      </c>
      <c r="J978" s="27">
        <f t="shared" si="91"/>
        <v>-5.3234790059982988E-2</v>
      </c>
      <c r="K978" s="10">
        <f>MAX($C$2:C978)</f>
        <v>35.040999999999997</v>
      </c>
      <c r="L978" s="11">
        <f t="shared" si="92"/>
        <v>-0.1107845095744984</v>
      </c>
    </row>
    <row r="979" spans="1:12" x14ac:dyDescent="0.35">
      <c r="A979" s="5" t="s">
        <v>2176</v>
      </c>
      <c r="B979" s="22">
        <v>2674.9</v>
      </c>
      <c r="C979" s="10">
        <v>31.099</v>
      </c>
      <c r="D979" s="23">
        <f t="shared" si="93"/>
        <v>8.7491043481541172E-3</v>
      </c>
      <c r="E979" s="11">
        <f t="shared" si="94"/>
        <v>-1.9256073686574897E-3</v>
      </c>
      <c r="F979" s="24">
        <f>(B979-$B$2)/$B$2</f>
        <v>0.75047444538969976</v>
      </c>
      <c r="G979" s="11">
        <f t="shared" si="95"/>
        <v>0.72331818685581295</v>
      </c>
      <c r="H979" s="25">
        <f t="shared" si="90"/>
        <v>86.012411974661561</v>
      </c>
      <c r="I979" s="26">
        <f>MAX($B$2:B979)</f>
        <v>2800.8</v>
      </c>
      <c r="J979" s="27">
        <f t="shared" si="91"/>
        <v>-4.4951442445015741E-2</v>
      </c>
      <c r="K979" s="10">
        <f>MAX($C$2:C979)</f>
        <v>35.040999999999997</v>
      </c>
      <c r="L979" s="11">
        <f t="shared" si="92"/>
        <v>-0.11249678947518613</v>
      </c>
    </row>
    <row r="980" spans="1:12" x14ac:dyDescent="0.35">
      <c r="A980" s="5" t="s">
        <v>2177</v>
      </c>
      <c r="B980" s="22">
        <v>2618.5</v>
      </c>
      <c r="C980" s="10">
        <v>30.396000000000001</v>
      </c>
      <c r="D980" s="23">
        <f t="shared" si="93"/>
        <v>-2.1084900370107327E-2</v>
      </c>
      <c r="E980" s="11">
        <f t="shared" si="94"/>
        <v>-2.2605228463937727E-2</v>
      </c>
      <c r="F980" s="24">
        <f>(B980-$B$2)/$B$2</f>
        <v>0.71356586610823913</v>
      </c>
      <c r="G980" s="11">
        <f t="shared" si="95"/>
        <v>0.68436218552587846</v>
      </c>
      <c r="H980" s="25">
        <f t="shared" si="90"/>
        <v>86.146203447822074</v>
      </c>
      <c r="I980" s="26">
        <f>MAX($B$2:B980)</f>
        <v>2800.8</v>
      </c>
      <c r="J980" s="27">
        <f t="shared" si="91"/>
        <v>-6.5088546129677294E-2</v>
      </c>
      <c r="K980" s="10">
        <f>MAX($C$2:C980)</f>
        <v>35.040999999999997</v>
      </c>
      <c r="L980" s="11">
        <f t="shared" si="92"/>
        <v>-0.13255900231157777</v>
      </c>
    </row>
    <row r="981" spans="1:12" x14ac:dyDescent="0.35">
      <c r="A981" s="5" t="s">
        <v>2179</v>
      </c>
      <c r="B981" s="22">
        <v>2621.3000000000002</v>
      </c>
      <c r="C981" s="10">
        <v>30.567</v>
      </c>
      <c r="D981" s="23">
        <f t="shared" si="93"/>
        <v>1.0693144930304303E-3</v>
      </c>
      <c r="E981" s="11">
        <f t="shared" si="94"/>
        <v>5.6257402289774765E-3</v>
      </c>
      <c r="F981" s="24">
        <f>(B981-$B$2)/$B$2</f>
        <v>0.71539820692363087</v>
      </c>
      <c r="G981" s="11">
        <f t="shared" si="95"/>
        <v>0.6938379696331598</v>
      </c>
      <c r="H981" s="25">
        <f t="shared" si="90"/>
        <v>85.755880524748918</v>
      </c>
      <c r="I981" s="26">
        <f>MAX($B$2:B981)</f>
        <v>2800.8</v>
      </c>
      <c r="J981" s="27">
        <f t="shared" si="91"/>
        <v>-6.408883176235361E-2</v>
      </c>
      <c r="K981" s="10">
        <f>MAX($C$2:C981)</f>
        <v>35.040999999999997</v>
      </c>
      <c r="L981" s="11">
        <f t="shared" si="92"/>
        <v>-0.12767900459461765</v>
      </c>
    </row>
    <row r="982" spans="1:12" x14ac:dyDescent="0.35">
      <c r="A982" s="5" t="s">
        <v>2181</v>
      </c>
      <c r="B982" s="22">
        <v>2652.3</v>
      </c>
      <c r="C982" s="10">
        <v>30.454999999999998</v>
      </c>
      <c r="D982" s="23">
        <f t="shared" si="93"/>
        <v>1.1826193110288787E-2</v>
      </c>
      <c r="E982" s="11">
        <f t="shared" si="94"/>
        <v>-3.6640821801289586E-3</v>
      </c>
      <c r="F982" s="24">
        <f>(B982-$B$2)/$B$2</f>
        <v>0.73568483737975288</v>
      </c>
      <c r="G982" s="11">
        <f t="shared" si="95"/>
        <v>0.68763160811260104</v>
      </c>
      <c r="H982" s="25">
        <f t="shared" si="90"/>
        <v>87.089147923165342</v>
      </c>
      <c r="I982" s="26">
        <f>MAX($B$2:B982)</f>
        <v>2800.8</v>
      </c>
      <c r="J982" s="27">
        <f t="shared" si="91"/>
        <v>-5.3020565552699225E-2</v>
      </c>
      <c r="K982" s="10">
        <f>MAX($C$2:C982)</f>
        <v>35.040999999999997</v>
      </c>
      <c r="L982" s="11">
        <f t="shared" si="92"/>
        <v>-0.13087526040923486</v>
      </c>
    </row>
    <row r="983" spans="1:12" x14ac:dyDescent="0.35">
      <c r="A983" s="5" t="s">
        <v>2183</v>
      </c>
      <c r="B983" s="22">
        <v>2646.5</v>
      </c>
      <c r="C983" s="10">
        <v>30.742000000000001</v>
      </c>
      <c r="D983" s="23">
        <f t="shared" si="93"/>
        <v>-2.186781284168526E-3</v>
      </c>
      <c r="E983" s="11">
        <f t="shared" si="94"/>
        <v>9.4237399441800228E-3</v>
      </c>
      <c r="F983" s="24">
        <f>(B983-$B$2)/$B$2</f>
        <v>0.73188927426215578</v>
      </c>
      <c r="G983" s="11">
        <f t="shared" si="95"/>
        <v>0.70353540950903259</v>
      </c>
      <c r="H983" s="25">
        <f t="shared" si="90"/>
        <v>86.087437382083138</v>
      </c>
      <c r="I983" s="26">
        <f>MAX($B$2:B983)</f>
        <v>2800.8</v>
      </c>
      <c r="J983" s="27">
        <f t="shared" si="91"/>
        <v>-5.5091402456441077E-2</v>
      </c>
      <c r="K983" s="10">
        <f>MAX($C$2:C983)</f>
        <v>35.040999999999997</v>
      </c>
      <c r="L983" s="11">
        <f t="shared" si="92"/>
        <v>-0.12268485488427831</v>
      </c>
    </row>
    <row r="984" spans="1:12" x14ac:dyDescent="0.35">
      <c r="A984" s="5" t="s">
        <v>2185</v>
      </c>
      <c r="B984" s="22">
        <v>2655.9</v>
      </c>
      <c r="C984" s="10">
        <v>31.363</v>
      </c>
      <c r="D984" s="23">
        <f t="shared" si="93"/>
        <v>3.551860948422479E-3</v>
      </c>
      <c r="E984" s="11">
        <f t="shared" si="94"/>
        <v>2.0200377333940492E-2</v>
      </c>
      <c r="F984" s="24">
        <f>(B984-$B$2)/$B$2</f>
        <v>0.7380407041423992</v>
      </c>
      <c r="G984" s="11">
        <f t="shared" si="95"/>
        <v>0.73794746758284391</v>
      </c>
      <c r="H984" s="25">
        <f t="shared" si="90"/>
        <v>84.682587762650257</v>
      </c>
      <c r="I984" s="26">
        <f>MAX($B$2:B984)</f>
        <v>2800.8</v>
      </c>
      <c r="J984" s="27">
        <f t="shared" si="91"/>
        <v>-5.1735218508997462E-2</v>
      </c>
      <c r="K984" s="10">
        <f>MAX($C$2:C984)</f>
        <v>35.040999999999997</v>
      </c>
      <c r="L984" s="11">
        <f t="shared" si="92"/>
        <v>-0.10496275791215998</v>
      </c>
    </row>
    <row r="985" spans="1:12" x14ac:dyDescent="0.35">
      <c r="A985" s="5" t="s">
        <v>2187</v>
      </c>
      <c r="B985" s="22">
        <v>2664.3</v>
      </c>
      <c r="C985" s="10">
        <v>31.786000000000001</v>
      </c>
      <c r="D985" s="23">
        <f t="shared" si="93"/>
        <v>3.1627696825935053E-3</v>
      </c>
      <c r="E985" s="11">
        <f t="shared" si="94"/>
        <v>1.3487230175684782E-2</v>
      </c>
      <c r="F985" s="24">
        <f>(B985-$B$2)/$B$2</f>
        <v>0.74353772658857431</v>
      </c>
      <c r="G985" s="11">
        <f t="shared" si="95"/>
        <v>0.76138756511138217</v>
      </c>
      <c r="H985" s="25">
        <f t="shared" si="90"/>
        <v>83.819920719813751</v>
      </c>
      <c r="I985" s="26">
        <f>MAX($B$2:B985)</f>
        <v>2800.8</v>
      </c>
      <c r="J985" s="27">
        <f t="shared" si="91"/>
        <v>-4.8736075407026562E-2</v>
      </c>
      <c r="K985" s="10">
        <f>MAX($C$2:C985)</f>
        <v>35.040999999999997</v>
      </c>
      <c r="L985" s="11">
        <f t="shared" si="92"/>
        <v>-9.2891184612311176E-2</v>
      </c>
    </row>
    <row r="986" spans="1:12" x14ac:dyDescent="0.35">
      <c r="A986" s="5" t="s">
        <v>2189</v>
      </c>
      <c r="B986" s="22">
        <v>2636.1</v>
      </c>
      <c r="C986" s="10">
        <v>31.405999999999999</v>
      </c>
      <c r="D986" s="23">
        <f t="shared" si="93"/>
        <v>-1.0584393649363913E-2</v>
      </c>
      <c r="E986" s="11">
        <f t="shared" si="94"/>
        <v>-1.1954948719562151E-2</v>
      </c>
      <c r="F986" s="24">
        <f>(B986-$B$2)/$B$2</f>
        <v>0.72508343694784372</v>
      </c>
      <c r="G986" s="11">
        <f t="shared" si="95"/>
        <v>0.74033026709520111</v>
      </c>
      <c r="H986" s="25">
        <f t="shared" si="90"/>
        <v>83.936190536840101</v>
      </c>
      <c r="I986" s="26">
        <f>MAX($B$2:B986)</f>
        <v>2800.8</v>
      </c>
      <c r="J986" s="27">
        <f t="shared" si="91"/>
        <v>-5.8804627249357422E-2</v>
      </c>
      <c r="K986" s="10">
        <f>MAX($C$2:C986)</f>
        <v>35.040999999999997</v>
      </c>
      <c r="L986" s="11">
        <f t="shared" si="92"/>
        <v>-0.10373562398333376</v>
      </c>
    </row>
    <row r="987" spans="1:12" x14ac:dyDescent="0.35">
      <c r="A987" s="5" t="s">
        <v>2191</v>
      </c>
      <c r="B987" s="22">
        <v>2673.3</v>
      </c>
      <c r="C987" s="10">
        <v>32.481000000000002</v>
      </c>
      <c r="D987" s="23">
        <f t="shared" si="93"/>
        <v>1.4111756003186629E-2</v>
      </c>
      <c r="E987" s="11">
        <f t="shared" si="94"/>
        <v>3.4229128192065306E-2</v>
      </c>
      <c r="F987" s="24">
        <f>(B987-$B$2)/$B$2</f>
        <v>0.74942739349519027</v>
      </c>
      <c r="G987" s="11">
        <f t="shared" si="95"/>
        <v>0.79990025490413408</v>
      </c>
      <c r="H987" s="25">
        <f t="shared" si="90"/>
        <v>82.303500507989284</v>
      </c>
      <c r="I987" s="26">
        <f>MAX($B$2:B987)</f>
        <v>2800.8</v>
      </c>
      <c r="J987" s="27">
        <f t="shared" si="91"/>
        <v>-4.5522707797772059E-2</v>
      </c>
      <c r="K987" s="10">
        <f>MAX($C$2:C987)</f>
        <v>35.040999999999997</v>
      </c>
      <c r="L987" s="11">
        <f t="shared" si="92"/>
        <v>-7.305727576267787E-2</v>
      </c>
    </row>
    <row r="988" spans="1:12" x14ac:dyDescent="0.35">
      <c r="A988" s="5" t="s">
        <v>2193</v>
      </c>
      <c r="B988" s="22">
        <v>2705.6</v>
      </c>
      <c r="C988" s="10">
        <v>32.612000000000002</v>
      </c>
      <c r="D988" s="23">
        <f t="shared" si="93"/>
        <v>1.2082444918265711E-2</v>
      </c>
      <c r="E988" s="11">
        <f t="shared" si="94"/>
        <v>4.0331270588959767E-3</v>
      </c>
      <c r="F988" s="24">
        <f>(B988-$B$2)/$B$2</f>
        <v>0.77056475361560117</v>
      </c>
      <c r="G988" s="11">
        <f t="shared" si="95"/>
        <v>0.80715948132550164</v>
      </c>
      <c r="H988" s="25">
        <f t="shared" si="90"/>
        <v>82.963326382926525</v>
      </c>
      <c r="I988" s="26">
        <f>MAX($B$2:B988)</f>
        <v>2800.8</v>
      </c>
      <c r="J988" s="27">
        <f t="shared" si="91"/>
        <v>-3.3990288489003234E-2</v>
      </c>
      <c r="K988" s="10">
        <f>MAX($C$2:C988)</f>
        <v>35.040999999999997</v>
      </c>
      <c r="L988" s="11">
        <f t="shared" si="92"/>
        <v>-6.9318797979509586E-2</v>
      </c>
    </row>
    <row r="989" spans="1:12" x14ac:dyDescent="0.35">
      <c r="A989" s="5" t="s">
        <v>2195</v>
      </c>
      <c r="B989" s="22">
        <v>2741.5</v>
      </c>
      <c r="C989" s="10">
        <v>32.823</v>
      </c>
      <c r="D989" s="23">
        <f t="shared" si="93"/>
        <v>1.3268775872264967E-2</v>
      </c>
      <c r="E989" s="11">
        <f t="shared" si="94"/>
        <v>6.4700110388813473E-3</v>
      </c>
      <c r="F989" s="24">
        <f>(B989-$B$2)/$B$2</f>
        <v>0.79405798049865861</v>
      </c>
      <c r="G989" s="11">
        <f t="shared" si="95"/>
        <v>0.81885182311869675</v>
      </c>
      <c r="H989" s="25">
        <f t="shared" si="90"/>
        <v>83.523748590927099</v>
      </c>
      <c r="I989" s="26">
        <f>MAX($B$2:B989)</f>
        <v>2800.8</v>
      </c>
      <c r="J989" s="27">
        <f t="shared" si="91"/>
        <v>-2.1172522136532482E-2</v>
      </c>
      <c r="K989" s="10">
        <f>MAX($C$2:C989)</f>
        <v>35.040999999999997</v>
      </c>
      <c r="L989" s="11">
        <f t="shared" si="92"/>
        <v>-6.3297280328757644E-2</v>
      </c>
    </row>
    <row r="990" spans="1:12" x14ac:dyDescent="0.35">
      <c r="A990" s="5" t="s">
        <v>2197</v>
      </c>
      <c r="B990" s="22">
        <v>2695.1</v>
      </c>
      <c r="C990" s="10">
        <v>31.481999999999999</v>
      </c>
      <c r="D990" s="23">
        <f t="shared" si="93"/>
        <v>-1.6925041035929268E-2</v>
      </c>
      <c r="E990" s="11">
        <f t="shared" si="94"/>
        <v>-4.085549766931728E-2</v>
      </c>
      <c r="F990" s="24">
        <f>(B990-$B$2)/$B$2</f>
        <v>0.76369347555788236</v>
      </c>
      <c r="G990" s="11">
        <f t="shared" si="95"/>
        <v>0.74454172669843732</v>
      </c>
      <c r="H990" s="25">
        <f t="shared" si="90"/>
        <v>85.607648815195986</v>
      </c>
      <c r="I990" s="26">
        <f>MAX($B$2:B990)</f>
        <v>2800.8</v>
      </c>
      <c r="J990" s="27">
        <f t="shared" si="91"/>
        <v>-3.7739217366466821E-2</v>
      </c>
      <c r="K990" s="10">
        <f>MAX($C$2:C990)</f>
        <v>35.040999999999997</v>
      </c>
      <c r="L990" s="11">
        <f t="shared" si="92"/>
        <v>-0.10156673610912924</v>
      </c>
    </row>
    <row r="991" spans="1:12" x14ac:dyDescent="0.35">
      <c r="A991" s="5" t="s">
        <v>2199</v>
      </c>
      <c r="B991" s="22">
        <v>2657</v>
      </c>
      <c r="C991" s="10">
        <v>30.927</v>
      </c>
      <c r="D991" s="23">
        <f t="shared" si="93"/>
        <v>-1.413676672479682E-2</v>
      </c>
      <c r="E991" s="11">
        <f t="shared" si="94"/>
        <v>-1.76291214027063E-2</v>
      </c>
      <c r="F991" s="24">
        <f>(B991-$B$2)/$B$2</f>
        <v>0.73876055231987448</v>
      </c>
      <c r="G991" s="11">
        <f t="shared" si="95"/>
        <v>0.71378698880638369</v>
      </c>
      <c r="H991" s="25">
        <f t="shared" si="90"/>
        <v>85.911986290296511</v>
      </c>
      <c r="I991" s="26">
        <f>MAX($B$2:B991)</f>
        <v>2800.8</v>
      </c>
      <c r="J991" s="27">
        <f t="shared" si="91"/>
        <v>-5.1342473578977497E-2</v>
      </c>
      <c r="K991" s="10">
        <f>MAX($C$2:C991)</f>
        <v>35.040999999999997</v>
      </c>
      <c r="L991" s="11">
        <f t="shared" si="92"/>
        <v>-0.11740532519049107</v>
      </c>
    </row>
    <row r="992" spans="1:12" x14ac:dyDescent="0.35">
      <c r="A992" s="5" t="s">
        <v>2201</v>
      </c>
      <c r="B992" s="22">
        <v>2649.6</v>
      </c>
      <c r="C992" s="10">
        <v>30.795999999999999</v>
      </c>
      <c r="D992" s="23">
        <f t="shared" si="93"/>
        <v>-2.785095972901803E-3</v>
      </c>
      <c r="E992" s="11">
        <f t="shared" si="94"/>
        <v>-4.2357810327545587E-3</v>
      </c>
      <c r="F992" s="24">
        <f>(B992-$B$2)/$B$2</f>
        <v>0.73391793730776789</v>
      </c>
      <c r="G992" s="11">
        <f t="shared" si="95"/>
        <v>0.70652776238501613</v>
      </c>
      <c r="H992" s="25">
        <f t="shared" si="90"/>
        <v>86.037147681517084</v>
      </c>
      <c r="I992" s="26">
        <f>MAX($B$2:B992)</f>
        <v>2800.8</v>
      </c>
      <c r="J992" s="27">
        <f t="shared" si="91"/>
        <v>-5.3984575835475675E-2</v>
      </c>
      <c r="K992" s="10">
        <f>MAX($C$2:C992)</f>
        <v>35.040999999999997</v>
      </c>
      <c r="L992" s="11">
        <f t="shared" si="92"/>
        <v>-0.12114380297365937</v>
      </c>
    </row>
    <row r="993" spans="1:12" x14ac:dyDescent="0.35">
      <c r="A993" s="5" t="s">
        <v>2203</v>
      </c>
      <c r="B993" s="22">
        <v>2640.8</v>
      </c>
      <c r="C993" s="10">
        <v>30.61</v>
      </c>
      <c r="D993" s="23">
        <f t="shared" si="93"/>
        <v>-3.3212560386472402E-3</v>
      </c>
      <c r="E993" s="11">
        <f t="shared" si="94"/>
        <v>-6.0397454214833075E-3</v>
      </c>
      <c r="F993" s="24">
        <f>(B993-$B$2)/$B$2</f>
        <v>0.72815915188796565</v>
      </c>
      <c r="G993" s="11">
        <f t="shared" si="95"/>
        <v>0.696220769145517</v>
      </c>
      <c r="H993" s="25">
        <f t="shared" si="90"/>
        <v>86.272459980398565</v>
      </c>
      <c r="I993" s="26">
        <f>MAX($B$2:B993)</f>
        <v>2800.8</v>
      </c>
      <c r="J993" s="27">
        <f t="shared" si="91"/>
        <v>-5.7126535275635527E-2</v>
      </c>
      <c r="K993" s="10">
        <f>MAX($C$2:C993)</f>
        <v>35.040999999999997</v>
      </c>
      <c r="L993" s="11">
        <f t="shared" si="92"/>
        <v>-0.12645187066579144</v>
      </c>
    </row>
    <row r="994" spans="1:12" x14ac:dyDescent="0.35">
      <c r="A994" s="5" t="s">
        <v>2205</v>
      </c>
      <c r="B994" s="22">
        <v>2596</v>
      </c>
      <c r="C994" s="10">
        <v>29.282</v>
      </c>
      <c r="D994" s="23">
        <f t="shared" si="93"/>
        <v>-1.6964556195092465E-2</v>
      </c>
      <c r="E994" s="11">
        <f t="shared" si="94"/>
        <v>-4.3384514864423372E-2</v>
      </c>
      <c r="F994" s="24">
        <f>(B994-$B$2)/$B$2</f>
        <v>0.69884169884169889</v>
      </c>
      <c r="G994" s="11">
        <f t="shared" si="95"/>
        <v>0.62263105397317975</v>
      </c>
      <c r="H994" s="25">
        <f t="shared" si="90"/>
        <v>88.655146506386174</v>
      </c>
      <c r="I994" s="26">
        <f>MAX($B$2:B994)</f>
        <v>2800.8</v>
      </c>
      <c r="J994" s="27">
        <f t="shared" si="91"/>
        <v>-7.3121965152813537E-2</v>
      </c>
      <c r="K994" s="10">
        <f>MAX($C$2:C994)</f>
        <v>35.040999999999997</v>
      </c>
      <c r="L994" s="11">
        <f t="shared" si="92"/>
        <v>-0.16435033246768063</v>
      </c>
    </row>
    <row r="995" spans="1:12" x14ac:dyDescent="0.35">
      <c r="A995" s="5" t="s">
        <v>2207</v>
      </c>
      <c r="B995" s="22">
        <v>2615.5</v>
      </c>
      <c r="C995" s="10">
        <v>30.06</v>
      </c>
      <c r="D995" s="23">
        <f t="shared" si="93"/>
        <v>7.5115562403697995E-3</v>
      </c>
      <c r="E995" s="11">
        <f t="shared" si="94"/>
        <v>2.6569223413701205E-2</v>
      </c>
      <c r="F995" s="24">
        <f>(B995-$B$2)/$B$2</f>
        <v>0.71160264380603377</v>
      </c>
      <c r="G995" s="11">
        <f t="shared" si="95"/>
        <v>0.66574310096420253</v>
      </c>
      <c r="H995" s="25">
        <f t="shared" si="90"/>
        <v>87.009314703925483</v>
      </c>
      <c r="I995" s="26">
        <f>MAX($B$2:B995)</f>
        <v>2800.8</v>
      </c>
      <c r="J995" s="27">
        <f t="shared" si="91"/>
        <v>-6.6159668666095461E-2</v>
      </c>
      <c r="K995" s="10">
        <f>MAX($C$2:C995)</f>
        <v>35.040999999999997</v>
      </c>
      <c r="L995" s="11">
        <f t="shared" si="92"/>
        <v>-0.14214776975542931</v>
      </c>
    </row>
    <row r="996" spans="1:12" x14ac:dyDescent="0.35">
      <c r="A996" s="5" t="s">
        <v>2209</v>
      </c>
      <c r="B996" s="22">
        <v>2640.3</v>
      </c>
      <c r="C996" s="10">
        <v>30.234000000000002</v>
      </c>
      <c r="D996" s="23">
        <f t="shared" si="93"/>
        <v>9.481934620531516E-3</v>
      </c>
      <c r="E996" s="11">
        <f t="shared" si="94"/>
        <v>5.7884231536927165E-3</v>
      </c>
      <c r="F996" s="24">
        <f>(B996-$B$2)/$B$2</f>
        <v>0.72783194817093144</v>
      </c>
      <c r="G996" s="11">
        <f t="shared" si="95"/>
        <v>0.67538512689792762</v>
      </c>
      <c r="H996" s="25">
        <f t="shared" si="90"/>
        <v>87.328835086326649</v>
      </c>
      <c r="I996" s="26">
        <f>MAX($B$2:B996)</f>
        <v>2800.8</v>
      </c>
      <c r="J996" s="27">
        <f t="shared" si="91"/>
        <v>-5.7305055698371889E-2</v>
      </c>
      <c r="K996" s="10">
        <f>MAX($C$2:C996)</f>
        <v>35.040999999999997</v>
      </c>
      <c r="L996" s="11">
        <f t="shared" si="92"/>
        <v>-0.1371821580434347</v>
      </c>
    </row>
    <row r="997" spans="1:12" x14ac:dyDescent="0.35">
      <c r="A997" s="5" t="s">
        <v>2211</v>
      </c>
      <c r="B997" s="22">
        <v>2618.1</v>
      </c>
      <c r="C997" s="10">
        <v>29.411999999999999</v>
      </c>
      <c r="D997" s="23">
        <f t="shared" si="93"/>
        <v>-8.4081354391547444E-3</v>
      </c>
      <c r="E997" s="11">
        <f t="shared" si="94"/>
        <v>-2.7187934113911578E-2</v>
      </c>
      <c r="F997" s="24">
        <f>(B997-$B$2)/$B$2</f>
        <v>0.71330410313461168</v>
      </c>
      <c r="G997" s="11">
        <f t="shared" si="95"/>
        <v>0.62983486645239939</v>
      </c>
      <c r="H997" s="25">
        <f t="shared" si="90"/>
        <v>89.014687882496943</v>
      </c>
      <c r="I997" s="26">
        <f>MAX($B$2:B997)</f>
        <v>2800.8</v>
      </c>
      <c r="J997" s="27">
        <f t="shared" si="91"/>
        <v>-6.5231362467866413E-2</v>
      </c>
      <c r="K997" s="10">
        <f>MAX($C$2:C997)</f>
        <v>35.040999999999997</v>
      </c>
      <c r="L997" s="11">
        <f t="shared" si="92"/>
        <v>-0.16064039268285718</v>
      </c>
    </row>
    <row r="998" spans="1:12" x14ac:dyDescent="0.35">
      <c r="A998" s="5" t="s">
        <v>2213</v>
      </c>
      <c r="B998" s="22">
        <v>2669</v>
      </c>
      <c r="C998" s="10">
        <v>29.9</v>
      </c>
      <c r="D998" s="23">
        <f t="shared" si="93"/>
        <v>1.9441579771590119E-2</v>
      </c>
      <c r="E998" s="11">
        <f t="shared" si="94"/>
        <v>1.6591867265061865E-2</v>
      </c>
      <c r="F998" s="24">
        <f>(B998-$B$2)/$B$2</f>
        <v>0.74661344152869591</v>
      </c>
      <c r="G998" s="11">
        <f t="shared" si="95"/>
        <v>0.65687687022054742</v>
      </c>
      <c r="H998" s="25">
        <f t="shared" si="90"/>
        <v>89.264214046822744</v>
      </c>
      <c r="I998" s="26">
        <f>MAX($B$2:B998)</f>
        <v>2800.8</v>
      </c>
      <c r="J998" s="27">
        <f t="shared" si="91"/>
        <v>-4.7057983433304834E-2</v>
      </c>
      <c r="K998" s="10">
        <f>MAX($C$2:C998)</f>
        <v>35.040999999999997</v>
      </c>
      <c r="L998" s="11">
        <f t="shared" si="92"/>
        <v>-0.14671384949059668</v>
      </c>
    </row>
    <row r="999" spans="1:12" x14ac:dyDescent="0.35">
      <c r="A999" s="5" t="s">
        <v>2215</v>
      </c>
      <c r="B999" s="22">
        <v>2647.4</v>
      </c>
      <c r="C999" s="10">
        <v>30.582999999999998</v>
      </c>
      <c r="D999" s="23">
        <f t="shared" si="93"/>
        <v>-8.0929186961408422E-3</v>
      </c>
      <c r="E999" s="11">
        <f t="shared" si="94"/>
        <v>2.2842809364548491E-2</v>
      </c>
      <c r="F999" s="24">
        <f>(B999-$B$2)/$B$2</f>
        <v>0.73247824095281744</v>
      </c>
      <c r="G999" s="11">
        <f t="shared" si="95"/>
        <v>0.69472459270752518</v>
      </c>
      <c r="H999" s="25">
        <f t="shared" si="90"/>
        <v>86.564431219958806</v>
      </c>
      <c r="I999" s="26">
        <f>MAX($B$2:B999)</f>
        <v>2800.8</v>
      </c>
      <c r="J999" s="27">
        <f t="shared" si="91"/>
        <v>-5.4770065695515596E-2</v>
      </c>
      <c r="K999" s="10">
        <f>MAX($C$2:C999)</f>
        <v>35.040999999999997</v>
      </c>
      <c r="L999" s="11">
        <f t="shared" si="92"/>
        <v>-0.12722239662110096</v>
      </c>
    </row>
    <row r="1000" spans="1:12" x14ac:dyDescent="0.35">
      <c r="A1000" s="5" t="s">
        <v>2217</v>
      </c>
      <c r="B1000" s="22">
        <v>2665.4</v>
      </c>
      <c r="C1000" s="10">
        <v>30.686</v>
      </c>
      <c r="D1000" s="23">
        <f t="shared" si="93"/>
        <v>6.7991236685049482E-3</v>
      </c>
      <c r="E1000" s="11">
        <f t="shared" si="94"/>
        <v>3.3678841186280464E-3</v>
      </c>
      <c r="F1000" s="24">
        <f>(B1000-$B$2)/$B$2</f>
        <v>0.74425757476604948</v>
      </c>
      <c r="G1000" s="11">
        <f t="shared" si="95"/>
        <v>0.70043222874875322</v>
      </c>
      <c r="H1000" s="25">
        <f t="shared" si="90"/>
        <v>86.86045753763932</v>
      </c>
      <c r="I1000" s="26">
        <f>MAX($B$2:B1000)</f>
        <v>2800.8</v>
      </c>
      <c r="J1000" s="27">
        <f t="shared" si="91"/>
        <v>-4.8343330477006598E-2</v>
      </c>
      <c r="K1000" s="10">
        <f>MAX($C$2:C1000)</f>
        <v>35.040999999999997</v>
      </c>
      <c r="L1000" s="11">
        <f t="shared" si="92"/>
        <v>-0.12428298279158692</v>
      </c>
    </row>
    <row r="1001" spans="1:12" x14ac:dyDescent="0.35">
      <c r="A1001" s="5" t="s">
        <v>2218</v>
      </c>
      <c r="B1001" s="22">
        <v>2672.4</v>
      </c>
      <c r="C1001" s="10">
        <v>30.69</v>
      </c>
      <c r="D1001" s="23">
        <f t="shared" si="93"/>
        <v>2.6262474675470848E-3</v>
      </c>
      <c r="E1001" s="11">
        <f t="shared" si="94"/>
        <v>1.3035260379330431E-4</v>
      </c>
      <c r="F1001" s="24">
        <f>(B1001-$B$2)/$B$2</f>
        <v>0.74883842680452861</v>
      </c>
      <c r="G1001" s="11">
        <f t="shared" si="95"/>
        <v>0.70065388451734467</v>
      </c>
      <c r="H1001" s="25">
        <f t="shared" si="90"/>
        <v>87.077223851417401</v>
      </c>
      <c r="I1001" s="26">
        <f>MAX($B$2:B1001)</f>
        <v>2800.8</v>
      </c>
      <c r="J1001" s="27">
        <f t="shared" si="91"/>
        <v>-4.5844044558697547E-2</v>
      </c>
      <c r="K1001" s="10">
        <f>MAX($C$2:C1001)</f>
        <v>35.040999999999997</v>
      </c>
      <c r="L1001" s="11">
        <f t="shared" si="92"/>
        <v>-0.1241688307982077</v>
      </c>
    </row>
    <row r="1002" spans="1:12" x14ac:dyDescent="0.35">
      <c r="A1002" s="5" t="s">
        <v>2220</v>
      </c>
      <c r="B1002" s="22">
        <v>2690.8</v>
      </c>
      <c r="C1002" s="10">
        <v>31.015000000000001</v>
      </c>
      <c r="D1002" s="23">
        <f t="shared" si="93"/>
        <v>6.8851968268223655E-3</v>
      </c>
      <c r="E1002" s="11">
        <f t="shared" si="94"/>
        <v>1.0589768654284759E-2</v>
      </c>
      <c r="F1002" s="24">
        <f>(B1002-$B$2)/$B$2</f>
        <v>0.76087952359138822</v>
      </c>
      <c r="G1002" s="11">
        <f t="shared" si="95"/>
        <v>0.71866341571539405</v>
      </c>
      <c r="H1002" s="25">
        <f t="shared" si="90"/>
        <v>86.758020312751896</v>
      </c>
      <c r="I1002" s="26">
        <f>MAX($B$2:B1002)</f>
        <v>2800.8</v>
      </c>
      <c r="J1002" s="27">
        <f t="shared" si="91"/>
        <v>-3.9274493001999429E-2</v>
      </c>
      <c r="K1002" s="10">
        <f>MAX($C$2:C1002)</f>
        <v>35.040999999999997</v>
      </c>
      <c r="L1002" s="11">
        <f t="shared" si="92"/>
        <v>-0.11489398133614899</v>
      </c>
    </row>
    <row r="1003" spans="1:12" x14ac:dyDescent="0.35">
      <c r="A1003" s="5" t="s">
        <v>2222</v>
      </c>
      <c r="B1003" s="22">
        <v>2678.6</v>
      </c>
      <c r="C1003" s="10">
        <v>30.309000000000001</v>
      </c>
      <c r="D1003" s="23">
        <f t="shared" si="93"/>
        <v>-4.5339675932809095E-3</v>
      </c>
      <c r="E1003" s="11">
        <f t="shared" si="94"/>
        <v>-2.276317910688375E-2</v>
      </c>
      <c r="F1003" s="24">
        <f>(B1003-$B$2)/$B$2</f>
        <v>0.75289575289575295</v>
      </c>
      <c r="G1003" s="11">
        <f t="shared" si="95"/>
        <v>0.67954117255901592</v>
      </c>
      <c r="H1003" s="25">
        <f t="shared" si="90"/>
        <v>88.376389851199306</v>
      </c>
      <c r="I1003" s="26">
        <f>MAX($B$2:B1003)</f>
        <v>2800.8</v>
      </c>
      <c r="J1003" s="27">
        <f t="shared" si="91"/>
        <v>-4.3630391316766735E-2</v>
      </c>
      <c r="K1003" s="10">
        <f>MAX($C$2:C1003)</f>
        <v>35.040999999999997</v>
      </c>
      <c r="L1003" s="11">
        <f t="shared" si="92"/>
        <v>-0.13504180816757502</v>
      </c>
    </row>
    <row r="1004" spans="1:12" x14ac:dyDescent="0.35">
      <c r="A1004" s="5" t="s">
        <v>2224</v>
      </c>
      <c r="B1004" s="22">
        <v>2682.3</v>
      </c>
      <c r="C1004" s="10">
        <v>30.350999999999999</v>
      </c>
      <c r="D1004" s="23">
        <f t="shared" si="93"/>
        <v>1.3813185992683763E-3</v>
      </c>
      <c r="E1004" s="11">
        <f t="shared" si="94"/>
        <v>1.3857270117786148E-3</v>
      </c>
      <c r="F1004" s="24">
        <f>(B1004-$B$2)/$B$2</f>
        <v>0.75531706040180635</v>
      </c>
      <c r="G1004" s="11">
        <f t="shared" si="95"/>
        <v>0.68186855812922531</v>
      </c>
      <c r="H1004" s="25">
        <f t="shared" si="90"/>
        <v>88.37600079074825</v>
      </c>
      <c r="I1004" s="26">
        <f>MAX($B$2:B1004)</f>
        <v>2800.8</v>
      </c>
      <c r="J1004" s="27">
        <f t="shared" si="91"/>
        <v>-4.2309340188517564E-2</v>
      </c>
      <c r="K1004" s="10">
        <f>MAX($C$2:C1004)</f>
        <v>35.040999999999997</v>
      </c>
      <c r="L1004" s="11">
        <f t="shared" si="92"/>
        <v>-0.13384321223709364</v>
      </c>
    </row>
    <row r="1005" spans="1:12" x14ac:dyDescent="0.35">
      <c r="A1005" s="5" t="s">
        <v>2226</v>
      </c>
      <c r="B1005" s="22">
        <v>2717.8</v>
      </c>
      <c r="C1005" s="10">
        <v>31.530999999999999</v>
      </c>
      <c r="D1005" s="23">
        <f t="shared" si="93"/>
        <v>1.3234910338142638E-2</v>
      </c>
      <c r="E1005" s="11">
        <f t="shared" si="94"/>
        <v>3.8878455405093729E-2</v>
      </c>
      <c r="F1005" s="24">
        <f>(B1005-$B$2)/$B$2</f>
        <v>0.77854852431123645</v>
      </c>
      <c r="G1005" s="11">
        <f t="shared" si="95"/>
        <v>0.74725700986368171</v>
      </c>
      <c r="H1005" s="25">
        <f t="shared" si="90"/>
        <v>86.194538707938221</v>
      </c>
      <c r="I1005" s="26">
        <f>MAX($B$2:B1005)</f>
        <v>2800.8</v>
      </c>
      <c r="J1005" s="27">
        <f t="shared" si="91"/>
        <v>-2.9634390174235931E-2</v>
      </c>
      <c r="K1005" s="10">
        <f>MAX($C$2:C1005)</f>
        <v>35.040999999999997</v>
      </c>
      <c r="L1005" s="11">
        <f t="shared" si="92"/>
        <v>-0.10016837419023425</v>
      </c>
    </row>
    <row r="1006" spans="1:12" x14ac:dyDescent="0.35">
      <c r="A1006" s="5" t="s">
        <v>2228</v>
      </c>
      <c r="B1006" s="22">
        <v>2750.9</v>
      </c>
      <c r="C1006" s="10">
        <v>31.725000000000001</v>
      </c>
      <c r="D1006" s="23">
        <f t="shared" si="93"/>
        <v>1.2178968283170177E-2</v>
      </c>
      <c r="E1006" s="11">
        <f t="shared" si="94"/>
        <v>6.152675145095386E-3</v>
      </c>
      <c r="F1006" s="24">
        <f>(B1006-$B$2)/$B$2</f>
        <v>0.80020941037890203</v>
      </c>
      <c r="G1006" s="11">
        <f t="shared" si="95"/>
        <v>0.75800731464036364</v>
      </c>
      <c r="H1006" s="25">
        <f t="shared" si="90"/>
        <v>86.71079590228527</v>
      </c>
      <c r="I1006" s="26">
        <f>MAX($B$2:B1006)</f>
        <v>2800.8</v>
      </c>
      <c r="J1006" s="27">
        <f t="shared" si="91"/>
        <v>-1.7816338189088864E-2</v>
      </c>
      <c r="K1006" s="10">
        <f>MAX($C$2:C1006)</f>
        <v>35.040999999999997</v>
      </c>
      <c r="L1006" s="11">
        <f t="shared" si="92"/>
        <v>-9.4632002511343738E-2</v>
      </c>
    </row>
    <row r="1007" spans="1:12" x14ac:dyDescent="0.35">
      <c r="A1007" s="5" t="s">
        <v>2230</v>
      </c>
      <c r="B1007" s="22">
        <v>2785.6</v>
      </c>
      <c r="C1007" s="10">
        <v>31.495999999999999</v>
      </c>
      <c r="D1007" s="23">
        <f t="shared" si="93"/>
        <v>1.2614053582463855E-2</v>
      </c>
      <c r="E1007" s="11">
        <f t="shared" si="94"/>
        <v>-7.2182821118992194E-3</v>
      </c>
      <c r="F1007" s="24">
        <f>(B1007-$B$2)/$B$2</f>
        <v>0.82291734834107721</v>
      </c>
      <c r="G1007" s="11">
        <f t="shared" si="95"/>
        <v>0.74531752188850708</v>
      </c>
      <c r="H1007" s="25">
        <f t="shared" si="90"/>
        <v>88.442976885953769</v>
      </c>
      <c r="I1007" s="26">
        <f>MAX($B$2:B1007)</f>
        <v>2800.8</v>
      </c>
      <c r="J1007" s="27">
        <f t="shared" si="91"/>
        <v>-5.4270208511854731E-3</v>
      </c>
      <c r="K1007" s="10">
        <f>MAX($C$2:C1007)</f>
        <v>35.040999999999997</v>
      </c>
      <c r="L1007" s="11">
        <f t="shared" si="92"/>
        <v>-0.10116720413230211</v>
      </c>
    </row>
    <row r="1008" spans="1:12" x14ac:dyDescent="0.35">
      <c r="A1008" s="5" t="s">
        <v>2232</v>
      </c>
      <c r="B1008" s="22">
        <v>2797.4</v>
      </c>
      <c r="C1008" s="10">
        <v>31.42</v>
      </c>
      <c r="D1008" s="23">
        <f t="shared" si="93"/>
        <v>4.2360712234348731E-3</v>
      </c>
      <c r="E1008" s="11">
        <f t="shared" si="94"/>
        <v>-2.4130048260095557E-3</v>
      </c>
      <c r="F1008" s="24">
        <f>(B1008-$B$2)/$B$2</f>
        <v>0.83063935606308503</v>
      </c>
      <c r="G1008" s="11">
        <f t="shared" si="95"/>
        <v>0.74110606228527109</v>
      </c>
      <c r="H1008" s="25">
        <f t="shared" si="90"/>
        <v>89.032463399108849</v>
      </c>
      <c r="I1008" s="26">
        <f>MAX($B$2:B1008)</f>
        <v>2800.8</v>
      </c>
      <c r="J1008" s="27">
        <f t="shared" si="91"/>
        <v>-1.2139388746072875E-3</v>
      </c>
      <c r="K1008" s="10">
        <f>MAX($C$2:C1008)</f>
        <v>35.040999999999997</v>
      </c>
      <c r="L1008" s="11">
        <f t="shared" si="92"/>
        <v>-0.10333609200650654</v>
      </c>
    </row>
    <row r="1009" spans="1:12" x14ac:dyDescent="0.35">
      <c r="A1009" s="5" t="s">
        <v>2234</v>
      </c>
      <c r="B1009" s="22">
        <v>2778.3</v>
      </c>
      <c r="C1009" s="10">
        <v>30.712</v>
      </c>
      <c r="D1009" s="23">
        <f t="shared" si="93"/>
        <v>-6.8277686423106844E-3</v>
      </c>
      <c r="E1009" s="11">
        <f t="shared" si="94"/>
        <v>-2.2533418204965051E-2</v>
      </c>
      <c r="F1009" s="24">
        <f>(B1009-$B$2)/$B$2</f>
        <v>0.81814017407237771</v>
      </c>
      <c r="G1009" s="11">
        <f t="shared" si="95"/>
        <v>0.70187299124459723</v>
      </c>
      <c r="H1009" s="25">
        <f t="shared" si="90"/>
        <v>90.463011200833563</v>
      </c>
      <c r="I1009" s="26">
        <f>MAX($B$2:B1009)</f>
        <v>2800.8</v>
      </c>
      <c r="J1009" s="27">
        <f t="shared" si="91"/>
        <v>-8.0334190231362464E-3</v>
      </c>
      <c r="K1009" s="10">
        <f>MAX($C$2:C1009)</f>
        <v>35.040999999999997</v>
      </c>
      <c r="L1009" s="11">
        <f t="shared" si="92"/>
        <v>-0.12354099483462223</v>
      </c>
    </row>
    <row r="1010" spans="1:12" x14ac:dyDescent="0.35">
      <c r="A1010" s="5" t="s">
        <v>2236</v>
      </c>
      <c r="B1010" s="22">
        <v>2752.4</v>
      </c>
      <c r="C1010" s="10">
        <v>30.283000000000001</v>
      </c>
      <c r="D1010" s="23">
        <f t="shared" si="93"/>
        <v>-9.3222474174855449E-3</v>
      </c>
      <c r="E1010" s="11">
        <f t="shared" si="94"/>
        <v>-1.3968481375358117E-2</v>
      </c>
      <c r="F1010" s="24">
        <f>(B1010-$B$2)/$B$2</f>
        <v>0.80119102153000477</v>
      </c>
      <c r="G1010" s="11">
        <f t="shared" si="95"/>
        <v>0.67810041006317201</v>
      </c>
      <c r="H1010" s="25">
        <f t="shared" si="90"/>
        <v>90.889277812634148</v>
      </c>
      <c r="I1010" s="26">
        <f>MAX($B$2:B1010)</f>
        <v>2800.8</v>
      </c>
      <c r="J1010" s="27">
        <f t="shared" si="91"/>
        <v>-1.728077692087978E-2</v>
      </c>
      <c r="K1010" s="10">
        <f>MAX($C$2:C1010)</f>
        <v>35.040999999999997</v>
      </c>
      <c r="L1010" s="11">
        <f t="shared" si="92"/>
        <v>-0.13578379612453972</v>
      </c>
    </row>
    <row r="1011" spans="1:12" x14ac:dyDescent="0.35">
      <c r="A1011" s="5" t="s">
        <v>2238</v>
      </c>
      <c r="B1011" s="22">
        <v>2781</v>
      </c>
      <c r="C1011" s="10">
        <v>30.754999999999999</v>
      </c>
      <c r="D1011" s="23">
        <f t="shared" si="93"/>
        <v>1.0390931550646675E-2</v>
      </c>
      <c r="E1011" s="11">
        <f t="shared" si="94"/>
        <v>1.558630254598282E-2</v>
      </c>
      <c r="F1011" s="24">
        <f>(B1011-$B$2)/$B$2</f>
        <v>0.81990707414436237</v>
      </c>
      <c r="G1011" s="11">
        <f t="shared" si="95"/>
        <v>0.70425579075695444</v>
      </c>
      <c r="H1011" s="25">
        <f t="shared" si="90"/>
        <v>90.424321248577471</v>
      </c>
      <c r="I1011" s="26">
        <f>MAX($B$2:B1011)</f>
        <v>2800.8</v>
      </c>
      <c r="J1011" s="27">
        <f t="shared" si="91"/>
        <v>-7.0694087403599618E-3</v>
      </c>
      <c r="K1011" s="10">
        <f>MAX($C$2:C1011)</f>
        <v>35.040999999999997</v>
      </c>
      <c r="L1011" s="11">
        <f t="shared" si="92"/>
        <v>-0.12231386090579602</v>
      </c>
    </row>
    <row r="1012" spans="1:12" x14ac:dyDescent="0.35">
      <c r="A1012" s="5" t="s">
        <v>2240</v>
      </c>
      <c r="B1012" s="22">
        <v>2781.5</v>
      </c>
      <c r="C1012" s="10">
        <v>31.263999999999999</v>
      </c>
      <c r="D1012" s="23">
        <f t="shared" si="93"/>
        <v>1.7979144192736425E-4</v>
      </c>
      <c r="E1012" s="11">
        <f t="shared" si="94"/>
        <v>1.6550154446431486E-2</v>
      </c>
      <c r="F1012" s="24">
        <f>(B1012-$B$2)/$B$2</f>
        <v>0.82023427786139658</v>
      </c>
      <c r="G1012" s="11">
        <f t="shared" si="95"/>
        <v>0.73246148731020733</v>
      </c>
      <c r="H1012" s="25">
        <f t="shared" si="90"/>
        <v>88.968142272262028</v>
      </c>
      <c r="I1012" s="26">
        <f>MAX($B$2:B1012)</f>
        <v>2800.8</v>
      </c>
      <c r="J1012" s="27">
        <f t="shared" si="91"/>
        <v>-6.8908883176236006E-3</v>
      </c>
      <c r="K1012" s="10">
        <f>MAX($C$2:C1012)</f>
        <v>35.040999999999997</v>
      </c>
      <c r="L1012" s="11">
        <f t="shared" si="92"/>
        <v>-0.10778801974829479</v>
      </c>
    </row>
    <row r="1013" spans="1:12" x14ac:dyDescent="0.35">
      <c r="A1013" s="5" t="s">
        <v>2242</v>
      </c>
      <c r="B1013" s="22">
        <v>2845.2</v>
      </c>
      <c r="C1013" s="10">
        <v>32.493000000000002</v>
      </c>
      <c r="D1013" s="23">
        <f t="shared" si="93"/>
        <v>2.2901312241596194E-2</v>
      </c>
      <c r="E1013" s="11">
        <f t="shared" si="94"/>
        <v>3.9310388945752395E-2</v>
      </c>
      <c r="F1013" s="24">
        <f>(B1013-$B$2)/$B$2</f>
        <v>0.86192003141155682</v>
      </c>
      <c r="G1013" s="11">
        <f t="shared" si="95"/>
        <v>0.80056522220990822</v>
      </c>
      <c r="H1013" s="25">
        <f t="shared" si="90"/>
        <v>87.563475210045226</v>
      </c>
      <c r="I1013" s="26">
        <f>MAX($B$2:B1013)</f>
        <v>2845.2</v>
      </c>
      <c r="J1013" s="27">
        <f t="shared" si="91"/>
        <v>0</v>
      </c>
      <c r="K1013" s="10">
        <f>MAX($C$2:C1013)</f>
        <v>35.040999999999997</v>
      </c>
      <c r="L1013" s="11">
        <f t="shared" si="92"/>
        <v>-7.271481978254031E-2</v>
      </c>
    </row>
    <row r="1014" spans="1:12" x14ac:dyDescent="0.35">
      <c r="A1014" s="5" t="s">
        <v>2244</v>
      </c>
      <c r="B1014" s="22">
        <v>2857.1</v>
      </c>
      <c r="C1014" s="10">
        <v>32.526000000000003</v>
      </c>
      <c r="D1014" s="23">
        <f t="shared" si="93"/>
        <v>4.182482778012123E-3</v>
      </c>
      <c r="E1014" s="11">
        <f t="shared" si="94"/>
        <v>1.0156033607238866E-3</v>
      </c>
      <c r="F1014" s="24">
        <f>(B1014-$B$2)/$B$2</f>
        <v>0.8697074798769715</v>
      </c>
      <c r="G1014" s="11">
        <f t="shared" si="95"/>
        <v>0.80239388230078712</v>
      </c>
      <c r="H1014" s="25">
        <f t="shared" si="90"/>
        <v>87.840496833302581</v>
      </c>
      <c r="I1014" s="26">
        <f>MAX($B$2:B1014)</f>
        <v>2857.1</v>
      </c>
      <c r="J1014" s="27">
        <f t="shared" si="91"/>
        <v>0</v>
      </c>
      <c r="K1014" s="10">
        <f>MAX($C$2:C1014)</f>
        <v>35.040999999999997</v>
      </c>
      <c r="L1014" s="11">
        <f t="shared" si="92"/>
        <v>-7.1773065837162003E-2</v>
      </c>
    </row>
    <row r="1015" spans="1:12" x14ac:dyDescent="0.35">
      <c r="A1015" s="5" t="s">
        <v>2246</v>
      </c>
      <c r="B1015" s="22">
        <v>2875.8</v>
      </c>
      <c r="C1015" s="10">
        <v>33.021999999999998</v>
      </c>
      <c r="D1015" s="23">
        <f t="shared" si="93"/>
        <v>6.5450981764727427E-3</v>
      </c>
      <c r="E1015" s="11">
        <f t="shared" si="94"/>
        <v>1.5249338990346032E-2</v>
      </c>
      <c r="F1015" s="24">
        <f>(B1015-$B$2)/$B$2</f>
        <v>0.8819448988940517</v>
      </c>
      <c r="G1015" s="11">
        <f t="shared" si="95"/>
        <v>0.82987919760611772</v>
      </c>
      <c r="H1015" s="25">
        <f t="shared" si="90"/>
        <v>87.087396281267047</v>
      </c>
      <c r="I1015" s="26">
        <f>MAX($B$2:B1015)</f>
        <v>2875.8</v>
      </c>
      <c r="J1015" s="27">
        <f t="shared" si="91"/>
        <v>0</v>
      </c>
      <c r="K1015" s="10">
        <f>MAX($C$2:C1015)</f>
        <v>35.040999999999997</v>
      </c>
      <c r="L1015" s="11">
        <f t="shared" si="92"/>
        <v>-5.7618218658143275E-2</v>
      </c>
    </row>
    <row r="1016" spans="1:12" x14ac:dyDescent="0.35">
      <c r="A1016" s="5" t="s">
        <v>2248</v>
      </c>
      <c r="B1016" s="22">
        <v>2893</v>
      </c>
      <c r="C1016" s="10">
        <v>32.975999999999999</v>
      </c>
      <c r="D1016" s="23">
        <f t="shared" si="93"/>
        <v>5.9809444328534035E-3</v>
      </c>
      <c r="E1016" s="11">
        <f t="shared" si="94"/>
        <v>-1.3930107201259576E-3</v>
      </c>
      <c r="F1016" s="24">
        <f>(B1016-$B$2)/$B$2</f>
        <v>0.89320070676002894</v>
      </c>
      <c r="G1016" s="11">
        <f t="shared" si="95"/>
        <v>0.82733015626731687</v>
      </c>
      <c r="H1016" s="25">
        <f t="shared" si="90"/>
        <v>87.730470645317808</v>
      </c>
      <c r="I1016" s="26">
        <f>MAX($B$2:B1016)</f>
        <v>2893</v>
      </c>
      <c r="J1016" s="27">
        <f t="shared" si="91"/>
        <v>0</v>
      </c>
      <c r="K1016" s="10">
        <f>MAX($C$2:C1016)</f>
        <v>35.040999999999997</v>
      </c>
      <c r="L1016" s="11">
        <f t="shared" si="92"/>
        <v>-5.8930966582003877E-2</v>
      </c>
    </row>
    <row r="1017" spans="1:12" x14ac:dyDescent="0.35">
      <c r="A1017" s="5" t="s">
        <v>2250</v>
      </c>
      <c r="B1017" s="22">
        <v>2876.7</v>
      </c>
      <c r="C1017" s="10">
        <v>32.625999999999998</v>
      </c>
      <c r="D1017" s="23">
        <f t="shared" si="93"/>
        <v>-5.6342896647079786E-3</v>
      </c>
      <c r="E1017" s="11">
        <f t="shared" si="94"/>
        <v>-1.0613779718583256E-2</v>
      </c>
      <c r="F1017" s="24">
        <f>(B1017-$B$2)/$B$2</f>
        <v>0.88253386558471303</v>
      </c>
      <c r="G1017" s="11">
        <f t="shared" si="95"/>
        <v>0.80793527651557129</v>
      </c>
      <c r="H1017" s="25">
        <f t="shared" si="90"/>
        <v>88.172010053331704</v>
      </c>
      <c r="I1017" s="26">
        <f>MAX($B$2:B1017)</f>
        <v>2893</v>
      </c>
      <c r="J1017" s="27">
        <f t="shared" si="91"/>
        <v>-5.6342896647079786E-3</v>
      </c>
      <c r="K1017" s="10">
        <f>MAX($C$2:C1017)</f>
        <v>35.040999999999997</v>
      </c>
      <c r="L1017" s="11">
        <f t="shared" si="92"/>
        <v>-6.8919266002682555E-2</v>
      </c>
    </row>
    <row r="1018" spans="1:12" x14ac:dyDescent="0.35">
      <c r="A1018" s="5" t="s">
        <v>2252</v>
      </c>
      <c r="B1018" s="22">
        <v>2934.4</v>
      </c>
      <c r="C1018" s="10">
        <v>32.491</v>
      </c>
      <c r="D1018" s="23">
        <f t="shared" si="93"/>
        <v>2.0057705009212039E-2</v>
      </c>
      <c r="E1018" s="11">
        <f t="shared" si="94"/>
        <v>-4.1378042052350279E-3</v>
      </c>
      <c r="F1018" s="24">
        <f>(B1018-$B$2)/$B$2</f>
        <v>0.92029317453046289</v>
      </c>
      <c r="G1018" s="11">
        <f t="shared" si="95"/>
        <v>0.80045439432561238</v>
      </c>
      <c r="H1018" s="25">
        <f t="shared" si="90"/>
        <v>90.314240866701553</v>
      </c>
      <c r="I1018" s="26">
        <f>MAX($B$2:B1018)</f>
        <v>2934.4</v>
      </c>
      <c r="J1018" s="27">
        <f t="shared" si="91"/>
        <v>0</v>
      </c>
      <c r="K1018" s="10">
        <f>MAX($C$2:C1018)</f>
        <v>35.040999999999997</v>
      </c>
      <c r="L1018" s="11">
        <f t="shared" si="92"/>
        <v>-7.2771895779229975E-2</v>
      </c>
    </row>
    <row r="1019" spans="1:12" x14ac:dyDescent="0.35">
      <c r="A1019" s="5" t="s">
        <v>2254</v>
      </c>
      <c r="B1019" s="22">
        <v>2932.6</v>
      </c>
      <c r="C1019" s="10">
        <v>32.322000000000003</v>
      </c>
      <c r="D1019" s="23">
        <f t="shared" si="93"/>
        <v>-6.1341330425306083E-4</v>
      </c>
      <c r="E1019" s="11">
        <f t="shared" si="94"/>
        <v>-5.201440398879595E-3</v>
      </c>
      <c r="F1019" s="24">
        <f>(B1019-$B$2)/$B$2</f>
        <v>0.91911524114913956</v>
      </c>
      <c r="G1019" s="11">
        <f t="shared" si="95"/>
        <v>0.79108943810262689</v>
      </c>
      <c r="H1019" s="25">
        <f t="shared" si="90"/>
        <v>90.730771610667645</v>
      </c>
      <c r="I1019" s="26">
        <f>MAX($B$2:B1019)</f>
        <v>2934.4</v>
      </c>
      <c r="J1019" s="27">
        <f t="shared" si="91"/>
        <v>-6.1341330425306083E-4</v>
      </c>
      <c r="K1019" s="10">
        <f>MAX($C$2:C1019)</f>
        <v>35.040999999999997</v>
      </c>
      <c r="L1019" s="11">
        <f t="shared" si="92"/>
        <v>-7.7594817499500424E-2</v>
      </c>
    </row>
    <row r="1020" spans="1:12" x14ac:dyDescent="0.35">
      <c r="A1020" s="5" t="s">
        <v>2256</v>
      </c>
      <c r="B1020" s="22">
        <v>2928.7</v>
      </c>
      <c r="C1020" s="10">
        <v>32.784999999999997</v>
      </c>
      <c r="D1020" s="23">
        <f t="shared" si="93"/>
        <v>-1.3298779240264922E-3</v>
      </c>
      <c r="E1020" s="11">
        <f t="shared" si="94"/>
        <v>1.4324608625703663E-2</v>
      </c>
      <c r="F1020" s="24">
        <f>(B1020-$B$2)/$B$2</f>
        <v>0.91656305215627254</v>
      </c>
      <c r="G1020" s="11">
        <f t="shared" si="95"/>
        <v>0.81674609331707848</v>
      </c>
      <c r="H1020" s="25">
        <f t="shared" si="90"/>
        <v>89.330486502973926</v>
      </c>
      <c r="I1020" s="26">
        <f>MAX($B$2:B1020)</f>
        <v>2934.4</v>
      </c>
      <c r="J1020" s="27">
        <f t="shared" si="91"/>
        <v>-1.9424754634679228E-3</v>
      </c>
      <c r="K1020" s="10">
        <f>MAX($C$2:C1020)</f>
        <v>35.040999999999997</v>
      </c>
      <c r="L1020" s="11">
        <f t="shared" si="92"/>
        <v>-6.4381724265860002E-2</v>
      </c>
    </row>
    <row r="1021" spans="1:12" x14ac:dyDescent="0.35">
      <c r="A1021" s="5" t="s">
        <v>2258</v>
      </c>
      <c r="B1021" s="22">
        <v>2945.4</v>
      </c>
      <c r="C1021" s="10">
        <v>32.725999999999999</v>
      </c>
      <c r="D1021" s="23">
        <f t="shared" si="93"/>
        <v>5.7021886843993154E-3</v>
      </c>
      <c r="E1021" s="11">
        <f t="shared" si="94"/>
        <v>-1.7996034771998628E-3</v>
      </c>
      <c r="F1021" s="24">
        <f>(B1021-$B$2)/$B$2</f>
        <v>0.92749165630521579</v>
      </c>
      <c r="G1021" s="11">
        <f t="shared" si="95"/>
        <v>0.81347667073035579</v>
      </c>
      <c r="H1021" s="25">
        <f t="shared" si="90"/>
        <v>90.001833404632407</v>
      </c>
      <c r="I1021" s="26">
        <f>MAX($B$2:B1021)</f>
        <v>2945.4</v>
      </c>
      <c r="J1021" s="27">
        <f t="shared" si="91"/>
        <v>0</v>
      </c>
      <c r="K1021" s="10">
        <f>MAX($C$2:C1021)</f>
        <v>35.040999999999997</v>
      </c>
      <c r="L1021" s="11">
        <f t="shared" si="92"/>
        <v>-6.6065466168202899E-2</v>
      </c>
    </row>
    <row r="1022" spans="1:12" x14ac:dyDescent="0.35">
      <c r="A1022" s="5" t="s">
        <v>2260</v>
      </c>
      <c r="B1022" s="22">
        <v>2949</v>
      </c>
      <c r="C1022" s="10">
        <v>33.372999999999998</v>
      </c>
      <c r="D1022" s="23">
        <f t="shared" si="93"/>
        <v>1.2222448563861984E-3</v>
      </c>
      <c r="E1022" s="11">
        <f t="shared" si="94"/>
        <v>1.9770213286072189E-2</v>
      </c>
      <c r="F1022" s="24">
        <f>(B1022-$B$2)/$B$2</f>
        <v>0.92984752306786211</v>
      </c>
      <c r="G1022" s="11">
        <f t="shared" si="95"/>
        <v>0.84932949130001101</v>
      </c>
      <c r="H1022" s="25">
        <f t="shared" si="90"/>
        <v>88.36484583345819</v>
      </c>
      <c r="I1022" s="26">
        <f>MAX($B$2:B1022)</f>
        <v>2949</v>
      </c>
      <c r="J1022" s="27">
        <f t="shared" si="91"/>
        <v>0</v>
      </c>
      <c r="K1022" s="10">
        <f>MAX($C$2:C1022)</f>
        <v>35.040999999999997</v>
      </c>
      <c r="L1022" s="11">
        <f t="shared" si="92"/>
        <v>-4.7601381239119868E-2</v>
      </c>
    </row>
    <row r="1023" spans="1:12" x14ac:dyDescent="0.35">
      <c r="A1023" s="5" t="s">
        <v>2262</v>
      </c>
      <c r="B1023" s="22">
        <v>2936.1</v>
      </c>
      <c r="C1023" s="10">
        <v>33.042999999999999</v>
      </c>
      <c r="D1023" s="23">
        <f t="shared" si="93"/>
        <v>-4.3743641912513025E-3</v>
      </c>
      <c r="E1023" s="11">
        <f t="shared" si="94"/>
        <v>-9.888233002726704E-3</v>
      </c>
      <c r="F1023" s="24">
        <f>(B1023-$B$2)/$B$2</f>
        <v>0.92140566716837913</v>
      </c>
      <c r="G1023" s="11">
        <f t="shared" si="95"/>
        <v>0.83104289039122248</v>
      </c>
      <c r="H1023" s="25">
        <f t="shared" si="90"/>
        <v>88.856943982083948</v>
      </c>
      <c r="I1023" s="26">
        <f>MAX($B$2:B1023)</f>
        <v>2949</v>
      </c>
      <c r="J1023" s="27">
        <f t="shared" si="91"/>
        <v>-4.3743641912513025E-3</v>
      </c>
      <c r="K1023" s="10">
        <f>MAX($C$2:C1023)</f>
        <v>35.040999999999997</v>
      </c>
      <c r="L1023" s="11">
        <f t="shared" si="92"/>
        <v>-5.7018920692902535E-2</v>
      </c>
    </row>
    <row r="1024" spans="1:12" x14ac:dyDescent="0.35">
      <c r="A1024" s="5" t="s">
        <v>2263</v>
      </c>
      <c r="B1024" s="22">
        <v>2956.1</v>
      </c>
      <c r="C1024" s="10">
        <v>33.485999999999997</v>
      </c>
      <c r="D1024" s="23">
        <f t="shared" si="93"/>
        <v>6.8117570927420735E-3</v>
      </c>
      <c r="E1024" s="11">
        <f t="shared" si="94"/>
        <v>1.3406772992766935E-2</v>
      </c>
      <c r="F1024" s="24">
        <f>(B1024-$B$2)/$B$2</f>
        <v>0.93449381584974811</v>
      </c>
      <c r="G1024" s="11">
        <f t="shared" si="95"/>
        <v>0.85559126676271735</v>
      </c>
      <c r="H1024" s="25">
        <f t="shared" si="90"/>
        <v>88.27868362897928</v>
      </c>
      <c r="I1024" s="26">
        <f>MAX($B$2:B1024)</f>
        <v>2956.1</v>
      </c>
      <c r="J1024" s="27">
        <f t="shared" si="91"/>
        <v>0</v>
      </c>
      <c r="K1024" s="10">
        <f>MAX($C$2:C1024)</f>
        <v>35.040999999999997</v>
      </c>
      <c r="L1024" s="11">
        <f t="shared" si="92"/>
        <v>-4.4376587426157924E-2</v>
      </c>
    </row>
    <row r="1025" spans="1:12" x14ac:dyDescent="0.35">
      <c r="A1025" s="5" t="s">
        <v>2265</v>
      </c>
      <c r="B1025" s="22">
        <v>2949.7</v>
      </c>
      <c r="C1025" s="10">
        <v>32.762999999999998</v>
      </c>
      <c r="D1025" s="23">
        <f t="shared" si="93"/>
        <v>-2.1650147153344243E-3</v>
      </c>
      <c r="E1025" s="11">
        <f t="shared" si="94"/>
        <v>-2.159111270381649E-2</v>
      </c>
      <c r="F1025" s="24">
        <f>(B1025-$B$2)/$B$2</f>
        <v>0.93030560827170994</v>
      </c>
      <c r="G1025" s="11">
        <f t="shared" si="95"/>
        <v>0.81552698658982592</v>
      </c>
      <c r="H1025" s="25">
        <f t="shared" si="90"/>
        <v>90.031437902511982</v>
      </c>
      <c r="I1025" s="26">
        <f>MAX($B$2:B1025)</f>
        <v>2956.1</v>
      </c>
      <c r="J1025" s="27">
        <f t="shared" si="91"/>
        <v>-2.1650147153344243E-3</v>
      </c>
      <c r="K1025" s="10">
        <f>MAX($C$2:C1025)</f>
        <v>35.040999999999997</v>
      </c>
      <c r="L1025" s="11">
        <f t="shared" si="92"/>
        <v>-6.5009560229445471E-2</v>
      </c>
    </row>
    <row r="1026" spans="1:12" x14ac:dyDescent="0.35">
      <c r="A1026" s="5" t="s">
        <v>2267</v>
      </c>
      <c r="B1026" s="22">
        <v>2906</v>
      </c>
      <c r="C1026" s="10">
        <v>31.975999999999999</v>
      </c>
      <c r="D1026" s="23">
        <f t="shared" si="93"/>
        <v>-1.4815065938908981E-2</v>
      </c>
      <c r="E1026" s="11">
        <f t="shared" si="94"/>
        <v>-2.4020999297988555E-2</v>
      </c>
      <c r="F1026" s="24">
        <f>(B1026-$B$2)/$B$2</f>
        <v>0.90170800340291879</v>
      </c>
      <c r="G1026" s="11">
        <f t="shared" si="95"/>
        <v>0.77191621411947242</v>
      </c>
      <c r="H1026" s="25">
        <f t="shared" si="90"/>
        <v>90.880660495371529</v>
      </c>
      <c r="I1026" s="26">
        <f>MAX($B$2:B1026)</f>
        <v>2956.1</v>
      </c>
      <c r="J1026" s="27">
        <f t="shared" si="91"/>
        <v>-1.6948005818477017E-2</v>
      </c>
      <c r="K1026" s="10">
        <f>MAX($C$2:C1026)</f>
        <v>35.040999999999997</v>
      </c>
      <c r="L1026" s="11">
        <f t="shared" si="92"/>
        <v>-8.746896492679998E-2</v>
      </c>
    </row>
    <row r="1027" spans="1:12" x14ac:dyDescent="0.35">
      <c r="A1027" s="5" t="s">
        <v>2268</v>
      </c>
      <c r="B1027" s="22">
        <v>2917.8</v>
      </c>
      <c r="C1027" s="10">
        <v>32.418999999999997</v>
      </c>
      <c r="D1027" s="23">
        <f t="shared" si="93"/>
        <v>4.0605643496215357E-3</v>
      </c>
      <c r="E1027" s="11">
        <f t="shared" si="94"/>
        <v>1.3854140605454023E-2</v>
      </c>
      <c r="F1027" s="24">
        <f>(B1027-$B$2)/$B$2</f>
        <v>0.90943001112492661</v>
      </c>
      <c r="G1027" s="11">
        <f t="shared" si="95"/>
        <v>0.79646459049096741</v>
      </c>
      <c r="H1027" s="25">
        <f t="shared" ref="H1027:H1090" si="96">B1027/C1027</f>
        <v>90.002776149788716</v>
      </c>
      <c r="I1027" s="26">
        <f>MAX($B$2:B1027)</f>
        <v>2956.1</v>
      </c>
      <c r="J1027" s="27">
        <f t="shared" ref="J1027:J1090" si="97">(B1027-I1027)/I1027</f>
        <v>-1.2956259937079167E-2</v>
      </c>
      <c r="K1027" s="10">
        <f>MAX($C$2:C1027)</f>
        <v>35.040999999999997</v>
      </c>
      <c r="L1027" s="11">
        <f t="shared" ref="L1027:L1090" si="98">(C1027-K1027)/K1027</f>
        <v>-7.4826631660055362E-2</v>
      </c>
    </row>
    <row r="1028" spans="1:12" x14ac:dyDescent="0.35">
      <c r="A1028" s="5" t="s">
        <v>2270</v>
      </c>
      <c r="B1028" s="22">
        <v>2895.9</v>
      </c>
      <c r="C1028" s="10">
        <v>32.11</v>
      </c>
      <c r="D1028" s="23">
        <f t="shared" ref="D1028:D1091" si="99">(B1028-B1027)/B1027</f>
        <v>-7.5056549455069198E-3</v>
      </c>
      <c r="E1028" s="11">
        <f t="shared" ref="E1028:E1091" si="100">(C1028-C1027)/C1027</f>
        <v>-9.5314476078841893E-3</v>
      </c>
      <c r="F1028" s="24">
        <f>(B1028-$B$2)/$B$2</f>
        <v>0.89509848831882743</v>
      </c>
      <c r="G1028" s="11">
        <f t="shared" ref="G1028:G1091" si="101">(C1028-$C$2)/$C$2</f>
        <v>0.77934168236728363</v>
      </c>
      <c r="H1028" s="25">
        <f t="shared" si="96"/>
        <v>90.186857676736224</v>
      </c>
      <c r="I1028" s="26">
        <f>MAX($B$2:B1028)</f>
        <v>2956.1</v>
      </c>
      <c r="J1028" s="27">
        <f t="shared" si="97"/>
        <v>-2.0364669666114076E-2</v>
      </c>
      <c r="K1028" s="10">
        <f>MAX($C$2:C1028)</f>
        <v>35.040999999999997</v>
      </c>
      <c r="L1028" s="11">
        <f t="shared" si="98"/>
        <v>-8.3644873148597296E-2</v>
      </c>
    </row>
    <row r="1029" spans="1:12" x14ac:dyDescent="0.35">
      <c r="A1029" s="5" t="s">
        <v>2272</v>
      </c>
      <c r="B1029" s="22">
        <v>2901.1</v>
      </c>
      <c r="C1029" s="10">
        <v>32.31</v>
      </c>
      <c r="D1029" s="23">
        <f t="shared" si="99"/>
        <v>1.7956421147138431E-3</v>
      </c>
      <c r="E1029" s="11">
        <f t="shared" si="100"/>
        <v>6.2285892245407303E-3</v>
      </c>
      <c r="F1029" s="24">
        <f>(B1029-$B$2)/$B$2</f>
        <v>0.89850140697598335</v>
      </c>
      <c r="G1029" s="11">
        <f t="shared" si="101"/>
        <v>0.79042447079685263</v>
      </c>
      <c r="H1029" s="25">
        <f t="shared" si="96"/>
        <v>89.789538842463628</v>
      </c>
      <c r="I1029" s="26">
        <f>MAX($B$2:B1029)</f>
        <v>2956.1</v>
      </c>
      <c r="J1029" s="27">
        <f t="shared" si="97"/>
        <v>-1.8605595209904943E-2</v>
      </c>
      <c r="K1029" s="10">
        <f>MAX($C$2:C1029)</f>
        <v>35.040999999999997</v>
      </c>
      <c r="L1029" s="11">
        <f t="shared" si="98"/>
        <v>-7.7937273479637983E-2</v>
      </c>
    </row>
    <row r="1030" spans="1:12" x14ac:dyDescent="0.35">
      <c r="A1030" s="5" t="s">
        <v>2274</v>
      </c>
      <c r="B1030" s="22">
        <v>2920.6</v>
      </c>
      <c r="C1030" s="10">
        <v>32.381</v>
      </c>
      <c r="D1030" s="23">
        <f t="shared" si="99"/>
        <v>6.7215883630347114E-3</v>
      </c>
      <c r="E1030" s="11">
        <f t="shared" si="100"/>
        <v>2.1974620860414095E-3</v>
      </c>
      <c r="F1030" s="24">
        <f>(B1030-$B$2)/$B$2</f>
        <v>0.91126235194031813</v>
      </c>
      <c r="G1030" s="11">
        <f t="shared" si="101"/>
        <v>0.79435886068934947</v>
      </c>
      <c r="H1030" s="25">
        <f t="shared" si="96"/>
        <v>90.19486736048917</v>
      </c>
      <c r="I1030" s="26">
        <f>MAX($B$2:B1030)</f>
        <v>2956.1</v>
      </c>
      <c r="J1030" s="27">
        <f t="shared" si="97"/>
        <v>-1.2009065999120463E-2</v>
      </c>
      <c r="K1030" s="10">
        <f>MAX($C$2:C1030)</f>
        <v>35.040999999999997</v>
      </c>
      <c r="L1030" s="11">
        <f t="shared" si="98"/>
        <v>-7.5911075597157526E-2</v>
      </c>
    </row>
    <row r="1031" spans="1:12" x14ac:dyDescent="0.35">
      <c r="A1031" s="5" t="s">
        <v>2276</v>
      </c>
      <c r="B1031" s="22">
        <v>2926</v>
      </c>
      <c r="C1031" s="10">
        <v>33.134</v>
      </c>
      <c r="D1031" s="23">
        <f t="shared" si="99"/>
        <v>1.8489351503116109E-3</v>
      </c>
      <c r="E1031" s="11">
        <f t="shared" si="100"/>
        <v>2.3254377567091818E-2</v>
      </c>
      <c r="F1031" s="24">
        <f>(B1031-$B$2)/$B$2</f>
        <v>0.91479615208428777</v>
      </c>
      <c r="G1031" s="11">
        <f t="shared" si="101"/>
        <v>0.83608555912667637</v>
      </c>
      <c r="H1031" s="25">
        <f t="shared" si="96"/>
        <v>88.308082332347439</v>
      </c>
      <c r="I1031" s="26">
        <f>MAX($B$2:B1031)</f>
        <v>2956.1</v>
      </c>
      <c r="J1031" s="27">
        <f t="shared" si="97"/>
        <v>-1.0182334833057038E-2</v>
      </c>
      <c r="K1031" s="10">
        <f>MAX($C$2:C1031)</f>
        <v>35.040999999999997</v>
      </c>
      <c r="L1031" s="11">
        <f t="shared" si="98"/>
        <v>-5.4421962843526059E-2</v>
      </c>
    </row>
    <row r="1032" spans="1:12" x14ac:dyDescent="0.35">
      <c r="A1032" s="5" t="s">
        <v>2278</v>
      </c>
      <c r="B1032" s="22">
        <v>2926.6</v>
      </c>
      <c r="C1032" s="10">
        <v>33.338000000000001</v>
      </c>
      <c r="D1032" s="23">
        <f t="shared" si="99"/>
        <v>2.0505809979491082E-4</v>
      </c>
      <c r="E1032" s="11">
        <f t="shared" si="100"/>
        <v>6.1568177702662104E-3</v>
      </c>
      <c r="F1032" s="24">
        <f>(B1032-$B$2)/$B$2</f>
        <v>0.91518879654472884</v>
      </c>
      <c r="G1032" s="11">
        <f t="shared" si="101"/>
        <v>0.8473900033248366</v>
      </c>
      <c r="H1032" s="25">
        <f t="shared" si="96"/>
        <v>87.785710000599906</v>
      </c>
      <c r="I1032" s="26">
        <f>MAX($B$2:B1032)</f>
        <v>2956.1</v>
      </c>
      <c r="J1032" s="27">
        <f t="shared" si="97"/>
        <v>-9.9793647034944685E-3</v>
      </c>
      <c r="K1032" s="10">
        <f>MAX($C$2:C1032)</f>
        <v>35.040999999999997</v>
      </c>
      <c r="L1032" s="11">
        <f t="shared" si="98"/>
        <v>-4.8600211181187639E-2</v>
      </c>
    </row>
    <row r="1033" spans="1:12" x14ac:dyDescent="0.35">
      <c r="A1033" s="5" t="s">
        <v>2280</v>
      </c>
      <c r="B1033" s="22">
        <v>2899.4</v>
      </c>
      <c r="C1033" s="10">
        <v>32.53</v>
      </c>
      <c r="D1033" s="23">
        <f t="shared" si="99"/>
        <v>-9.2940613681404428E-3</v>
      </c>
      <c r="E1033" s="11">
        <f t="shared" si="100"/>
        <v>-2.4236606875037488E-2</v>
      </c>
      <c r="F1033" s="24">
        <f>(B1033-$B$2)/$B$2</f>
        <v>0.897388914338067</v>
      </c>
      <c r="G1033" s="11">
        <f t="shared" si="101"/>
        <v>0.80261553806937835</v>
      </c>
      <c r="H1033" s="25">
        <f t="shared" si="96"/>
        <v>89.130033814940049</v>
      </c>
      <c r="I1033" s="26">
        <f>MAX($B$2:B1033)</f>
        <v>2956.1</v>
      </c>
      <c r="J1033" s="27">
        <f t="shared" si="97"/>
        <v>-1.9180677243665581E-2</v>
      </c>
      <c r="K1033" s="10">
        <f>MAX($C$2:C1033)</f>
        <v>35.040999999999997</v>
      </c>
      <c r="L1033" s="11">
        <f t="shared" si="98"/>
        <v>-7.1658913843782882E-2</v>
      </c>
    </row>
    <row r="1034" spans="1:12" x14ac:dyDescent="0.35">
      <c r="A1034" s="5" t="s">
        <v>2282</v>
      </c>
      <c r="B1034" s="22">
        <v>2920.9</v>
      </c>
      <c r="C1034" s="10">
        <v>33.146999999999998</v>
      </c>
      <c r="D1034" s="23">
        <f t="shared" si="99"/>
        <v>7.4153273090984337E-3</v>
      </c>
      <c r="E1034" s="11">
        <f t="shared" si="100"/>
        <v>1.8967107285582457E-2</v>
      </c>
      <c r="F1034" s="24">
        <f>(B1034-$B$2)/$B$2</f>
        <v>0.91145867417053872</v>
      </c>
      <c r="G1034" s="11">
        <f t="shared" si="101"/>
        <v>0.83680594037459821</v>
      </c>
      <c r="H1034" s="25">
        <f t="shared" si="96"/>
        <v>88.119588499713402</v>
      </c>
      <c r="I1034" s="26">
        <f>MAX($B$2:B1034)</f>
        <v>2956.1</v>
      </c>
      <c r="J1034" s="27">
        <f t="shared" si="97"/>
        <v>-1.1907580934339102E-2</v>
      </c>
      <c r="K1034" s="10">
        <f>MAX($C$2:C1034)</f>
        <v>35.040999999999997</v>
      </c>
      <c r="L1034" s="11">
        <f t="shared" si="98"/>
        <v>-5.4050968865043764E-2</v>
      </c>
    </row>
    <row r="1035" spans="1:12" x14ac:dyDescent="0.35">
      <c r="A1035" s="5" t="s">
        <v>2284</v>
      </c>
      <c r="B1035" s="22">
        <v>2946.8</v>
      </c>
      <c r="C1035" s="10">
        <v>33.743000000000002</v>
      </c>
      <c r="D1035" s="23">
        <f t="shared" si="99"/>
        <v>8.8671299941799064E-3</v>
      </c>
      <c r="E1035" s="11">
        <f t="shared" si="100"/>
        <v>1.7980511056807664E-2</v>
      </c>
      <c r="F1035" s="24">
        <f>(B1035-$B$2)/$B$2</f>
        <v>0.92840782671291167</v>
      </c>
      <c r="G1035" s="11">
        <f t="shared" si="101"/>
        <v>0.86983264989471365</v>
      </c>
      <c r="H1035" s="25">
        <f t="shared" si="96"/>
        <v>87.330705627833922</v>
      </c>
      <c r="I1035" s="26">
        <f>MAX($B$2:B1035)</f>
        <v>2956.1</v>
      </c>
      <c r="J1035" s="27">
        <f t="shared" si="97"/>
        <v>-3.1460370082201979E-3</v>
      </c>
      <c r="K1035" s="10">
        <f>MAX($C$2:C1035)</f>
        <v>35.040999999999997</v>
      </c>
      <c r="L1035" s="11">
        <f t="shared" si="98"/>
        <v>-3.7042321851545185E-2</v>
      </c>
    </row>
    <row r="1036" spans="1:12" x14ac:dyDescent="0.35">
      <c r="A1036" s="5" t="s">
        <v>2286</v>
      </c>
      <c r="B1036" s="22">
        <v>2991.3</v>
      </c>
      <c r="C1036" s="10">
        <v>34.305999999999997</v>
      </c>
      <c r="D1036" s="23">
        <f t="shared" si="99"/>
        <v>1.5101126645853127E-2</v>
      </c>
      <c r="E1036" s="11">
        <f t="shared" si="100"/>
        <v>1.6684942062057173E-2</v>
      </c>
      <c r="F1036" s="24">
        <f>(B1036-$B$2)/$B$2</f>
        <v>0.95752895752895772</v>
      </c>
      <c r="G1036" s="11">
        <f t="shared" si="101"/>
        <v>0.90103069932394986</v>
      </c>
      <c r="H1036" s="25">
        <f t="shared" si="96"/>
        <v>87.194659826269472</v>
      </c>
      <c r="I1036" s="26">
        <f>MAX($B$2:B1036)</f>
        <v>2991.3</v>
      </c>
      <c r="J1036" s="27">
        <f t="shared" si="97"/>
        <v>0</v>
      </c>
      <c r="K1036" s="10">
        <f>MAX($C$2:C1036)</f>
        <v>35.040999999999997</v>
      </c>
      <c r="L1036" s="11">
        <f t="shared" si="98"/>
        <v>-2.0975428783425117E-2</v>
      </c>
    </row>
    <row r="1037" spans="1:12" x14ac:dyDescent="0.35">
      <c r="A1037" s="5" t="s">
        <v>2288</v>
      </c>
      <c r="B1037" s="22">
        <v>3034.1</v>
      </c>
      <c r="C1037" s="10">
        <v>34.308</v>
      </c>
      <c r="D1037" s="23">
        <f t="shared" si="99"/>
        <v>1.4308160331628296E-2</v>
      </c>
      <c r="E1037" s="11">
        <f t="shared" si="100"/>
        <v>5.829883985315818E-5</v>
      </c>
      <c r="F1037" s="24">
        <f>(B1037-$B$2)/$B$2</f>
        <v>0.98553759570708732</v>
      </c>
      <c r="G1037" s="11">
        <f t="shared" si="101"/>
        <v>0.9011415272082457</v>
      </c>
      <c r="H1037" s="25">
        <f t="shared" si="96"/>
        <v>88.437099218841084</v>
      </c>
      <c r="I1037" s="26">
        <f>MAX($B$2:B1037)</f>
        <v>3034.1</v>
      </c>
      <c r="J1037" s="27">
        <f t="shared" si="97"/>
        <v>0</v>
      </c>
      <c r="K1037" s="10">
        <f>MAX($C$2:C1037)</f>
        <v>35.040999999999997</v>
      </c>
      <c r="L1037" s="11">
        <f t="shared" si="98"/>
        <v>-2.0918352786735456E-2</v>
      </c>
    </row>
    <row r="1038" spans="1:12" x14ac:dyDescent="0.35">
      <c r="A1038" s="5" t="s">
        <v>2290</v>
      </c>
      <c r="B1038" s="22">
        <v>3068.9</v>
      </c>
      <c r="C1038" s="10">
        <v>34.817999999999998</v>
      </c>
      <c r="D1038" s="23">
        <f t="shared" si="99"/>
        <v>1.1469628555420119E-2</v>
      </c>
      <c r="E1038" s="11">
        <f t="shared" si="100"/>
        <v>1.4865337530605049E-2</v>
      </c>
      <c r="F1038" s="24">
        <f>(B1038-$B$2)/$B$2</f>
        <v>1.0083109744126695</v>
      </c>
      <c r="G1038" s="11">
        <f t="shared" si="101"/>
        <v>0.92940263770364617</v>
      </c>
      <c r="H1038" s="25">
        <f t="shared" si="96"/>
        <v>88.14119133781378</v>
      </c>
      <c r="I1038" s="26">
        <f>MAX($B$2:B1038)</f>
        <v>3068.9</v>
      </c>
      <c r="J1038" s="27">
        <f t="shared" si="97"/>
        <v>0</v>
      </c>
      <c r="K1038" s="10">
        <f>MAX($C$2:C1038)</f>
        <v>35.040999999999997</v>
      </c>
      <c r="L1038" s="11">
        <f t="shared" si="98"/>
        <v>-6.3639736308895006E-3</v>
      </c>
    </row>
    <row r="1039" spans="1:12" x14ac:dyDescent="0.35">
      <c r="A1039" s="5" t="s">
        <v>2292</v>
      </c>
      <c r="B1039" s="22">
        <v>3069.1</v>
      </c>
      <c r="C1039" s="10">
        <v>34.204999999999998</v>
      </c>
      <c r="D1039" s="23">
        <f t="shared" si="99"/>
        <v>6.5169930593964639E-5</v>
      </c>
      <c r="E1039" s="11">
        <f t="shared" si="100"/>
        <v>-1.7605836061807101E-2</v>
      </c>
      <c r="F1039" s="24">
        <f>(B1039-$B$2)/$B$2</f>
        <v>1.008441855899483</v>
      </c>
      <c r="G1039" s="11">
        <f t="shared" si="101"/>
        <v>0.89543389116701755</v>
      </c>
      <c r="H1039" s="25">
        <f t="shared" si="96"/>
        <v>89.726648150855141</v>
      </c>
      <c r="I1039" s="26">
        <f>MAX($B$2:B1039)</f>
        <v>3069.1</v>
      </c>
      <c r="J1039" s="27">
        <f t="shared" si="97"/>
        <v>0</v>
      </c>
      <c r="K1039" s="10">
        <f>MAX($C$2:C1039)</f>
        <v>35.040999999999997</v>
      </c>
      <c r="L1039" s="11">
        <f t="shared" si="98"/>
        <v>-2.3857766616249495E-2</v>
      </c>
    </row>
    <row r="1040" spans="1:12" x14ac:dyDescent="0.35">
      <c r="A1040" s="5" t="s">
        <v>2294</v>
      </c>
      <c r="B1040" s="22">
        <v>3071.3</v>
      </c>
      <c r="C1040" s="10">
        <v>33.991</v>
      </c>
      <c r="D1040" s="23">
        <f t="shared" si="99"/>
        <v>7.1682252126039324E-4</v>
      </c>
      <c r="E1040" s="11">
        <f t="shared" si="100"/>
        <v>-6.2563952638502746E-3</v>
      </c>
      <c r="F1040" s="24">
        <f>(B1040-$B$2)/$B$2</f>
        <v>1.0098815522544338</v>
      </c>
      <c r="G1040" s="11">
        <f t="shared" si="101"/>
        <v>0.88357530754737901</v>
      </c>
      <c r="H1040" s="25">
        <f t="shared" si="96"/>
        <v>90.356270777558777</v>
      </c>
      <c r="I1040" s="26">
        <f>MAX($B$2:B1040)</f>
        <v>3071.3</v>
      </c>
      <c r="J1040" s="27">
        <f t="shared" si="97"/>
        <v>0</v>
      </c>
      <c r="K1040" s="10">
        <f>MAX($C$2:C1040)</f>
        <v>35.040999999999997</v>
      </c>
      <c r="L1040" s="11">
        <f t="shared" si="98"/>
        <v>-2.9964898262035824E-2</v>
      </c>
    </row>
    <row r="1041" spans="1:12" x14ac:dyDescent="0.35">
      <c r="A1041" s="5" t="s">
        <v>2296</v>
      </c>
      <c r="B1041" s="22">
        <v>3044</v>
      </c>
      <c r="C1041" s="10">
        <v>33.450000000000003</v>
      </c>
      <c r="D1041" s="23">
        <f t="shared" si="99"/>
        <v>-8.8887441799889878E-3</v>
      </c>
      <c r="E1041" s="11">
        <f t="shared" si="100"/>
        <v>-1.5915977758818416E-2</v>
      </c>
      <c r="F1041" s="24">
        <f>(B1041-$B$2)/$B$2</f>
        <v>0.99201622930436506</v>
      </c>
      <c r="G1041" s="11">
        <f t="shared" si="101"/>
        <v>0.85359636484539536</v>
      </c>
      <c r="H1041" s="25">
        <f t="shared" si="96"/>
        <v>91.001494768310906</v>
      </c>
      <c r="I1041" s="26">
        <f>MAX($B$2:B1041)</f>
        <v>3071.3</v>
      </c>
      <c r="J1041" s="27">
        <f t="shared" si="97"/>
        <v>-8.8887441799889878E-3</v>
      </c>
      <c r="K1041" s="10">
        <f>MAX($C$2:C1041)</f>
        <v>35.040999999999997</v>
      </c>
      <c r="L1041" s="11">
        <f t="shared" si="98"/>
        <v>-4.5403955366570423E-2</v>
      </c>
    </row>
    <row r="1042" spans="1:12" x14ac:dyDescent="0.35">
      <c r="A1042" s="5" t="s">
        <v>2298</v>
      </c>
      <c r="B1042" s="22">
        <v>3039.6</v>
      </c>
      <c r="C1042" s="10">
        <v>34.023000000000003</v>
      </c>
      <c r="D1042" s="23">
        <f t="shared" si="99"/>
        <v>-1.4454664914586369E-3</v>
      </c>
      <c r="E1042" s="11">
        <f t="shared" si="100"/>
        <v>1.7130044843049339E-2</v>
      </c>
      <c r="F1042" s="24">
        <f>(B1042-$B$2)/$B$2</f>
        <v>0.98913683659446372</v>
      </c>
      <c r="G1042" s="11">
        <f t="shared" si="101"/>
        <v>0.88534855369611021</v>
      </c>
      <c r="H1042" s="25">
        <f t="shared" si="96"/>
        <v>89.339564412309315</v>
      </c>
      <c r="I1042" s="26">
        <f>MAX($B$2:B1042)</f>
        <v>3071.3</v>
      </c>
      <c r="J1042" s="27">
        <f t="shared" si="97"/>
        <v>-1.0321362289584303E-2</v>
      </c>
      <c r="K1042" s="10">
        <f>MAX($C$2:C1042)</f>
        <v>35.040999999999997</v>
      </c>
      <c r="L1042" s="11">
        <f t="shared" si="98"/>
        <v>-2.9051682315002245E-2</v>
      </c>
    </row>
    <row r="1043" spans="1:12" x14ac:dyDescent="0.35">
      <c r="A1043" s="5" t="s">
        <v>2300</v>
      </c>
      <c r="B1043" s="22">
        <v>3037.3</v>
      </c>
      <c r="C1043" s="10">
        <v>34.054000000000002</v>
      </c>
      <c r="D1043" s="23">
        <f t="shared" si="99"/>
        <v>-7.5667851033021688E-4</v>
      </c>
      <c r="E1043" s="11">
        <f t="shared" si="100"/>
        <v>9.1114834082822802E-4</v>
      </c>
      <c r="F1043" s="24">
        <f>(B1043-$B$2)/$B$2</f>
        <v>0.98763169949610652</v>
      </c>
      <c r="G1043" s="11">
        <f t="shared" si="101"/>
        <v>0.88706638590269327</v>
      </c>
      <c r="H1043" s="25">
        <f t="shared" si="96"/>
        <v>89.190697128090676</v>
      </c>
      <c r="I1043" s="26">
        <f>MAX($B$2:B1043)</f>
        <v>3071.3</v>
      </c>
      <c r="J1043" s="27">
        <f t="shared" si="97"/>
        <v>-1.1070230846872659E-2</v>
      </c>
      <c r="K1043" s="10">
        <f>MAX($C$2:C1043)</f>
        <v>35.040999999999997</v>
      </c>
      <c r="L1043" s="11">
        <f t="shared" si="98"/>
        <v>-2.81670043663136E-2</v>
      </c>
    </row>
    <row r="1044" spans="1:12" x14ac:dyDescent="0.35">
      <c r="A1044" s="5" t="s">
        <v>2302</v>
      </c>
      <c r="B1044" s="22">
        <v>3075.8</v>
      </c>
      <c r="C1044" s="10">
        <v>34.905000000000001</v>
      </c>
      <c r="D1044" s="23">
        <f t="shared" si="99"/>
        <v>1.2675731735422907E-2</v>
      </c>
      <c r="E1044" s="11">
        <f t="shared" si="100"/>
        <v>2.4989722205908234E-2</v>
      </c>
      <c r="F1044" s="24">
        <f>(B1044-$B$2)/$B$2</f>
        <v>1.012826385707742</v>
      </c>
      <c r="G1044" s="11">
        <f t="shared" si="101"/>
        <v>0.93422365067050883</v>
      </c>
      <c r="H1044" s="25">
        <f t="shared" si="96"/>
        <v>88.11918063314711</v>
      </c>
      <c r="I1044" s="26">
        <f>MAX($B$2:B1044)</f>
        <v>3075.8</v>
      </c>
      <c r="J1044" s="27">
        <f t="shared" si="97"/>
        <v>0</v>
      </c>
      <c r="K1044" s="10">
        <f>MAX($C$2:C1044)</f>
        <v>35.040999999999997</v>
      </c>
      <c r="L1044" s="11">
        <f t="shared" si="98"/>
        <v>-3.8811677748921461E-3</v>
      </c>
    </row>
    <row r="1045" spans="1:12" x14ac:dyDescent="0.35">
      <c r="A1045" s="5" t="s">
        <v>2304</v>
      </c>
      <c r="B1045" s="22">
        <v>3150.3</v>
      </c>
      <c r="C1045" s="10">
        <v>34.610999999999997</v>
      </c>
      <c r="D1045" s="23">
        <f t="shared" si="99"/>
        <v>2.4221340789388125E-2</v>
      </c>
      <c r="E1045" s="11">
        <f t="shared" si="100"/>
        <v>-8.4228620541470858E-3</v>
      </c>
      <c r="F1045" s="24">
        <f>(B1045-$B$2)/$B$2</f>
        <v>1.0615797395458415</v>
      </c>
      <c r="G1045" s="11">
        <f t="shared" si="101"/>
        <v>0.9179319516790424</v>
      </c>
      <c r="H1045" s="25">
        <f t="shared" si="96"/>
        <v>91.020195891479602</v>
      </c>
      <c r="I1045" s="26">
        <f>MAX($B$2:B1045)</f>
        <v>3150.3</v>
      </c>
      <c r="J1045" s="27">
        <f t="shared" si="97"/>
        <v>0</v>
      </c>
      <c r="K1045" s="10">
        <f>MAX($C$2:C1045)</f>
        <v>35.040999999999997</v>
      </c>
      <c r="L1045" s="11">
        <f t="shared" si="98"/>
        <v>-1.2271339288262314E-2</v>
      </c>
    </row>
    <row r="1046" spans="1:12" x14ac:dyDescent="0.35">
      <c r="A1046" s="5" t="s">
        <v>2306</v>
      </c>
      <c r="B1046" s="22">
        <v>3146</v>
      </c>
      <c r="C1046" s="10">
        <v>34.308999999999997</v>
      </c>
      <c r="D1046" s="23">
        <f t="shared" si="99"/>
        <v>-1.3649493699013368E-3</v>
      </c>
      <c r="E1046" s="11">
        <f t="shared" si="100"/>
        <v>-8.7255496807373267E-3</v>
      </c>
      <c r="F1046" s="24">
        <f>(B1046-$B$2)/$B$2</f>
        <v>1.058765787579347</v>
      </c>
      <c r="G1046" s="11">
        <f t="shared" si="101"/>
        <v>0.90119694115039339</v>
      </c>
      <c r="H1046" s="25">
        <f t="shared" si="96"/>
        <v>91.69605642834243</v>
      </c>
      <c r="I1046" s="26">
        <f>MAX($B$2:B1046)</f>
        <v>3150.3</v>
      </c>
      <c r="J1046" s="27">
        <f t="shared" si="97"/>
        <v>-1.3649493699013368E-3</v>
      </c>
      <c r="K1046" s="10">
        <f>MAX($C$2:C1046)</f>
        <v>35.040999999999997</v>
      </c>
      <c r="L1046" s="11">
        <f t="shared" si="98"/>
        <v>-2.0889814788390724E-2</v>
      </c>
    </row>
    <row r="1047" spans="1:12" x14ac:dyDescent="0.35">
      <c r="A1047" s="5" t="s">
        <v>2308</v>
      </c>
      <c r="B1047" s="22">
        <v>3166.2</v>
      </c>
      <c r="C1047" s="10">
        <v>34.65</v>
      </c>
      <c r="D1047" s="23">
        <f t="shared" si="99"/>
        <v>6.420851875397272E-3</v>
      </c>
      <c r="E1047" s="11">
        <f t="shared" si="100"/>
        <v>9.9390830394357494E-3</v>
      </c>
      <c r="F1047" s="24">
        <f>(B1047-$B$2)/$B$2</f>
        <v>1.0719848177475295</v>
      </c>
      <c r="G1047" s="11">
        <f t="shared" si="101"/>
        <v>0.92009309542280837</v>
      </c>
      <c r="H1047" s="25">
        <f t="shared" si="96"/>
        <v>91.376623376623371</v>
      </c>
      <c r="I1047" s="26">
        <f>MAX($B$2:B1047)</f>
        <v>3166.2</v>
      </c>
      <c r="J1047" s="27">
        <f t="shared" si="97"/>
        <v>0</v>
      </c>
      <c r="K1047" s="10">
        <f>MAX($C$2:C1047)</f>
        <v>35.040999999999997</v>
      </c>
      <c r="L1047" s="11">
        <f t="shared" si="98"/>
        <v>-1.1158357352815224E-2</v>
      </c>
    </row>
    <row r="1048" spans="1:12" x14ac:dyDescent="0.35">
      <c r="A1048" s="5" t="s">
        <v>2310</v>
      </c>
      <c r="B1048" s="22">
        <v>3121.7</v>
      </c>
      <c r="C1048" s="10">
        <v>31.97</v>
      </c>
      <c r="D1048" s="23">
        <f t="shared" si="99"/>
        <v>-1.4054702798307121E-2</v>
      </c>
      <c r="E1048" s="11">
        <f t="shared" si="100"/>
        <v>-7.7344877344877341E-2</v>
      </c>
      <c r="F1048" s="24">
        <f>(B1048-$B$2)/$B$2</f>
        <v>1.0428636869314836</v>
      </c>
      <c r="G1048" s="11">
        <f t="shared" si="101"/>
        <v>0.77158373046658535</v>
      </c>
      <c r="H1048" s="25">
        <f t="shared" si="96"/>
        <v>97.644666875195497</v>
      </c>
      <c r="I1048" s="26">
        <f>MAX($B$2:B1048)</f>
        <v>3166.2</v>
      </c>
      <c r="J1048" s="27">
        <f t="shared" si="97"/>
        <v>-1.4054702798307121E-2</v>
      </c>
      <c r="K1048" s="10">
        <f>MAX($C$2:C1048)</f>
        <v>35.040999999999997</v>
      </c>
      <c r="L1048" s="11">
        <f t="shared" si="98"/>
        <v>-8.7640192916868767E-2</v>
      </c>
    </row>
    <row r="1049" spans="1:12" x14ac:dyDescent="0.35">
      <c r="A1049" s="5" t="s">
        <v>2312</v>
      </c>
      <c r="B1049" s="22">
        <v>2973.6</v>
      </c>
      <c r="C1049" s="10">
        <v>29.603999999999999</v>
      </c>
      <c r="D1049" s="23">
        <f t="shared" si="99"/>
        <v>-4.7442098856392327E-2</v>
      </c>
      <c r="E1049" s="11">
        <f t="shared" si="100"/>
        <v>-7.400688145136064E-2</v>
      </c>
      <c r="F1049" s="24">
        <f>(B1049-$B$2)/$B$2</f>
        <v>0.94594594594594605</v>
      </c>
      <c r="G1049" s="11">
        <f t="shared" si="101"/>
        <v>0.64047434334478559</v>
      </c>
      <c r="H1049" s="25">
        <f t="shared" si="96"/>
        <v>100.44588569112283</v>
      </c>
      <c r="I1049" s="26">
        <f>MAX($B$2:B1049)</f>
        <v>3166.2</v>
      </c>
      <c r="J1049" s="27">
        <f t="shared" si="97"/>
        <v>-6.0830017055144944E-2</v>
      </c>
      <c r="K1049" s="10">
        <f>MAX($C$2:C1049)</f>
        <v>35.040999999999997</v>
      </c>
      <c r="L1049" s="11">
        <f t="shared" si="98"/>
        <v>-0.15516109700065631</v>
      </c>
    </row>
    <row r="1050" spans="1:12" x14ac:dyDescent="0.35">
      <c r="A1050" s="5" t="s">
        <v>2314</v>
      </c>
      <c r="B1050" s="22">
        <v>2990.2</v>
      </c>
      <c r="C1050" s="10">
        <v>29.686</v>
      </c>
      <c r="D1050" s="23">
        <f t="shared" si="99"/>
        <v>5.5824589722894506E-3</v>
      </c>
      <c r="E1050" s="11">
        <f t="shared" si="100"/>
        <v>2.7698959600054298E-3</v>
      </c>
      <c r="F1050" s="24">
        <f>(B1050-$B$2)/$B$2</f>
        <v>0.95680910935148222</v>
      </c>
      <c r="G1050" s="11">
        <f t="shared" si="101"/>
        <v>0.64501828660090887</v>
      </c>
      <c r="H1050" s="25">
        <f t="shared" si="96"/>
        <v>100.72761571110961</v>
      </c>
      <c r="I1050" s="26">
        <f>MAX($B$2:B1050)</f>
        <v>3166.2</v>
      </c>
      <c r="J1050" s="27">
        <f t="shared" si="97"/>
        <v>-5.5587139157349509E-2</v>
      </c>
      <c r="K1050" s="10">
        <f>MAX($C$2:C1050)</f>
        <v>35.040999999999997</v>
      </c>
      <c r="L1050" s="11">
        <f t="shared" si="98"/>
        <v>-0.15282098113638301</v>
      </c>
    </row>
    <row r="1051" spans="1:12" x14ac:dyDescent="0.35">
      <c r="A1051" s="5" t="s">
        <v>2316</v>
      </c>
      <c r="B1051" s="22">
        <v>3079.4</v>
      </c>
      <c r="C1051" s="10">
        <v>30.414999999999999</v>
      </c>
      <c r="D1051" s="23">
        <f t="shared" si="99"/>
        <v>2.9830780549796092E-2</v>
      </c>
      <c r="E1051" s="11">
        <f t="shared" si="100"/>
        <v>2.4557030249949444E-2</v>
      </c>
      <c r="F1051" s="24">
        <f>(B1051-$B$2)/$B$2</f>
        <v>1.0151822524703882</v>
      </c>
      <c r="G1051" s="11">
        <f t="shared" si="101"/>
        <v>0.68541505042668738</v>
      </c>
      <c r="H1051" s="25">
        <f t="shared" si="96"/>
        <v>101.24609567647543</v>
      </c>
      <c r="I1051" s="26">
        <f>MAX($B$2:B1051)</f>
        <v>3166.2</v>
      </c>
      <c r="J1051" s="27">
        <f t="shared" si="97"/>
        <v>-2.7414566357147285E-2</v>
      </c>
      <c r="K1051" s="10">
        <f>MAX($C$2:C1051)</f>
        <v>35.040999999999997</v>
      </c>
      <c r="L1051" s="11">
        <f t="shared" si="98"/>
        <v>-0.13201678034302669</v>
      </c>
    </row>
    <row r="1052" spans="1:12" x14ac:dyDescent="0.35">
      <c r="A1052" s="5" t="s">
        <v>2318</v>
      </c>
      <c r="B1052" s="22">
        <v>3177.5</v>
      </c>
      <c r="C1052" s="10">
        <v>30.759</v>
      </c>
      <c r="D1052" s="23">
        <f t="shared" si="99"/>
        <v>3.1856855231538583E-2</v>
      </c>
      <c r="E1052" s="11">
        <f t="shared" si="100"/>
        <v>1.1310208778563249E-2</v>
      </c>
      <c r="F1052" s="24">
        <f>(B1052-$B$2)/$B$2</f>
        <v>1.0793796217525031</v>
      </c>
      <c r="G1052" s="11">
        <f t="shared" si="101"/>
        <v>0.70447744652554589</v>
      </c>
      <c r="H1052" s="25">
        <f t="shared" si="96"/>
        <v>103.30309828017816</v>
      </c>
      <c r="I1052" s="26">
        <f>MAX($B$2:B1052)</f>
        <v>3177.5</v>
      </c>
      <c r="J1052" s="27">
        <f t="shared" si="97"/>
        <v>0</v>
      </c>
      <c r="K1052" s="10">
        <f>MAX($C$2:C1052)</f>
        <v>35.040999999999997</v>
      </c>
      <c r="L1052" s="11">
        <f t="shared" si="98"/>
        <v>-0.1221997089124168</v>
      </c>
    </row>
    <row r="1053" spans="1:12" x14ac:dyDescent="0.35">
      <c r="A1053" s="5" t="s">
        <v>2320</v>
      </c>
      <c r="B1053" s="22">
        <v>3226.3</v>
      </c>
      <c r="C1053" s="10">
        <v>32.167000000000002</v>
      </c>
      <c r="D1053" s="23">
        <f t="shared" si="99"/>
        <v>1.5357985837922953E-2</v>
      </c>
      <c r="E1053" s="11">
        <f t="shared" si="100"/>
        <v>4.5775220260736736E-2</v>
      </c>
      <c r="F1053" s="24">
        <f>(B1053-$B$2)/$B$2</f>
        <v>1.1113147045350438</v>
      </c>
      <c r="G1053" s="11">
        <f t="shared" si="101"/>
        <v>0.78250027706971093</v>
      </c>
      <c r="H1053" s="25">
        <f t="shared" si="96"/>
        <v>100.29844250318649</v>
      </c>
      <c r="I1053" s="26">
        <f>MAX($B$2:B1053)</f>
        <v>3226.3</v>
      </c>
      <c r="J1053" s="27">
        <f t="shared" si="97"/>
        <v>0</v>
      </c>
      <c r="K1053" s="10">
        <f>MAX($C$2:C1053)</f>
        <v>35.040999999999997</v>
      </c>
      <c r="L1053" s="11">
        <f t="shared" si="98"/>
        <v>-8.2018207242943855E-2</v>
      </c>
    </row>
    <row r="1054" spans="1:12" x14ac:dyDescent="0.35">
      <c r="A1054" s="5" t="s">
        <v>2322</v>
      </c>
      <c r="B1054" s="22">
        <v>3240.4</v>
      </c>
      <c r="C1054" s="10">
        <v>32.296999999999997</v>
      </c>
      <c r="D1054" s="23">
        <f t="shared" si="99"/>
        <v>4.3703313393050579E-3</v>
      </c>
      <c r="E1054" s="11">
        <f t="shared" si="100"/>
        <v>4.0414088973169844E-3</v>
      </c>
      <c r="F1054" s="24">
        <f>(B1054-$B$2)/$B$2</f>
        <v>1.1205418493554089</v>
      </c>
      <c r="G1054" s="11">
        <f t="shared" si="101"/>
        <v>0.78970408954893045</v>
      </c>
      <c r="H1054" s="25">
        <f t="shared" si="96"/>
        <v>100.33130012075426</v>
      </c>
      <c r="I1054" s="26">
        <f>MAX($B$2:B1054)</f>
        <v>3240.4</v>
      </c>
      <c r="J1054" s="27">
        <f t="shared" si="97"/>
        <v>0</v>
      </c>
      <c r="K1054" s="10">
        <f>MAX($C$2:C1054)</f>
        <v>35.040999999999997</v>
      </c>
      <c r="L1054" s="11">
        <f t="shared" si="98"/>
        <v>-7.8308267458120487E-2</v>
      </c>
    </row>
    <row r="1055" spans="1:12" x14ac:dyDescent="0.35">
      <c r="A1055" s="5" t="s">
        <v>2324</v>
      </c>
      <c r="B1055" s="22">
        <v>3346.4</v>
      </c>
      <c r="C1055" s="10">
        <v>32.979999999999997</v>
      </c>
      <c r="D1055" s="23">
        <f t="shared" si="99"/>
        <v>3.2712010862856439E-2</v>
      </c>
      <c r="E1055" s="11">
        <f t="shared" si="100"/>
        <v>2.1147474997677801E-2</v>
      </c>
      <c r="F1055" s="24">
        <f>(B1055-$B$2)/$B$2</f>
        <v>1.1899090373666648</v>
      </c>
      <c r="G1055" s="11">
        <f t="shared" si="101"/>
        <v>0.82755181203590811</v>
      </c>
      <c r="H1055" s="25">
        <f t="shared" si="96"/>
        <v>101.4675560946028</v>
      </c>
      <c r="I1055" s="26">
        <f>MAX($B$2:B1055)</f>
        <v>3346.4</v>
      </c>
      <c r="J1055" s="27">
        <f t="shared" si="97"/>
        <v>0</v>
      </c>
      <c r="K1055" s="10">
        <f>MAX($C$2:C1055)</f>
        <v>35.040999999999997</v>
      </c>
      <c r="L1055" s="11">
        <f t="shared" si="98"/>
        <v>-5.8816814588624755E-2</v>
      </c>
    </row>
    <row r="1056" spans="1:12" x14ac:dyDescent="0.35">
      <c r="A1056" s="5" t="s">
        <v>2326</v>
      </c>
      <c r="B1056" s="22">
        <v>3425.3</v>
      </c>
      <c r="C1056" s="10">
        <v>32.521000000000001</v>
      </c>
      <c r="D1056" s="23">
        <f t="shared" si="99"/>
        <v>2.3577575902462376E-2</v>
      </c>
      <c r="E1056" s="11">
        <f t="shared" si="100"/>
        <v>-1.3917525773195759E-2</v>
      </c>
      <c r="F1056" s="24">
        <f>(B1056-$B$2)/$B$2</f>
        <v>1.2415417839146656</v>
      </c>
      <c r="G1056" s="11">
        <f t="shared" si="101"/>
        <v>0.80211681259004775</v>
      </c>
      <c r="H1056" s="25">
        <f t="shared" si="96"/>
        <v>105.32578948986809</v>
      </c>
      <c r="I1056" s="26">
        <f>MAX($B$2:B1056)</f>
        <v>3425.3</v>
      </c>
      <c r="J1056" s="27">
        <f t="shared" si="97"/>
        <v>0</v>
      </c>
      <c r="K1056" s="10">
        <f>MAX($C$2:C1056)</f>
        <v>35.040999999999997</v>
      </c>
      <c r="L1056" s="11">
        <f t="shared" si="98"/>
        <v>-7.1915755828886055E-2</v>
      </c>
    </row>
    <row r="1057" spans="1:12" x14ac:dyDescent="0.35">
      <c r="A1057" s="5" t="s">
        <v>2328</v>
      </c>
      <c r="B1057" s="22">
        <v>3419.4</v>
      </c>
      <c r="C1057" s="10">
        <v>32.905000000000001</v>
      </c>
      <c r="D1057" s="23">
        <f t="shared" si="99"/>
        <v>-1.7224768633404637E-3</v>
      </c>
      <c r="E1057" s="11">
        <f t="shared" si="100"/>
        <v>1.1807754989083987E-2</v>
      </c>
      <c r="F1057" s="24">
        <f>(B1057-$B$2)/$B$2</f>
        <v>1.2376807800536616</v>
      </c>
      <c r="G1057" s="11">
        <f t="shared" si="101"/>
        <v>0.82339576637482004</v>
      </c>
      <c r="H1057" s="25">
        <f t="shared" si="96"/>
        <v>103.91733779060932</v>
      </c>
      <c r="I1057" s="26">
        <f>MAX($B$2:B1057)</f>
        <v>3425.3</v>
      </c>
      <c r="J1057" s="27">
        <f t="shared" si="97"/>
        <v>-1.7224768633404637E-3</v>
      </c>
      <c r="K1057" s="10">
        <f>MAX($C$2:C1057)</f>
        <v>35.040999999999997</v>
      </c>
      <c r="L1057" s="11">
        <f t="shared" si="98"/>
        <v>-6.0957164464484341E-2</v>
      </c>
    </row>
    <row r="1058" spans="1:12" x14ac:dyDescent="0.35">
      <c r="A1058" s="5" t="s">
        <v>2330</v>
      </c>
      <c r="B1058" s="22">
        <v>3294.1</v>
      </c>
      <c r="C1058" s="10">
        <v>33.546999999999997</v>
      </c>
      <c r="D1058" s="23">
        <f t="shared" si="99"/>
        <v>-3.6643855647189617E-2</v>
      </c>
      <c r="E1058" s="11">
        <f t="shared" si="100"/>
        <v>1.9510712657650687E-2</v>
      </c>
      <c r="F1058" s="24">
        <f>(B1058-$B$2)/$B$2</f>
        <v>1.1556835285648845</v>
      </c>
      <c r="G1058" s="11">
        <f t="shared" si="101"/>
        <v>0.85897151723373588</v>
      </c>
      <c r="H1058" s="25">
        <f t="shared" si="96"/>
        <v>98.193579157599785</v>
      </c>
      <c r="I1058" s="26">
        <f>MAX($B$2:B1058)</f>
        <v>3425.3</v>
      </c>
      <c r="J1058" s="27">
        <f t="shared" si="97"/>
        <v>-3.8303214316994211E-2</v>
      </c>
      <c r="K1058" s="10">
        <f>MAX($C$2:C1058)</f>
        <v>35.040999999999997</v>
      </c>
      <c r="L1058" s="11">
        <f t="shared" si="98"/>
        <v>-4.2635769527125368E-2</v>
      </c>
    </row>
    <row r="1059" spans="1:12" x14ac:dyDescent="0.35">
      <c r="A1059" s="5" t="s">
        <v>2332</v>
      </c>
      <c r="B1059" s="22">
        <v>3348.6</v>
      </c>
      <c r="C1059" s="10">
        <v>33.503</v>
      </c>
      <c r="D1059" s="23">
        <f t="shared" si="99"/>
        <v>1.654473148963298E-2</v>
      </c>
      <c r="E1059" s="11">
        <f t="shared" si="100"/>
        <v>-1.3115926908515497E-3</v>
      </c>
      <c r="F1059" s="24">
        <f>(B1059-$B$2)/$B$2</f>
        <v>1.1913487337216151</v>
      </c>
      <c r="G1059" s="11">
        <f t="shared" si="101"/>
        <v>0.85653330377923087</v>
      </c>
      <c r="H1059" s="25">
        <f t="shared" si="96"/>
        <v>99.949258275378327</v>
      </c>
      <c r="I1059" s="26">
        <f>MAX($B$2:B1059)</f>
        <v>3425.3</v>
      </c>
      <c r="J1059" s="27">
        <f t="shared" si="97"/>
        <v>-2.2392199223425766E-2</v>
      </c>
      <c r="K1059" s="10">
        <f>MAX($C$2:C1059)</f>
        <v>35.040999999999997</v>
      </c>
      <c r="L1059" s="11">
        <f t="shared" si="98"/>
        <v>-4.3891441454296305E-2</v>
      </c>
    </row>
    <row r="1060" spans="1:12" x14ac:dyDescent="0.35">
      <c r="A1060" s="5" t="s">
        <v>2334</v>
      </c>
      <c r="B1060" s="22">
        <v>3333</v>
      </c>
      <c r="C1060" s="10">
        <v>33.164999999999999</v>
      </c>
      <c r="D1060" s="23">
        <f t="shared" si="99"/>
        <v>-4.65866332198528E-3</v>
      </c>
      <c r="E1060" s="11">
        <f t="shared" si="100"/>
        <v>-1.0088648777721428E-2</v>
      </c>
      <c r="F1060" s="24">
        <f>(B1060-$B$2)/$B$2</f>
        <v>1.1811399777501475</v>
      </c>
      <c r="G1060" s="11">
        <f t="shared" si="101"/>
        <v>0.83780339133325943</v>
      </c>
      <c r="H1060" s="25">
        <f t="shared" si="96"/>
        <v>100.49751243781095</v>
      </c>
      <c r="I1060" s="26">
        <f>MAX($B$2:B1060)</f>
        <v>3425.3</v>
      </c>
      <c r="J1060" s="27">
        <f t="shared" si="97"/>
        <v>-2.6946544828190283E-2</v>
      </c>
      <c r="K1060" s="10">
        <f>MAX($C$2:C1060)</f>
        <v>35.040999999999997</v>
      </c>
      <c r="L1060" s="11">
        <f t="shared" si="98"/>
        <v>-5.3537284894837417E-2</v>
      </c>
    </row>
    <row r="1061" spans="1:12" x14ac:dyDescent="0.35">
      <c r="A1061" s="5" t="s">
        <v>2335</v>
      </c>
      <c r="B1061" s="22">
        <v>3333.6</v>
      </c>
      <c r="C1061" s="10">
        <v>33.576999999999998</v>
      </c>
      <c r="D1061" s="23">
        <f t="shared" si="99"/>
        <v>1.8001800180015274E-4</v>
      </c>
      <c r="E1061" s="11">
        <f t="shared" si="100"/>
        <v>1.2422734810794483E-2</v>
      </c>
      <c r="F1061" s="24">
        <f>(B1061-$B$2)/$B$2</f>
        <v>1.1815326222105884</v>
      </c>
      <c r="G1061" s="11">
        <f t="shared" si="101"/>
        <v>0.86063393549817135</v>
      </c>
      <c r="H1061" s="25">
        <f t="shared" si="96"/>
        <v>99.282246776066955</v>
      </c>
      <c r="I1061" s="26">
        <f>MAX($B$2:B1061)</f>
        <v>3425.3</v>
      </c>
      <c r="J1061" s="27">
        <f t="shared" si="97"/>
        <v>-2.677137768954552E-2</v>
      </c>
      <c r="K1061" s="10">
        <f>MAX($C$2:C1061)</f>
        <v>35.040999999999997</v>
      </c>
      <c r="L1061" s="11">
        <f t="shared" si="98"/>
        <v>-4.1779629576781448E-2</v>
      </c>
    </row>
    <row r="1062" spans="1:12" x14ac:dyDescent="0.35">
      <c r="A1062" s="5" t="s">
        <v>2337</v>
      </c>
      <c r="B1062" s="22">
        <v>3319.1</v>
      </c>
      <c r="C1062" s="10">
        <v>32.828000000000003</v>
      </c>
      <c r="D1062" s="23">
        <f t="shared" si="99"/>
        <v>-4.3496520278377727E-3</v>
      </c>
      <c r="E1062" s="11">
        <f t="shared" si="100"/>
        <v>-2.230693629567845E-2</v>
      </c>
      <c r="F1062" s="24">
        <f>(B1062-$B$2)/$B$2</f>
        <v>1.1720437144165958</v>
      </c>
      <c r="G1062" s="11">
        <f t="shared" si="101"/>
        <v>0.81912889282943613</v>
      </c>
      <c r="H1062" s="25">
        <f t="shared" si="96"/>
        <v>101.10576337273058</v>
      </c>
      <c r="I1062" s="26">
        <f>MAX($B$2:B1062)</f>
        <v>3425.3</v>
      </c>
      <c r="J1062" s="27">
        <f t="shared" si="97"/>
        <v>-3.1004583540127952E-2</v>
      </c>
      <c r="K1062" s="10">
        <f>MAX($C$2:C1062)</f>
        <v>35.040999999999997</v>
      </c>
      <c r="L1062" s="11">
        <f t="shared" si="98"/>
        <v>-6.3154590337033592E-2</v>
      </c>
    </row>
    <row r="1063" spans="1:12" x14ac:dyDescent="0.35">
      <c r="A1063" s="5" t="s">
        <v>2338</v>
      </c>
      <c r="B1063" s="22">
        <v>3222.2</v>
      </c>
      <c r="C1063" s="10">
        <v>32.469000000000001</v>
      </c>
      <c r="D1063" s="23">
        <f t="shared" si="99"/>
        <v>-2.9194661203338284E-2</v>
      </c>
      <c r="E1063" s="11">
        <f t="shared" si="100"/>
        <v>-1.0935786523699333E-2</v>
      </c>
      <c r="F1063" s="24">
        <f>(B1063-$B$2)/$B$2</f>
        <v>1.1086316340553628</v>
      </c>
      <c r="G1063" s="11">
        <f t="shared" si="101"/>
        <v>0.79923528759835982</v>
      </c>
      <c r="H1063" s="25">
        <f t="shared" si="96"/>
        <v>99.239274384797795</v>
      </c>
      <c r="I1063" s="26">
        <f>MAX($B$2:B1063)</f>
        <v>3425.3</v>
      </c>
      <c r="J1063" s="27">
        <f t="shared" si="97"/>
        <v>-5.9294076431261597E-2</v>
      </c>
      <c r="K1063" s="10">
        <f>MAX($C$2:C1063)</f>
        <v>35.040999999999997</v>
      </c>
      <c r="L1063" s="11">
        <f t="shared" si="98"/>
        <v>-7.3399731742815444E-2</v>
      </c>
    </row>
    <row r="1064" spans="1:12" x14ac:dyDescent="0.35">
      <c r="A1064" s="5" t="s">
        <v>2340</v>
      </c>
      <c r="B1064" s="22">
        <v>3322.3</v>
      </c>
      <c r="C1064" s="10">
        <v>32.473999999999997</v>
      </c>
      <c r="D1064" s="23">
        <f t="shared" si="99"/>
        <v>3.1065731487803477E-2</v>
      </c>
      <c r="E1064" s="11">
        <f t="shared" si="100"/>
        <v>1.5399303951447389E-4</v>
      </c>
      <c r="F1064" s="24">
        <f>(B1064-$B$2)/$B$2</f>
        <v>1.174137818205615</v>
      </c>
      <c r="G1064" s="11">
        <f t="shared" si="101"/>
        <v>0.79951235730909886</v>
      </c>
      <c r="H1064" s="25">
        <f t="shared" si="96"/>
        <v>102.30646055305785</v>
      </c>
      <c r="I1064" s="26">
        <f>MAX($B$2:B1064)</f>
        <v>3425.3</v>
      </c>
      <c r="J1064" s="27">
        <f t="shared" si="97"/>
        <v>-3.0070358800688989E-2</v>
      </c>
      <c r="K1064" s="10">
        <f>MAX($C$2:C1064)</f>
        <v>35.040999999999997</v>
      </c>
      <c r="L1064" s="11">
        <f t="shared" si="98"/>
        <v>-7.3257041751091587E-2</v>
      </c>
    </row>
    <row r="1065" spans="1:12" x14ac:dyDescent="0.35">
      <c r="A1065" s="5" t="s">
        <v>2342</v>
      </c>
      <c r="B1065" s="22">
        <v>3422.8</v>
      </c>
      <c r="C1065" s="10">
        <v>33.381</v>
      </c>
      <c r="D1065" s="23">
        <f t="shared" si="99"/>
        <v>3.0250127923426542E-2</v>
      </c>
      <c r="E1065" s="11">
        <f t="shared" si="100"/>
        <v>2.7930036336761829E-2</v>
      </c>
      <c r="F1065" s="24">
        <f>(B1065-$B$2)/$B$2</f>
        <v>1.2399057653294945</v>
      </c>
      <c r="G1065" s="11">
        <f t="shared" si="101"/>
        <v>0.84977280283719392</v>
      </c>
      <c r="H1065" s="25">
        <f t="shared" si="96"/>
        <v>102.53737155867111</v>
      </c>
      <c r="I1065" s="26">
        <f>MAX($B$2:B1065)</f>
        <v>3425.3</v>
      </c>
      <c r="J1065" s="27">
        <f t="shared" si="97"/>
        <v>-7.2986307768662599E-4</v>
      </c>
      <c r="K1065" s="10">
        <f>MAX($C$2:C1065)</f>
        <v>35.040999999999997</v>
      </c>
      <c r="L1065" s="11">
        <f t="shared" si="98"/>
        <v>-4.7373077252361423E-2</v>
      </c>
    </row>
    <row r="1066" spans="1:12" x14ac:dyDescent="0.35">
      <c r="A1066" s="5" t="s">
        <v>2344</v>
      </c>
      <c r="B1066" s="22">
        <v>3391.9</v>
      </c>
      <c r="C1066" s="10">
        <v>32.790999999999997</v>
      </c>
      <c r="D1066" s="23">
        <f t="shared" si="99"/>
        <v>-9.02769662264815E-3</v>
      </c>
      <c r="E1066" s="11">
        <f t="shared" si="100"/>
        <v>-1.7674725143045546E-2</v>
      </c>
      <c r="F1066" s="24">
        <f>(B1066-$B$2)/$B$2</f>
        <v>1.2196845756167791</v>
      </c>
      <c r="G1066" s="11">
        <f t="shared" si="101"/>
        <v>0.81707857696996555</v>
      </c>
      <c r="H1066" s="25">
        <f t="shared" si="96"/>
        <v>103.43996828398038</v>
      </c>
      <c r="I1066" s="26">
        <f>MAX($B$2:B1066)</f>
        <v>3425.3</v>
      </c>
      <c r="J1066" s="27">
        <f t="shared" si="97"/>
        <v>-9.7509707178933501E-3</v>
      </c>
      <c r="K1066" s="10">
        <f>MAX($C$2:C1066)</f>
        <v>35.040999999999997</v>
      </c>
      <c r="L1066" s="11">
        <f t="shared" si="98"/>
        <v>-6.4210496275791215E-2</v>
      </c>
    </row>
    <row r="1067" spans="1:12" x14ac:dyDescent="0.35">
      <c r="A1067" s="5" t="s">
        <v>2346</v>
      </c>
      <c r="B1067" s="22">
        <v>3306</v>
      </c>
      <c r="C1067" s="10">
        <v>32.616999999999997</v>
      </c>
      <c r="D1067" s="23">
        <f t="shared" si="99"/>
        <v>-2.5325039063651668E-2</v>
      </c>
      <c r="E1067" s="11">
        <f t="shared" si="100"/>
        <v>-5.3063340550760733E-3</v>
      </c>
      <c r="F1067" s="24">
        <f>(B1067-$B$2)/$B$2</f>
        <v>1.1634709770302991</v>
      </c>
      <c r="G1067" s="11">
        <f t="shared" si="101"/>
        <v>0.80743655103624068</v>
      </c>
      <c r="H1067" s="25">
        <f t="shared" si="96"/>
        <v>101.35818744826318</v>
      </c>
      <c r="I1067" s="26">
        <f>MAX($B$2:B1067)</f>
        <v>3425.3</v>
      </c>
      <c r="J1067" s="27">
        <f t="shared" si="97"/>
        <v>-3.4829066067205844E-2</v>
      </c>
      <c r="K1067" s="10">
        <f>MAX($C$2:C1067)</f>
        <v>35.040999999999997</v>
      </c>
      <c r="L1067" s="11">
        <f t="shared" si="98"/>
        <v>-6.9176107987785729E-2</v>
      </c>
    </row>
    <row r="1068" spans="1:12" x14ac:dyDescent="0.35">
      <c r="A1068" s="5" t="s">
        <v>2348</v>
      </c>
      <c r="B1068" s="22">
        <v>3228</v>
      </c>
      <c r="C1068" s="10">
        <v>32.624000000000002</v>
      </c>
      <c r="D1068" s="23">
        <f t="shared" si="99"/>
        <v>-2.3593466424682397E-2</v>
      </c>
      <c r="E1068" s="11">
        <f t="shared" si="100"/>
        <v>2.146120121410615E-4</v>
      </c>
      <c r="F1068" s="24">
        <f>(B1068-$B$2)/$B$2</f>
        <v>1.11242719717296</v>
      </c>
      <c r="G1068" s="11">
        <f t="shared" si="101"/>
        <v>0.80782444863127578</v>
      </c>
      <c r="H1068" s="25">
        <f t="shared" si="96"/>
        <v>98.945561549779299</v>
      </c>
      <c r="I1068" s="26">
        <f>MAX($B$2:B1068)</f>
        <v>3425.3</v>
      </c>
      <c r="J1068" s="27">
        <f t="shared" si="97"/>
        <v>-5.760079409102857E-2</v>
      </c>
      <c r="K1068" s="10">
        <f>MAX($C$2:C1068)</f>
        <v>35.040999999999997</v>
      </c>
      <c r="L1068" s="11">
        <f t="shared" si="98"/>
        <v>-6.8976341999372012E-2</v>
      </c>
    </row>
    <row r="1069" spans="1:12" x14ac:dyDescent="0.35">
      <c r="A1069" s="5" t="s">
        <v>2350</v>
      </c>
      <c r="B1069" s="22">
        <v>3247.8</v>
      </c>
      <c r="C1069" s="10">
        <v>33.1</v>
      </c>
      <c r="D1069" s="23">
        <f t="shared" si="99"/>
        <v>6.1338289962825842E-3</v>
      </c>
      <c r="E1069" s="11">
        <f t="shared" si="100"/>
        <v>1.4590485532123561E-2</v>
      </c>
      <c r="F1069" s="24">
        <f>(B1069-$B$2)/$B$2</f>
        <v>1.1253844643675155</v>
      </c>
      <c r="G1069" s="11">
        <f t="shared" si="101"/>
        <v>0.83420148509364966</v>
      </c>
      <c r="H1069" s="25">
        <f t="shared" si="96"/>
        <v>98.120845921450154</v>
      </c>
      <c r="I1069" s="26">
        <f>MAX($B$2:B1069)</f>
        <v>3425.3</v>
      </c>
      <c r="J1069" s="27">
        <f t="shared" si="97"/>
        <v>-5.182027851575044E-2</v>
      </c>
      <c r="K1069" s="10">
        <f>MAX($C$2:C1069)</f>
        <v>35.040999999999997</v>
      </c>
      <c r="L1069" s="11">
        <f t="shared" si="98"/>
        <v>-5.5392254787249094E-2</v>
      </c>
    </row>
    <row r="1070" spans="1:12" x14ac:dyDescent="0.35">
      <c r="A1070" s="5" t="s">
        <v>2352</v>
      </c>
      <c r="B1070" s="22">
        <v>3188.3</v>
      </c>
      <c r="C1070" s="10">
        <v>32.444000000000003</v>
      </c>
      <c r="D1070" s="23">
        <f t="shared" si="99"/>
        <v>-1.8320093601822771E-2</v>
      </c>
      <c r="E1070" s="11">
        <f t="shared" si="100"/>
        <v>-1.9818731117824735E-2</v>
      </c>
      <c r="F1070" s="24">
        <f>(B1070-$B$2)/$B$2</f>
        <v>1.0864472220404426</v>
      </c>
      <c r="G1070" s="11">
        <f t="shared" si="101"/>
        <v>0.79784993904466384</v>
      </c>
      <c r="H1070" s="25">
        <f t="shared" si="96"/>
        <v>98.270866724201696</v>
      </c>
      <c r="I1070" s="26">
        <f>MAX($B$2:B1070)</f>
        <v>3425.3</v>
      </c>
      <c r="J1070" s="27">
        <f t="shared" si="97"/>
        <v>-6.9191019764692135E-2</v>
      </c>
      <c r="K1070" s="10">
        <f>MAX($C$2:C1070)</f>
        <v>35.040999999999997</v>
      </c>
      <c r="L1070" s="11">
        <f t="shared" si="98"/>
        <v>-7.4113181701435299E-2</v>
      </c>
    </row>
    <row r="1071" spans="1:12" x14ac:dyDescent="0.35">
      <c r="A1071" s="5" t="s">
        <v>2354</v>
      </c>
      <c r="B1071" s="22">
        <v>3226.6</v>
      </c>
      <c r="C1071" s="10">
        <v>32.68</v>
      </c>
      <c r="D1071" s="23">
        <f t="shared" si="99"/>
        <v>1.2012671329548577E-2</v>
      </c>
      <c r="E1071" s="11">
        <f t="shared" si="100"/>
        <v>7.2740722475649455E-3</v>
      </c>
      <c r="F1071" s="24">
        <f>(B1071-$B$2)/$B$2</f>
        <v>1.1115110267652641</v>
      </c>
      <c r="G1071" s="11">
        <f t="shared" si="101"/>
        <v>0.81092762939155494</v>
      </c>
      <c r="H1071" s="25">
        <f t="shared" si="96"/>
        <v>98.733170134638925</v>
      </c>
      <c r="I1071" s="26">
        <f>MAX($B$2:B1071)</f>
        <v>3425.3</v>
      </c>
      <c r="J1071" s="27">
        <f t="shared" si="97"/>
        <v>-5.8009517414533113E-2</v>
      </c>
      <c r="K1071" s="10">
        <f>MAX($C$2:C1071)</f>
        <v>35.040999999999997</v>
      </c>
      <c r="L1071" s="11">
        <f t="shared" si="98"/>
        <v>-6.7378214092063501E-2</v>
      </c>
    </row>
    <row r="1072" spans="1:12" x14ac:dyDescent="0.35">
      <c r="A1072" s="5" t="s">
        <v>2356</v>
      </c>
      <c r="B1072" s="22">
        <v>3261.4</v>
      </c>
      <c r="C1072" s="10">
        <v>32.506999999999998</v>
      </c>
      <c r="D1072" s="23">
        <f t="shared" si="99"/>
        <v>1.0785346804686104E-2</v>
      </c>
      <c r="E1072" s="11">
        <f t="shared" si="100"/>
        <v>-5.2937576499388558E-3</v>
      </c>
      <c r="F1072" s="24">
        <f>(B1072-$B$2)/$B$2</f>
        <v>1.1342844054708463</v>
      </c>
      <c r="G1072" s="11">
        <f t="shared" si="101"/>
        <v>0.80134101739997776</v>
      </c>
      <c r="H1072" s="25">
        <f t="shared" si="96"/>
        <v>100.32915987325808</v>
      </c>
      <c r="I1072" s="26">
        <f>MAX($B$2:B1072)</f>
        <v>3425.3</v>
      </c>
      <c r="J1072" s="27">
        <f t="shared" si="97"/>
        <v>-4.7849823373135224E-2</v>
      </c>
      <c r="K1072" s="10">
        <f>MAX($C$2:C1072)</f>
        <v>35.040999999999997</v>
      </c>
      <c r="L1072" s="11">
        <f t="shared" si="98"/>
        <v>-7.231528780571328E-2</v>
      </c>
    </row>
    <row r="1073" spans="1:12" x14ac:dyDescent="0.35">
      <c r="A1073" s="5" t="s">
        <v>2358</v>
      </c>
      <c r="B1073" s="22">
        <v>3312.6</v>
      </c>
      <c r="C1073" s="10">
        <v>33.173999999999999</v>
      </c>
      <c r="D1073" s="23">
        <f t="shared" si="99"/>
        <v>1.5698779665174408E-2</v>
      </c>
      <c r="E1073" s="11">
        <f t="shared" si="100"/>
        <v>2.0518657519918836E-2</v>
      </c>
      <c r="F1073" s="24">
        <f>(B1073-$B$2)/$B$2</f>
        <v>1.167790066095151</v>
      </c>
      <c r="G1073" s="11">
        <f t="shared" si="101"/>
        <v>0.83830211681259004</v>
      </c>
      <c r="H1073" s="25">
        <f t="shared" si="96"/>
        <v>99.855308374027857</v>
      </c>
      <c r="I1073" s="26">
        <f>MAX($B$2:B1073)</f>
        <v>3425.3</v>
      </c>
      <c r="J1073" s="27">
        <f t="shared" si="97"/>
        <v>-3.290222754211318E-2</v>
      </c>
      <c r="K1073" s="10">
        <f>MAX($C$2:C1073)</f>
        <v>35.040999999999997</v>
      </c>
      <c r="L1073" s="11">
        <f t="shared" si="98"/>
        <v>-5.3280442909734237E-2</v>
      </c>
    </row>
    <row r="1074" spans="1:12" x14ac:dyDescent="0.35">
      <c r="A1074" s="5" t="s">
        <v>2360</v>
      </c>
      <c r="B1074" s="22">
        <v>3341.9</v>
      </c>
      <c r="C1074" s="10">
        <v>33.646000000000001</v>
      </c>
      <c r="D1074" s="23">
        <f t="shared" si="99"/>
        <v>8.8450159995170502E-3</v>
      </c>
      <c r="E1074" s="11">
        <f t="shared" si="100"/>
        <v>1.4228009887261148E-2</v>
      </c>
      <c r="F1074" s="24">
        <f>(B1074-$B$2)/$B$2</f>
        <v>1.1869642039133566</v>
      </c>
      <c r="G1074" s="11">
        <f t="shared" si="101"/>
        <v>0.86445749750637269</v>
      </c>
      <c r="H1074" s="25">
        <f t="shared" si="96"/>
        <v>99.325328419425787</v>
      </c>
      <c r="I1074" s="26">
        <f>MAX($B$2:B1074)</f>
        <v>3425.3</v>
      </c>
      <c r="J1074" s="27">
        <f t="shared" si="97"/>
        <v>-2.4348232271625869E-2</v>
      </c>
      <c r="K1074" s="10">
        <f>MAX($C$2:C1074)</f>
        <v>35.040999999999997</v>
      </c>
      <c r="L1074" s="11">
        <f t="shared" si="98"/>
        <v>-3.9810507690990447E-2</v>
      </c>
    </row>
    <row r="1075" spans="1:12" x14ac:dyDescent="0.35">
      <c r="A1075" s="5" t="s">
        <v>2362</v>
      </c>
      <c r="B1075" s="22">
        <v>3323.6</v>
      </c>
      <c r="C1075" s="10">
        <v>33.219000000000001</v>
      </c>
      <c r="D1075" s="23">
        <f t="shared" si="99"/>
        <v>-5.475926867949424E-3</v>
      </c>
      <c r="E1075" s="11">
        <f t="shared" si="100"/>
        <v>-1.2690958806395994E-2</v>
      </c>
      <c r="F1075" s="24">
        <f>(B1075-$B$2)/$B$2</f>
        <v>1.1749885478699038</v>
      </c>
      <c r="G1075" s="11">
        <f t="shared" si="101"/>
        <v>0.84079574420924319</v>
      </c>
      <c r="H1075" s="25">
        <f t="shared" si="96"/>
        <v>100.05117553207501</v>
      </c>
      <c r="I1075" s="26">
        <f>MAX($B$2:B1075)</f>
        <v>3425.3</v>
      </c>
      <c r="J1075" s="27">
        <f t="shared" si="97"/>
        <v>-2.9690830000292025E-2</v>
      </c>
      <c r="K1075" s="10">
        <f>MAX($C$2:C1075)</f>
        <v>35.040999999999997</v>
      </c>
      <c r="L1075" s="11">
        <f t="shared" si="98"/>
        <v>-5.199623298421837E-2</v>
      </c>
    </row>
    <row r="1076" spans="1:12" x14ac:dyDescent="0.35">
      <c r="A1076" s="5" t="s">
        <v>2364</v>
      </c>
      <c r="B1076" s="22">
        <v>3370.27</v>
      </c>
      <c r="C1076" s="10">
        <v>33.594999999999999</v>
      </c>
      <c r="D1076" s="23">
        <f t="shared" si="99"/>
        <v>1.4042002647731398E-2</v>
      </c>
      <c r="E1076" s="11">
        <f t="shared" si="100"/>
        <v>1.1318823564827288E-2</v>
      </c>
      <c r="F1076" s="24">
        <f>(B1076-$B$2)/$B$2</f>
        <v>1.2055297428178786</v>
      </c>
      <c r="G1076" s="11">
        <f t="shared" si="101"/>
        <v>0.86163138645683257</v>
      </c>
      <c r="H1076" s="25">
        <f t="shared" si="96"/>
        <v>100.32058342015181</v>
      </c>
      <c r="I1076" s="26">
        <f>MAX($B$2:B1076)</f>
        <v>3425.3</v>
      </c>
      <c r="J1076" s="27">
        <f t="shared" si="97"/>
        <v>-1.606574606603807E-2</v>
      </c>
      <c r="K1076" s="10">
        <f>MAX($C$2:C1076)</f>
        <v>35.040999999999997</v>
      </c>
      <c r="L1076" s="11">
        <f t="shared" si="98"/>
        <v>-4.1265945606575101E-2</v>
      </c>
    </row>
    <row r="1077" spans="1:12" x14ac:dyDescent="0.35">
      <c r="A1077" s="5" t="s">
        <v>2366</v>
      </c>
      <c r="B1077" s="22">
        <v>3313.7</v>
      </c>
      <c r="C1077" s="10">
        <v>33.311</v>
      </c>
      <c r="D1077" s="23">
        <f t="shared" si="99"/>
        <v>-1.6785005355654047E-2</v>
      </c>
      <c r="E1077" s="11">
        <f t="shared" si="100"/>
        <v>-8.453638934365201E-3</v>
      </c>
      <c r="F1077" s="24">
        <f>(B1077-$B$2)/$B$2</f>
        <v>1.1685099142726261</v>
      </c>
      <c r="G1077" s="11">
        <f t="shared" si="101"/>
        <v>0.84589382688684478</v>
      </c>
      <c r="H1077" s="25">
        <f t="shared" si="96"/>
        <v>99.477650025517093</v>
      </c>
      <c r="I1077" s="26">
        <f>MAX($B$2:B1077)</f>
        <v>3425.3</v>
      </c>
      <c r="J1077" s="27">
        <f t="shared" si="97"/>
        <v>-3.258108778793109E-2</v>
      </c>
      <c r="K1077" s="10">
        <f>MAX($C$2:C1077)</f>
        <v>35.040999999999997</v>
      </c>
      <c r="L1077" s="11">
        <f t="shared" si="98"/>
        <v>-4.9370737136497159E-2</v>
      </c>
    </row>
    <row r="1078" spans="1:12" x14ac:dyDescent="0.35">
      <c r="A1078" s="5" t="s">
        <v>2368</v>
      </c>
      <c r="B1078" s="22">
        <v>3308.3</v>
      </c>
      <c r="C1078" s="10">
        <v>33.159999999999997</v>
      </c>
      <c r="D1078" s="23">
        <f t="shared" si="99"/>
        <v>-1.6295983341882599E-3</v>
      </c>
      <c r="E1078" s="11">
        <f t="shared" si="100"/>
        <v>-4.5330371348804707E-3</v>
      </c>
      <c r="F1078" s="24">
        <f>(B1078-$B$2)/$B$2</f>
        <v>1.1649761141286568</v>
      </c>
      <c r="G1078" s="11">
        <f t="shared" si="101"/>
        <v>0.83752632162252005</v>
      </c>
      <c r="H1078" s="25">
        <f t="shared" si="96"/>
        <v>99.767792521109783</v>
      </c>
      <c r="I1078" s="26">
        <f>MAX($B$2:B1078)</f>
        <v>3425.3</v>
      </c>
      <c r="J1078" s="27">
        <f t="shared" si="97"/>
        <v>-3.4157592035734097E-2</v>
      </c>
      <c r="K1078" s="10">
        <f>MAX($C$2:C1078)</f>
        <v>35.040999999999997</v>
      </c>
      <c r="L1078" s="11">
        <f t="shared" si="98"/>
        <v>-5.3679974886561468E-2</v>
      </c>
    </row>
    <row r="1079" spans="1:12" x14ac:dyDescent="0.35">
      <c r="A1079" s="5" t="s">
        <v>2369</v>
      </c>
      <c r="B1079" s="22">
        <v>3343.9</v>
      </c>
      <c r="C1079" s="10">
        <v>33.423000000000002</v>
      </c>
      <c r="D1079" s="23">
        <f t="shared" si="99"/>
        <v>1.0760813710969352E-2</v>
      </c>
      <c r="E1079" s="11">
        <f t="shared" si="100"/>
        <v>7.9312424607962985E-3</v>
      </c>
      <c r="F1079" s="24">
        <f>(B1079-$B$2)/$B$2</f>
        <v>1.1882730187814936</v>
      </c>
      <c r="G1079" s="11">
        <f t="shared" si="101"/>
        <v>0.85210018840740342</v>
      </c>
      <c r="H1079" s="25">
        <f t="shared" si="96"/>
        <v>100.04787122640099</v>
      </c>
      <c r="I1079" s="26">
        <f>MAX($B$2:B1079)</f>
        <v>3425.3</v>
      </c>
      <c r="J1079" s="27">
        <f t="shared" si="97"/>
        <v>-2.3764341809476567E-2</v>
      </c>
      <c r="K1079" s="10">
        <f>MAX($C$2:C1079)</f>
        <v>35.040999999999997</v>
      </c>
      <c r="L1079" s="11">
        <f t="shared" si="98"/>
        <v>-4.6174481321879943E-2</v>
      </c>
    </row>
    <row r="1080" spans="1:12" x14ac:dyDescent="0.35">
      <c r="A1080" s="5" t="s">
        <v>2371</v>
      </c>
      <c r="B1080" s="22">
        <v>3397.2</v>
      </c>
      <c r="C1080" s="10">
        <v>34.694000000000003</v>
      </c>
      <c r="D1080" s="23">
        <f t="shared" si="99"/>
        <v>1.5939471874158836E-2</v>
      </c>
      <c r="E1080" s="11">
        <f t="shared" si="100"/>
        <v>3.8027705472279592E-2</v>
      </c>
      <c r="F1080" s="24">
        <f>(B1080-$B$2)/$B$2</f>
        <v>1.2231529350173418</v>
      </c>
      <c r="G1080" s="11">
        <f t="shared" si="101"/>
        <v>0.92253130887731372</v>
      </c>
      <c r="H1080" s="25">
        <f t="shared" si="96"/>
        <v>97.918948521358146</v>
      </c>
      <c r="I1080" s="26">
        <f>MAX($B$2:B1080)</f>
        <v>3425.3</v>
      </c>
      <c r="J1080" s="27">
        <f t="shared" si="97"/>
        <v>-8.2036609931977825E-3</v>
      </c>
      <c r="K1080" s="10">
        <f>MAX($C$2:C1080)</f>
        <v>35.040999999999997</v>
      </c>
      <c r="L1080" s="11">
        <f t="shared" si="98"/>
        <v>-9.9026854256440804E-3</v>
      </c>
    </row>
    <row r="1081" spans="1:12" x14ac:dyDescent="0.35">
      <c r="A1081" s="5" t="s">
        <v>2373</v>
      </c>
      <c r="B1081" s="22">
        <v>3377.1</v>
      </c>
      <c r="C1081" s="10">
        <v>34.633000000000003</v>
      </c>
      <c r="D1081" s="23">
        <f t="shared" si="99"/>
        <v>-5.9166372306605174E-3</v>
      </c>
      <c r="E1081" s="11">
        <f t="shared" si="100"/>
        <v>-1.7582290886032149E-3</v>
      </c>
      <c r="F1081" s="24">
        <f>(B1081-$B$2)/$B$2</f>
        <v>1.2099993455925659</v>
      </c>
      <c r="G1081" s="11">
        <f t="shared" si="101"/>
        <v>0.91915105840629518</v>
      </c>
      <c r="H1081" s="25">
        <f t="shared" si="96"/>
        <v>97.511044379637909</v>
      </c>
      <c r="I1081" s="26">
        <f>MAX($B$2:B1081)</f>
        <v>3425.3</v>
      </c>
      <c r="J1081" s="27">
        <f t="shared" si="97"/>
        <v>-1.4071760137798229E-2</v>
      </c>
      <c r="K1081" s="10">
        <f>MAX($C$2:C1081)</f>
        <v>35.040999999999997</v>
      </c>
      <c r="L1081" s="11">
        <f t="shared" si="98"/>
        <v>-1.1643503324676641E-2</v>
      </c>
    </row>
    <row r="1082" spans="1:12" x14ac:dyDescent="0.35">
      <c r="A1082" s="5" t="s">
        <v>2375</v>
      </c>
      <c r="B1082" s="22">
        <v>3399.2</v>
      </c>
      <c r="C1082" s="10">
        <v>34.648000000000003</v>
      </c>
      <c r="D1082" s="23">
        <f t="shared" si="99"/>
        <v>6.5440762784637436E-3</v>
      </c>
      <c r="E1082" s="11">
        <f t="shared" si="100"/>
        <v>4.3311292697717691E-4</v>
      </c>
      <c r="F1082" s="24">
        <f>(B1082-$B$2)/$B$2</f>
        <v>1.2244617498854786</v>
      </c>
      <c r="G1082" s="11">
        <f t="shared" si="101"/>
        <v>0.91998226753851298</v>
      </c>
      <c r="H1082" s="25">
        <f t="shared" si="96"/>
        <v>98.106672823828205</v>
      </c>
      <c r="I1082" s="26">
        <f>MAX($B$2:B1082)</f>
        <v>3425.3</v>
      </c>
      <c r="J1082" s="27">
        <f t="shared" si="97"/>
        <v>-7.6197705310484809E-3</v>
      </c>
      <c r="K1082" s="10">
        <f>MAX($C$2:C1082)</f>
        <v>35.040999999999997</v>
      </c>
      <c r="L1082" s="11">
        <f t="shared" si="98"/>
        <v>-1.1215433349504684E-2</v>
      </c>
    </row>
    <row r="1083" spans="1:12" x14ac:dyDescent="0.35">
      <c r="A1083" s="5" t="s">
        <v>2377</v>
      </c>
      <c r="B1083" s="22">
        <v>3375.1</v>
      </c>
      <c r="C1083" s="10">
        <v>35.805</v>
      </c>
      <c r="D1083" s="23">
        <f t="shared" si="99"/>
        <v>-7.0899035067074345E-3</v>
      </c>
      <c r="E1083" s="11">
        <f t="shared" si="100"/>
        <v>3.3392980835834578E-2</v>
      </c>
      <c r="F1083" s="24">
        <f>(B1083-$B$2)/$B$2</f>
        <v>1.2086905307244291</v>
      </c>
      <c r="G1083" s="11">
        <f t="shared" si="101"/>
        <v>0.98409619860356867</v>
      </c>
      <c r="H1083" s="25">
        <f t="shared" si="96"/>
        <v>94.263371037564582</v>
      </c>
      <c r="I1083" s="26">
        <f>MAX($B$2:B1083)</f>
        <v>3425.3</v>
      </c>
      <c r="J1083" s="27">
        <f t="shared" si="97"/>
        <v>-1.4655650599947528E-2</v>
      </c>
      <c r="K1083" s="10">
        <f>MAX($C$2:C1083)</f>
        <v>35.805</v>
      </c>
      <c r="L1083" s="11">
        <f t="shared" si="98"/>
        <v>0</v>
      </c>
    </row>
    <row r="1084" spans="1:12" x14ac:dyDescent="0.35">
      <c r="A1084" s="5" t="s">
        <v>2379</v>
      </c>
      <c r="B1084" s="22">
        <v>3354.9</v>
      </c>
      <c r="C1084" s="10">
        <v>36.795999999999999</v>
      </c>
      <c r="D1084" s="23">
        <f t="shared" si="99"/>
        <v>-5.9850078516191577E-3</v>
      </c>
      <c r="E1084" s="11">
        <f t="shared" si="100"/>
        <v>2.7677698645440573E-2</v>
      </c>
      <c r="F1084" s="24">
        <f>(B1084-$B$2)/$B$2</f>
        <v>1.1954715005562464</v>
      </c>
      <c r="G1084" s="11">
        <f t="shared" si="101"/>
        <v>1.0390114152720824</v>
      </c>
      <c r="H1084" s="25">
        <f t="shared" si="96"/>
        <v>91.175671268616156</v>
      </c>
      <c r="I1084" s="26">
        <f>MAX($B$2:B1084)</f>
        <v>3425.3</v>
      </c>
      <c r="J1084" s="27">
        <f t="shared" si="97"/>
        <v>-2.0552944267655412E-2</v>
      </c>
      <c r="K1084" s="10">
        <f>MAX($C$2:C1084)</f>
        <v>36.795999999999999</v>
      </c>
      <c r="L1084" s="11">
        <f t="shared" si="98"/>
        <v>0</v>
      </c>
    </row>
    <row r="1085" spans="1:12" x14ac:dyDescent="0.35">
      <c r="A1085" s="5" t="s">
        <v>2381</v>
      </c>
      <c r="B1085" s="22">
        <v>3343.4</v>
      </c>
      <c r="C1085" s="10">
        <v>36.642000000000003</v>
      </c>
      <c r="D1085" s="23">
        <f t="shared" si="99"/>
        <v>-3.4278219917136129E-3</v>
      </c>
      <c r="E1085" s="11">
        <f t="shared" si="100"/>
        <v>-4.1852375258179253E-3</v>
      </c>
      <c r="F1085" s="24">
        <f>(B1085-$B$2)/$B$2</f>
        <v>1.1879458150644593</v>
      </c>
      <c r="G1085" s="11">
        <f t="shared" si="101"/>
        <v>1.0304776681813146</v>
      </c>
      <c r="H1085" s="25">
        <f t="shared" si="96"/>
        <v>91.245019376671578</v>
      </c>
      <c r="I1085" s="26">
        <f>MAX($B$2:B1085)</f>
        <v>3425.3</v>
      </c>
      <c r="J1085" s="27">
        <f t="shared" si="97"/>
        <v>-2.3910314425013894E-2</v>
      </c>
      <c r="K1085" s="10">
        <f>MAX($C$2:C1085)</f>
        <v>36.795999999999999</v>
      </c>
      <c r="L1085" s="11">
        <f t="shared" si="98"/>
        <v>-4.1852375258179253E-3</v>
      </c>
    </row>
    <row r="1086" spans="1:12" x14ac:dyDescent="0.35">
      <c r="A1086" s="5" t="s">
        <v>2383</v>
      </c>
      <c r="B1086" s="22">
        <v>3343.7</v>
      </c>
      <c r="C1086" s="10">
        <v>36.261000000000003</v>
      </c>
      <c r="D1086" s="23">
        <f t="shared" si="99"/>
        <v>8.9729018364457478E-5</v>
      </c>
      <c r="E1086" s="11">
        <f t="shared" si="100"/>
        <v>-1.0397904044539059E-2</v>
      </c>
      <c r="F1086" s="24">
        <f>(B1086-$B$2)/$B$2</f>
        <v>1.1881421372946797</v>
      </c>
      <c r="G1086" s="11">
        <f t="shared" si="101"/>
        <v>1.0093649562229858</v>
      </c>
      <c r="H1086" s="25">
        <f t="shared" si="96"/>
        <v>92.212018421996078</v>
      </c>
      <c r="I1086" s="26">
        <f>MAX($B$2:B1086)</f>
        <v>3425.3</v>
      </c>
      <c r="J1086" s="27">
        <f t="shared" si="97"/>
        <v>-2.3822730855691577E-2</v>
      </c>
      <c r="K1086" s="10">
        <f>MAX($C$2:C1086)</f>
        <v>36.795999999999999</v>
      </c>
      <c r="L1086" s="11">
        <f t="shared" si="98"/>
        <v>-1.4539623872159926E-2</v>
      </c>
    </row>
    <row r="1087" spans="1:12" x14ac:dyDescent="0.35">
      <c r="A1087" s="5" t="s">
        <v>2385</v>
      </c>
      <c r="B1087" s="22">
        <v>3402.4</v>
      </c>
      <c r="C1087" s="10">
        <v>36.295000000000002</v>
      </c>
      <c r="D1087" s="23">
        <f t="shared" si="99"/>
        <v>1.7555402697610516E-2</v>
      </c>
      <c r="E1087" s="11">
        <f t="shared" si="100"/>
        <v>9.3764650726673056E-4</v>
      </c>
      <c r="F1087" s="24">
        <f>(B1087-$B$2)/$B$2</f>
        <v>1.226555853674498</v>
      </c>
      <c r="G1087" s="11">
        <f t="shared" si="101"/>
        <v>1.0112490302560126</v>
      </c>
      <c r="H1087" s="25">
        <f t="shared" si="96"/>
        <v>93.742939798870367</v>
      </c>
      <c r="I1087" s="26">
        <f>MAX($B$2:B1087)</f>
        <v>3425.3</v>
      </c>
      <c r="J1087" s="27">
        <f t="shared" si="97"/>
        <v>-6.6855457916095203E-3</v>
      </c>
      <c r="K1087" s="10">
        <f>MAX($C$2:C1087)</f>
        <v>36.795999999999999</v>
      </c>
      <c r="L1087" s="11">
        <f t="shared" si="98"/>
        <v>-1.3615610392433896E-2</v>
      </c>
    </row>
    <row r="1088" spans="1:12" x14ac:dyDescent="0.35">
      <c r="A1088" s="5" t="s">
        <v>2387</v>
      </c>
      <c r="B1088" s="22">
        <v>3417.3</v>
      </c>
      <c r="C1088" s="10">
        <v>36.448</v>
      </c>
      <c r="D1088" s="23">
        <f t="shared" si="99"/>
        <v>4.3792616976252325E-3</v>
      </c>
      <c r="E1088" s="11">
        <f t="shared" si="100"/>
        <v>4.2154566744730315E-3</v>
      </c>
      <c r="F1088" s="24">
        <f>(B1088-$B$2)/$B$2</f>
        <v>1.2363065244421179</v>
      </c>
      <c r="G1088" s="11">
        <f t="shared" si="101"/>
        <v>1.0197273634046327</v>
      </c>
      <c r="H1088" s="25">
        <f t="shared" si="96"/>
        <v>93.758230904302025</v>
      </c>
      <c r="I1088" s="26">
        <f>MAX($B$2:B1088)</f>
        <v>3425.3</v>
      </c>
      <c r="J1088" s="27">
        <f t="shared" si="97"/>
        <v>-2.3355618485972032E-3</v>
      </c>
      <c r="K1088" s="10">
        <f>MAX($C$2:C1088)</f>
        <v>36.795999999999999</v>
      </c>
      <c r="L1088" s="11">
        <f t="shared" si="98"/>
        <v>-9.4575497336666751E-3</v>
      </c>
    </row>
    <row r="1089" spans="1:12" x14ac:dyDescent="0.35">
      <c r="A1089" s="5" t="s">
        <v>2389</v>
      </c>
      <c r="B1089" s="22">
        <v>3406.9</v>
      </c>
      <c r="C1089" s="10">
        <v>37.151000000000003</v>
      </c>
      <c r="D1089" s="23">
        <f t="shared" si="99"/>
        <v>-3.0433383080209785E-3</v>
      </c>
      <c r="E1089" s="11">
        <f t="shared" si="100"/>
        <v>1.9287752414398677E-2</v>
      </c>
      <c r="F1089" s="24">
        <f>(B1089-$B$2)/$B$2</f>
        <v>1.229500687127806</v>
      </c>
      <c r="G1089" s="11">
        <f t="shared" si="101"/>
        <v>1.0586833647345675</v>
      </c>
      <c r="H1089" s="25">
        <f t="shared" si="96"/>
        <v>91.704126403057785</v>
      </c>
      <c r="I1089" s="26">
        <f>MAX($B$2:B1089)</f>
        <v>3425.3</v>
      </c>
      <c r="J1089" s="27">
        <f t="shared" si="97"/>
        <v>-5.3717922517735935E-3</v>
      </c>
      <c r="K1089" s="10">
        <f>MAX($C$2:C1089)</f>
        <v>37.151000000000003</v>
      </c>
      <c r="L1089" s="11">
        <f t="shared" si="98"/>
        <v>0</v>
      </c>
    </row>
    <row r="1090" spans="1:12" x14ac:dyDescent="0.35">
      <c r="A1090" s="5" t="s">
        <v>2391</v>
      </c>
      <c r="B1090" s="22">
        <v>3408.1</v>
      </c>
      <c r="C1090" s="10">
        <v>36.912999999999997</v>
      </c>
      <c r="D1090" s="23">
        <f t="shared" si="99"/>
        <v>3.5222636414330272E-4</v>
      </c>
      <c r="E1090" s="11">
        <f t="shared" si="100"/>
        <v>-6.4062878522787173E-3</v>
      </c>
      <c r="F1090" s="24">
        <f>(B1090-$B$2)/$B$2</f>
        <v>1.2302859760486879</v>
      </c>
      <c r="G1090" s="11">
        <f t="shared" si="101"/>
        <v>1.0454948465033802</v>
      </c>
      <c r="H1090" s="25">
        <f t="shared" si="96"/>
        <v>92.327906157722211</v>
      </c>
      <c r="I1090" s="26">
        <f>MAX($B$2:B1090)</f>
        <v>3425.3</v>
      </c>
      <c r="J1090" s="27">
        <f t="shared" si="97"/>
        <v>-5.0214579744840664E-3</v>
      </c>
      <c r="K1090" s="10">
        <f>MAX($C$2:C1090)</f>
        <v>37.151000000000003</v>
      </c>
      <c r="L1090" s="11">
        <f t="shared" si="98"/>
        <v>-6.4062878522787173E-3</v>
      </c>
    </row>
    <row r="1091" spans="1:12" x14ac:dyDescent="0.35">
      <c r="A1091" s="5" t="s">
        <v>2393</v>
      </c>
      <c r="B1091" s="22">
        <v>3380.6</v>
      </c>
      <c r="C1091" s="10">
        <v>36.152999999999999</v>
      </c>
      <c r="D1091" s="23">
        <f t="shared" si="99"/>
        <v>-8.0690120595052969E-3</v>
      </c>
      <c r="E1091" s="11">
        <f t="shared" si="100"/>
        <v>-2.0588952401592881E-2</v>
      </c>
      <c r="F1091" s="24">
        <f>(B1091-$B$2)/$B$2</f>
        <v>1.2122897716118055</v>
      </c>
      <c r="G1091" s="11">
        <f t="shared" si="101"/>
        <v>1.0033802504710185</v>
      </c>
      <c r="H1091" s="25">
        <f t="shared" ref="H1091:H1154" si="102">B1091/C1091</f>
        <v>93.508145935330404</v>
      </c>
      <c r="I1091" s="26">
        <f>MAX($B$2:B1091)</f>
        <v>3425.3</v>
      </c>
      <c r="J1091" s="27">
        <f t="shared" ref="J1091:J1154" si="103">(B1091-I1091)/I1091</f>
        <v>-1.3049951829036951E-2</v>
      </c>
      <c r="K1091" s="10">
        <f>MAX($C$2:C1091)</f>
        <v>37.151000000000003</v>
      </c>
      <c r="L1091" s="11">
        <f t="shared" ref="L1091:L1154" si="104">(C1091-K1091)/K1091</f>
        <v>-2.6863341498210132E-2</v>
      </c>
    </row>
    <row r="1092" spans="1:12" x14ac:dyDescent="0.35">
      <c r="A1092" s="5" t="s">
        <v>2395</v>
      </c>
      <c r="B1092" s="22">
        <v>3320</v>
      </c>
      <c r="C1092" s="10">
        <v>35.701000000000001</v>
      </c>
      <c r="D1092" s="23">
        <f t="shared" ref="D1092:D1155" si="105">(B1092-B1091)/B1091</f>
        <v>-1.7925811986037956E-2</v>
      </c>
      <c r="E1092" s="11">
        <f t="shared" ref="E1092:E1155" si="106">(C1092-C1091)/C1091</f>
        <v>-1.2502420269410511E-2</v>
      </c>
      <c r="F1092" s="24">
        <f>(B1092-$B$2)/$B$2</f>
        <v>1.1726326811072576</v>
      </c>
      <c r="G1092" s="11">
        <f t="shared" ref="G1092:G1155" si="107">(C1092-$C$2)/$C$2</f>
        <v>0.97833314862019294</v>
      </c>
      <c r="H1092" s="25">
        <f t="shared" si="102"/>
        <v>92.994593988963899</v>
      </c>
      <c r="I1092" s="26">
        <f>MAX($B$2:B1092)</f>
        <v>3425.3</v>
      </c>
      <c r="J1092" s="27">
        <f t="shared" si="103"/>
        <v>-3.074183283216074E-2</v>
      </c>
      <c r="K1092" s="10">
        <f>MAX($C$2:C1092)</f>
        <v>37.151000000000003</v>
      </c>
      <c r="L1092" s="11">
        <f t="shared" si="104"/>
        <v>-3.9029904982369322E-2</v>
      </c>
    </row>
    <row r="1093" spans="1:12" x14ac:dyDescent="0.35">
      <c r="A1093" s="5" t="s">
        <v>2397</v>
      </c>
      <c r="B1093" s="22">
        <v>3329</v>
      </c>
      <c r="C1093" s="10">
        <v>36.085000000000001</v>
      </c>
      <c r="D1093" s="23">
        <f t="shared" si="105"/>
        <v>2.7108433734939759E-3</v>
      </c>
      <c r="E1093" s="11">
        <f t="shared" si="106"/>
        <v>1.0756001232458484E-2</v>
      </c>
      <c r="F1093" s="24">
        <f>(B1093-$B$2)/$B$2</f>
        <v>1.1785223480138736</v>
      </c>
      <c r="G1093" s="11">
        <f t="shared" si="107"/>
        <v>0.99961210240496523</v>
      </c>
      <c r="H1093" s="25">
        <f t="shared" si="102"/>
        <v>92.254399334903695</v>
      </c>
      <c r="I1093" s="26">
        <f>MAX($B$2:B1093)</f>
        <v>3425.3</v>
      </c>
      <c r="J1093" s="27">
        <f t="shared" si="103"/>
        <v>-2.8114325752488886E-2</v>
      </c>
      <c r="K1093" s="10">
        <f>MAX($C$2:C1093)</f>
        <v>37.151000000000003</v>
      </c>
      <c r="L1093" s="11">
        <f t="shared" si="104"/>
        <v>-2.8693709456003941E-2</v>
      </c>
    </row>
    <row r="1094" spans="1:12" x14ac:dyDescent="0.35">
      <c r="A1094" s="5" t="s">
        <v>2399</v>
      </c>
      <c r="B1094" s="22">
        <v>3333.9</v>
      </c>
      <c r="C1094" s="10">
        <v>36.756999999999998</v>
      </c>
      <c r="D1094" s="23">
        <f t="shared" si="105"/>
        <v>1.4719134875338213E-3</v>
      </c>
      <c r="E1094" s="11">
        <f t="shared" si="106"/>
        <v>1.8622696411251131E-2</v>
      </c>
      <c r="F1094" s="24">
        <f>(B1094-$B$2)/$B$2</f>
        <v>1.181728944440809</v>
      </c>
      <c r="G1094" s="11">
        <f t="shared" si="107"/>
        <v>1.0368502715283165</v>
      </c>
      <c r="H1094" s="25">
        <f t="shared" si="102"/>
        <v>90.701090948662852</v>
      </c>
      <c r="I1094" s="26">
        <f>MAX($B$2:B1094)</f>
        <v>3425.3</v>
      </c>
      <c r="J1094" s="27">
        <f t="shared" si="103"/>
        <v>-2.6683794120223071E-2</v>
      </c>
      <c r="K1094" s="10">
        <f>MAX($C$2:C1094)</f>
        <v>37.151000000000003</v>
      </c>
      <c r="L1094" s="11">
        <f t="shared" si="104"/>
        <v>-1.0605367284864617E-2</v>
      </c>
    </row>
    <row r="1095" spans="1:12" x14ac:dyDescent="0.35">
      <c r="A1095" s="5" t="s">
        <v>2401</v>
      </c>
      <c r="B1095" s="22">
        <v>3307.7</v>
      </c>
      <c r="C1095" s="10">
        <v>36.171999999999997</v>
      </c>
      <c r="D1095" s="23">
        <f t="shared" si="105"/>
        <v>-7.8586640271154726E-3</v>
      </c>
      <c r="E1095" s="11">
        <f t="shared" si="106"/>
        <v>-1.5915335854395106E-2</v>
      </c>
      <c r="F1095" s="24">
        <f>(B1095-$B$2)/$B$2</f>
        <v>1.1645834696682154</v>
      </c>
      <c r="G1095" s="11">
        <f t="shared" si="107"/>
        <v>1.0044331153718276</v>
      </c>
      <c r="H1095" s="25">
        <f t="shared" si="102"/>
        <v>91.443658078071437</v>
      </c>
      <c r="I1095" s="26">
        <f>MAX($B$2:B1095)</f>
        <v>3425.3</v>
      </c>
      <c r="J1095" s="27">
        <f t="shared" si="103"/>
        <v>-3.4332759174378988E-2</v>
      </c>
      <c r="K1095" s="10">
        <f>MAX($C$2:C1095)</f>
        <v>37.151000000000003</v>
      </c>
      <c r="L1095" s="11">
        <f t="shared" si="104"/>
        <v>-2.6351915157061888E-2</v>
      </c>
    </row>
    <row r="1096" spans="1:12" x14ac:dyDescent="0.35">
      <c r="A1096" s="5" t="s">
        <v>2403</v>
      </c>
      <c r="B1096" s="22">
        <v>3349.8</v>
      </c>
      <c r="C1096" s="10">
        <v>36.396999999999998</v>
      </c>
      <c r="D1096" s="23">
        <f t="shared" si="105"/>
        <v>1.2727877377029467E-2</v>
      </c>
      <c r="E1096" s="11">
        <f t="shared" si="106"/>
        <v>6.2202808802388982E-3</v>
      </c>
      <c r="F1096" s="24">
        <f>(B1096-$B$2)/$B$2</f>
        <v>1.1921340226424975</v>
      </c>
      <c r="G1096" s="11">
        <f t="shared" si="107"/>
        <v>1.0169012523550924</v>
      </c>
      <c r="H1096" s="25">
        <f t="shared" si="102"/>
        <v>92.035057834436913</v>
      </c>
      <c r="I1096" s="26">
        <f>MAX($B$2:B1096)</f>
        <v>3425.3</v>
      </c>
      <c r="J1096" s="27">
        <f t="shared" si="103"/>
        <v>-2.2041864946136105E-2</v>
      </c>
      <c r="K1096" s="10">
        <f>MAX($C$2:C1096)</f>
        <v>37.151000000000003</v>
      </c>
      <c r="L1096" s="11">
        <f t="shared" si="104"/>
        <v>-2.0295550590832139E-2</v>
      </c>
    </row>
    <row r="1097" spans="1:12" x14ac:dyDescent="0.35">
      <c r="A1097" s="5" t="s">
        <v>2405</v>
      </c>
      <c r="B1097" s="22">
        <v>3359.7</v>
      </c>
      <c r="C1097" s="10">
        <v>36.726999999999997</v>
      </c>
      <c r="D1097" s="23">
        <f t="shared" si="105"/>
        <v>2.955400322407199E-3</v>
      </c>
      <c r="E1097" s="11">
        <f t="shared" si="106"/>
        <v>9.0666813198889556E-3</v>
      </c>
      <c r="F1097" s="24">
        <f>(B1097-$B$2)/$B$2</f>
        <v>1.198612656239775</v>
      </c>
      <c r="G1097" s="11">
        <f t="shared" si="107"/>
        <v>1.0351878532638812</v>
      </c>
      <c r="H1097" s="25">
        <f t="shared" si="102"/>
        <v>91.477659487570449</v>
      </c>
      <c r="I1097" s="26">
        <f>MAX($B$2:B1097)</f>
        <v>3425.3</v>
      </c>
      <c r="J1097" s="27">
        <f t="shared" si="103"/>
        <v>-1.9151607158497171E-2</v>
      </c>
      <c r="K1097" s="10">
        <f>MAX($C$2:C1097)</f>
        <v>37.151000000000003</v>
      </c>
      <c r="L1097" s="11">
        <f t="shared" si="104"/>
        <v>-1.1412882560361944E-2</v>
      </c>
    </row>
    <row r="1098" spans="1:12" x14ac:dyDescent="0.35">
      <c r="A1098" s="5" t="s">
        <v>2406</v>
      </c>
      <c r="B1098" s="22">
        <v>3342.9</v>
      </c>
      <c r="C1098" s="10">
        <v>37.084000000000003</v>
      </c>
      <c r="D1098" s="23">
        <f t="shared" si="105"/>
        <v>-5.0004464684346005E-3</v>
      </c>
      <c r="E1098" s="11">
        <f t="shared" si="106"/>
        <v>9.720369210662631E-3</v>
      </c>
      <c r="F1098" s="24">
        <f>(B1098-$B$2)/$B$2</f>
        <v>1.1876186113474252</v>
      </c>
      <c r="G1098" s="11">
        <f t="shared" si="107"/>
        <v>1.0549706306106619</v>
      </c>
      <c r="H1098" s="25">
        <f t="shared" si="102"/>
        <v>90.143997411282484</v>
      </c>
      <c r="I1098" s="26">
        <f>MAX($B$2:B1098)</f>
        <v>3425.3</v>
      </c>
      <c r="J1098" s="27">
        <f t="shared" si="103"/>
        <v>-2.4056287040551218E-2</v>
      </c>
      <c r="K1098" s="10">
        <f>MAX($C$2:C1098)</f>
        <v>37.151000000000003</v>
      </c>
      <c r="L1098" s="11">
        <f t="shared" si="104"/>
        <v>-1.8034507819439628E-3</v>
      </c>
    </row>
    <row r="1099" spans="1:12" x14ac:dyDescent="0.35">
      <c r="A1099" s="5" t="s">
        <v>2408</v>
      </c>
      <c r="B1099" s="22">
        <v>3342.8</v>
      </c>
      <c r="C1099" s="10">
        <v>36.904000000000003</v>
      </c>
      <c r="D1099" s="23">
        <f t="shared" si="105"/>
        <v>-2.9914146399805272E-5</v>
      </c>
      <c r="E1099" s="11">
        <f t="shared" si="106"/>
        <v>-4.8538453241289961E-3</v>
      </c>
      <c r="F1099" s="24">
        <f>(B1099-$B$2)/$B$2</f>
        <v>1.1875531706040183</v>
      </c>
      <c r="G1099" s="11">
        <f t="shared" si="107"/>
        <v>1.0449961210240499</v>
      </c>
      <c r="H1099" s="25">
        <f t="shared" si="102"/>
        <v>90.580966832863638</v>
      </c>
      <c r="I1099" s="26">
        <f>MAX($B$2:B1099)</f>
        <v>3425.3</v>
      </c>
      <c r="J1099" s="27">
        <f t="shared" si="103"/>
        <v>-2.4085481563658657E-2</v>
      </c>
      <c r="K1099" s="10">
        <f>MAX($C$2:C1099)</f>
        <v>37.151000000000003</v>
      </c>
      <c r="L1099" s="11">
        <f t="shared" si="104"/>
        <v>-6.6485424349277235E-3</v>
      </c>
    </row>
    <row r="1100" spans="1:12" x14ac:dyDescent="0.35">
      <c r="A1100" s="5" t="s">
        <v>2410</v>
      </c>
      <c r="B1100" s="22">
        <v>3316.9</v>
      </c>
      <c r="C1100" s="10">
        <v>36.749000000000002</v>
      </c>
      <c r="D1100" s="23">
        <f t="shared" si="105"/>
        <v>-7.7479956922340823E-3</v>
      </c>
      <c r="E1100" s="11">
        <f t="shared" si="106"/>
        <v>-4.2000867114676222E-3</v>
      </c>
      <c r="F1100" s="24">
        <f>(B1100-$B$2)/$B$2</f>
        <v>1.1706040180616453</v>
      </c>
      <c r="G1100" s="11">
        <f t="shared" si="107"/>
        <v>1.0364069599911339</v>
      </c>
      <c r="H1100" s="25">
        <f t="shared" si="102"/>
        <v>90.258238319410054</v>
      </c>
      <c r="I1100" s="26">
        <f>MAX($B$2:B1100)</f>
        <v>3425.3</v>
      </c>
      <c r="J1100" s="27">
        <f t="shared" si="103"/>
        <v>-3.1646863048492131E-2</v>
      </c>
      <c r="K1100" s="10">
        <f>MAX($C$2:C1100)</f>
        <v>37.151000000000003</v>
      </c>
      <c r="L1100" s="11">
        <f t="shared" si="104"/>
        <v>-1.0820704691663777E-2</v>
      </c>
    </row>
    <row r="1101" spans="1:12" x14ac:dyDescent="0.35">
      <c r="A1101" s="5" t="s">
        <v>2412</v>
      </c>
      <c r="B1101" s="22">
        <v>3321</v>
      </c>
      <c r="C1101" s="10">
        <v>36.630000000000003</v>
      </c>
      <c r="D1101" s="23">
        <f t="shared" si="105"/>
        <v>1.2360939431396512E-3</v>
      </c>
      <c r="E1101" s="11">
        <f t="shared" si="106"/>
        <v>-3.2381833519279373E-3</v>
      </c>
      <c r="F1101" s="24">
        <f>(B1101-$B$2)/$B$2</f>
        <v>1.173287088541326</v>
      </c>
      <c r="G1101" s="11">
        <f t="shared" si="107"/>
        <v>1.0298127008755404</v>
      </c>
      <c r="H1101" s="25">
        <f t="shared" si="102"/>
        <v>90.663390663390658</v>
      </c>
      <c r="I1101" s="26">
        <f>MAX($B$2:B1101)</f>
        <v>3425.3</v>
      </c>
      <c r="J1101" s="27">
        <f t="shared" si="103"/>
        <v>-3.0449887601086089E-2</v>
      </c>
      <c r="K1101" s="10">
        <f>MAX($C$2:C1101)</f>
        <v>37.151000000000003</v>
      </c>
      <c r="L1101" s="11">
        <f t="shared" si="104"/>
        <v>-1.402384861780304E-2</v>
      </c>
    </row>
    <row r="1102" spans="1:12" x14ac:dyDescent="0.35">
      <c r="A1102" s="5" t="s">
        <v>2414</v>
      </c>
      <c r="B1102" s="22">
        <v>3325.7</v>
      </c>
      <c r="C1102" s="10">
        <v>37.305</v>
      </c>
      <c r="D1102" s="23">
        <f t="shared" si="105"/>
        <v>1.4152363745859133E-3</v>
      </c>
      <c r="E1102" s="11">
        <f t="shared" si="106"/>
        <v>1.8427518427518347E-2</v>
      </c>
      <c r="F1102" s="24">
        <f>(B1102-$B$2)/$B$2</f>
        <v>1.1763628034814475</v>
      </c>
      <c r="G1102" s="11">
        <f t="shared" si="107"/>
        <v>1.0672171118253353</v>
      </c>
      <c r="H1102" s="25">
        <f t="shared" si="102"/>
        <v>89.148907653129598</v>
      </c>
      <c r="I1102" s="26">
        <f>MAX($B$2:B1102)</f>
        <v>3425.3</v>
      </c>
      <c r="J1102" s="27">
        <f t="shared" si="103"/>
        <v>-2.9077745015035284E-2</v>
      </c>
      <c r="K1102" s="10">
        <f>MAX($C$2:C1102)</f>
        <v>37.305</v>
      </c>
      <c r="L1102" s="11">
        <f t="shared" si="104"/>
        <v>0</v>
      </c>
    </row>
    <row r="1103" spans="1:12" x14ac:dyDescent="0.35">
      <c r="A1103" s="5" t="s">
        <v>2416</v>
      </c>
      <c r="B1103" s="22">
        <v>3359.1</v>
      </c>
      <c r="C1103" s="10">
        <v>38.741999999999997</v>
      </c>
      <c r="D1103" s="23">
        <f t="shared" si="105"/>
        <v>1.0042998466488286E-2</v>
      </c>
      <c r="E1103" s="11">
        <f t="shared" si="106"/>
        <v>3.8520305589063067E-2</v>
      </c>
      <c r="F1103" s="24">
        <f>(B1103-$B$2)/$B$2</f>
        <v>1.1982200117793338</v>
      </c>
      <c r="G1103" s="11">
        <f t="shared" si="107"/>
        <v>1.1468469466917877</v>
      </c>
      <c r="H1103" s="25">
        <f t="shared" si="102"/>
        <v>86.704351866191729</v>
      </c>
      <c r="I1103" s="26">
        <f>MAX($B$2:B1103)</f>
        <v>3425.3</v>
      </c>
      <c r="J1103" s="27">
        <f t="shared" si="103"/>
        <v>-1.9326774297141934E-2</v>
      </c>
      <c r="K1103" s="10">
        <f>MAX($C$2:C1103)</f>
        <v>38.741999999999997</v>
      </c>
      <c r="L1103" s="11">
        <f t="shared" si="104"/>
        <v>0</v>
      </c>
    </row>
    <row r="1104" spans="1:12" x14ac:dyDescent="0.35">
      <c r="A1104" s="5" t="s">
        <v>2418</v>
      </c>
      <c r="B1104" s="22">
        <v>3336.7</v>
      </c>
      <c r="C1104" s="10">
        <v>38.11</v>
      </c>
      <c r="D1104" s="23">
        <f t="shared" si="105"/>
        <v>-6.6684528593968896E-3</v>
      </c>
      <c r="E1104" s="11">
        <f t="shared" si="106"/>
        <v>-1.6313045273862938E-2</v>
      </c>
      <c r="F1104" s="24">
        <f>(B1104-$B$2)/$B$2</f>
        <v>1.1835612852562005</v>
      </c>
      <c r="G1104" s="11">
        <f t="shared" si="107"/>
        <v>1.1118253352543501</v>
      </c>
      <c r="H1104" s="25">
        <f t="shared" si="102"/>
        <v>87.554447651535028</v>
      </c>
      <c r="I1104" s="26">
        <f>MAX($B$2:B1104)</f>
        <v>3425.3</v>
      </c>
      <c r="J1104" s="27">
        <f t="shared" si="103"/>
        <v>-2.5866347473214129E-2</v>
      </c>
      <c r="K1104" s="10">
        <f>MAX($C$2:C1104)</f>
        <v>38.741999999999997</v>
      </c>
      <c r="L1104" s="11">
        <f t="shared" si="104"/>
        <v>-1.6313045273862938E-2</v>
      </c>
    </row>
    <row r="1105" spans="1:12" x14ac:dyDescent="0.35">
      <c r="A1105" s="5" t="s">
        <v>2420</v>
      </c>
      <c r="B1105" s="22">
        <v>3359.1</v>
      </c>
      <c r="C1105" s="10">
        <v>38.119</v>
      </c>
      <c r="D1105" s="23">
        <f t="shared" si="105"/>
        <v>6.7132196481553908E-3</v>
      </c>
      <c r="E1105" s="11">
        <f t="shared" si="106"/>
        <v>2.3615848858568201E-4</v>
      </c>
      <c r="F1105" s="24">
        <f>(B1105-$B$2)/$B$2</f>
        <v>1.1982200117793338</v>
      </c>
      <c r="G1105" s="11">
        <f t="shared" si="107"/>
        <v>1.1123240607336806</v>
      </c>
      <c r="H1105" s="25">
        <f t="shared" si="102"/>
        <v>88.121409270967234</v>
      </c>
      <c r="I1105" s="26">
        <f>MAX($B$2:B1105)</f>
        <v>3425.3</v>
      </c>
      <c r="J1105" s="27">
        <f t="shared" si="103"/>
        <v>-1.9326774297141934E-2</v>
      </c>
      <c r="K1105" s="10">
        <f>MAX($C$2:C1105)</f>
        <v>38.741999999999997</v>
      </c>
      <c r="L1105" s="11">
        <f t="shared" si="104"/>
        <v>-1.608073924939336E-2</v>
      </c>
    </row>
    <row r="1106" spans="1:12" x14ac:dyDescent="0.35">
      <c r="A1106" s="5" t="s">
        <v>2422</v>
      </c>
      <c r="B1106" s="22">
        <v>3345.3</v>
      </c>
      <c r="C1106" s="10">
        <v>38.302999999999997</v>
      </c>
      <c r="D1106" s="23">
        <f t="shared" si="105"/>
        <v>-4.1082432794497716E-3</v>
      </c>
      <c r="E1106" s="11">
        <f t="shared" si="106"/>
        <v>4.8269891655079488E-3</v>
      </c>
      <c r="F1106" s="24">
        <f>(B1106-$B$2)/$B$2</f>
        <v>1.1891891891891895</v>
      </c>
      <c r="G1106" s="11">
        <f t="shared" si="107"/>
        <v>1.1225202260888838</v>
      </c>
      <c r="H1106" s="25">
        <f t="shared" si="102"/>
        <v>87.337806438138017</v>
      </c>
      <c r="I1106" s="26">
        <f>MAX($B$2:B1106)</f>
        <v>3425.3</v>
      </c>
      <c r="J1106" s="27">
        <f t="shared" si="103"/>
        <v>-2.3355618485972032E-2</v>
      </c>
      <c r="K1106" s="10">
        <f>MAX($C$2:C1106)</f>
        <v>38.741999999999997</v>
      </c>
      <c r="L1106" s="11">
        <f t="shared" si="104"/>
        <v>-1.1331371638015593E-2</v>
      </c>
    </row>
    <row r="1107" spans="1:12" x14ac:dyDescent="0.35">
      <c r="A1107" s="5" t="s">
        <v>2424</v>
      </c>
      <c r="B1107" s="22">
        <v>3462.9</v>
      </c>
      <c r="C1107" s="10">
        <v>39.334000000000003</v>
      </c>
      <c r="D1107" s="23">
        <f t="shared" si="105"/>
        <v>3.5153797865662244E-2</v>
      </c>
      <c r="E1107" s="11">
        <f t="shared" si="106"/>
        <v>2.6916951674803697E-2</v>
      </c>
      <c r="F1107" s="24">
        <f>(B1107-$B$2)/$B$2</f>
        <v>1.2661475034356393</v>
      </c>
      <c r="G1107" s="11">
        <f t="shared" si="107"/>
        <v>1.1796520004433118</v>
      </c>
      <c r="H1107" s="25">
        <f t="shared" si="102"/>
        <v>88.038338333248589</v>
      </c>
      <c r="I1107" s="26">
        <f>MAX($B$2:B1107)</f>
        <v>3462.9</v>
      </c>
      <c r="J1107" s="27">
        <f t="shared" si="103"/>
        <v>0</v>
      </c>
      <c r="K1107" s="10">
        <f>MAX($C$2:C1107)</f>
        <v>39.334000000000003</v>
      </c>
      <c r="L1107" s="11">
        <f t="shared" si="104"/>
        <v>0</v>
      </c>
    </row>
    <row r="1108" spans="1:12" x14ac:dyDescent="0.35">
      <c r="A1108" s="5" t="s">
        <v>2426</v>
      </c>
      <c r="B1108" s="22">
        <v>3501.8</v>
      </c>
      <c r="C1108" s="10">
        <v>39.555</v>
      </c>
      <c r="D1108" s="23">
        <f t="shared" si="105"/>
        <v>1.1233359323110714E-2</v>
      </c>
      <c r="E1108" s="11">
        <f t="shared" si="106"/>
        <v>5.6185488381551973E-3</v>
      </c>
      <c r="F1108" s="24">
        <f>(B1108-$B$2)/$B$2</f>
        <v>1.291603952620902</v>
      </c>
      <c r="G1108" s="11">
        <f t="shared" si="107"/>
        <v>1.1918984816579852</v>
      </c>
      <c r="H1108" s="25">
        <f t="shared" si="102"/>
        <v>88.529895082796116</v>
      </c>
      <c r="I1108" s="26">
        <f>MAX($B$2:B1108)</f>
        <v>3501.8</v>
      </c>
      <c r="J1108" s="27">
        <f t="shared" si="103"/>
        <v>0</v>
      </c>
      <c r="K1108" s="10">
        <f>MAX($C$2:C1108)</f>
        <v>39.555</v>
      </c>
      <c r="L1108" s="11">
        <f t="shared" si="104"/>
        <v>0</v>
      </c>
    </row>
    <row r="1109" spans="1:12" x14ac:dyDescent="0.35">
      <c r="A1109" s="5" t="s">
        <v>2428</v>
      </c>
      <c r="B1109" s="22">
        <v>3455.1</v>
      </c>
      <c r="C1109" s="10">
        <v>39.503</v>
      </c>
      <c r="D1109" s="23">
        <f t="shared" si="105"/>
        <v>-1.3335998629276449E-2</v>
      </c>
      <c r="E1109" s="11">
        <f t="shared" si="106"/>
        <v>-1.3146252054101783E-3</v>
      </c>
      <c r="F1109" s="24">
        <f>(B1109-$B$2)/$B$2</f>
        <v>1.2610431254499053</v>
      </c>
      <c r="G1109" s="11">
        <f t="shared" si="107"/>
        <v>1.1890169566662974</v>
      </c>
      <c r="H1109" s="25">
        <f t="shared" si="102"/>
        <v>87.464243222033772</v>
      </c>
      <c r="I1109" s="26">
        <f>MAX($B$2:B1109)</f>
        <v>3501.8</v>
      </c>
      <c r="J1109" s="27">
        <f t="shared" si="103"/>
        <v>-1.3335998629276449E-2</v>
      </c>
      <c r="K1109" s="10">
        <f>MAX($C$2:C1109)</f>
        <v>39.555</v>
      </c>
      <c r="L1109" s="11">
        <f t="shared" si="104"/>
        <v>-1.3146252054101783E-3</v>
      </c>
    </row>
    <row r="1110" spans="1:12" x14ac:dyDescent="0.35">
      <c r="A1110" s="5" t="s">
        <v>2430</v>
      </c>
      <c r="B1110" s="22">
        <v>3431.1</v>
      </c>
      <c r="C1110" s="10">
        <v>39.223999999999997</v>
      </c>
      <c r="D1110" s="23">
        <f t="shared" si="105"/>
        <v>-6.9462533645914737E-3</v>
      </c>
      <c r="E1110" s="11">
        <f t="shared" si="106"/>
        <v>-7.0627547274891393E-3</v>
      </c>
      <c r="F1110" s="24">
        <f>(B1110-$B$2)/$B$2</f>
        <v>1.2453373470322624</v>
      </c>
      <c r="G1110" s="11">
        <f t="shared" si="107"/>
        <v>1.1735564668070486</v>
      </c>
      <c r="H1110" s="25">
        <f t="shared" si="102"/>
        <v>87.47450540485417</v>
      </c>
      <c r="I1110" s="26">
        <f>MAX($B$2:B1110)</f>
        <v>3501.8</v>
      </c>
      <c r="J1110" s="27">
        <f t="shared" si="103"/>
        <v>-2.0189616768519124E-2</v>
      </c>
      <c r="K1110" s="10">
        <f>MAX($C$2:C1110)</f>
        <v>39.555</v>
      </c>
      <c r="L1110" s="11">
        <f t="shared" si="104"/>
        <v>-8.3680950575149311E-3</v>
      </c>
    </row>
    <row r="1111" spans="1:12" x14ac:dyDescent="0.35">
      <c r="A1111" s="5" t="s">
        <v>2432</v>
      </c>
      <c r="B1111" s="22">
        <v>3354</v>
      </c>
      <c r="C1111" s="10">
        <v>38.042999999999999</v>
      </c>
      <c r="D1111" s="23">
        <f t="shared" si="105"/>
        <v>-2.2470927690827987E-2</v>
      </c>
      <c r="E1111" s="11">
        <f t="shared" si="106"/>
        <v>-3.0109116867224086E-2</v>
      </c>
      <c r="F1111" s="24">
        <f>(B1111-$B$2)/$B$2</f>
        <v>1.1948825338655849</v>
      </c>
      <c r="G1111" s="11">
        <f t="shared" si="107"/>
        <v>1.1081126011304445</v>
      </c>
      <c r="H1111" s="25">
        <f t="shared" si="102"/>
        <v>88.163394054096685</v>
      </c>
      <c r="I1111" s="26">
        <f>MAX($B$2:B1111)</f>
        <v>3501.8</v>
      </c>
      <c r="J1111" s="27">
        <f t="shared" si="103"/>
        <v>-4.2206865040836192E-2</v>
      </c>
      <c r="K1111" s="10">
        <f>MAX($C$2:C1111)</f>
        <v>39.555</v>
      </c>
      <c r="L1111" s="11">
        <f t="shared" si="104"/>
        <v>-3.8225255972696257E-2</v>
      </c>
    </row>
    <row r="1112" spans="1:12" x14ac:dyDescent="0.35">
      <c r="A1112" s="5" t="s">
        <v>2434</v>
      </c>
      <c r="B1112" s="22">
        <v>3368.3</v>
      </c>
      <c r="C1112" s="10">
        <v>38.100999999999999</v>
      </c>
      <c r="D1112" s="23">
        <f t="shared" si="105"/>
        <v>4.2635658914729228E-3</v>
      </c>
      <c r="E1112" s="11">
        <f t="shared" si="106"/>
        <v>1.5245905948531879E-3</v>
      </c>
      <c r="F1112" s="24">
        <f>(B1112-$B$2)/$B$2</f>
        <v>1.2042405601727637</v>
      </c>
      <c r="G1112" s="11">
        <f t="shared" si="107"/>
        <v>1.1113266097750194</v>
      </c>
      <c r="H1112" s="25">
        <f t="shared" si="102"/>
        <v>88.404503818797409</v>
      </c>
      <c r="I1112" s="26">
        <f>MAX($B$2:B1112)</f>
        <v>3501.8</v>
      </c>
      <c r="J1112" s="27">
        <f t="shared" si="103"/>
        <v>-3.8123250899537379E-2</v>
      </c>
      <c r="K1112" s="10">
        <f>MAX($C$2:C1112)</f>
        <v>39.555</v>
      </c>
      <c r="L1112" s="11">
        <f t="shared" si="104"/>
        <v>-3.6758943243584898E-2</v>
      </c>
    </row>
    <row r="1113" spans="1:12" x14ac:dyDescent="0.35">
      <c r="A1113" s="5" t="s">
        <v>2436</v>
      </c>
      <c r="B1113" s="22">
        <v>3352.8</v>
      </c>
      <c r="C1113" s="10">
        <v>37.738999999999997</v>
      </c>
      <c r="D1113" s="23">
        <f t="shared" si="105"/>
        <v>-4.6017278745954932E-3</v>
      </c>
      <c r="E1113" s="11">
        <f t="shared" si="106"/>
        <v>-9.50106296422671E-3</v>
      </c>
      <c r="F1113" s="24">
        <f>(B1113-$B$2)/$B$2</f>
        <v>1.1940972449447029</v>
      </c>
      <c r="G1113" s="11">
        <f t="shared" si="107"/>
        <v>1.0912667627174997</v>
      </c>
      <c r="H1113" s="25">
        <f t="shared" si="102"/>
        <v>88.841781711227128</v>
      </c>
      <c r="I1113" s="26">
        <f>MAX($B$2:B1113)</f>
        <v>3501.8</v>
      </c>
      <c r="J1113" s="27">
        <f t="shared" si="103"/>
        <v>-4.2549545947798272E-2</v>
      </c>
      <c r="K1113" s="10">
        <f>MAX($C$2:C1113)</f>
        <v>39.555</v>
      </c>
      <c r="L1113" s="11">
        <f t="shared" si="104"/>
        <v>-4.5910757173555874E-2</v>
      </c>
    </row>
    <row r="1114" spans="1:12" x14ac:dyDescent="0.35">
      <c r="A1114" s="5" t="s">
        <v>2438</v>
      </c>
      <c r="B1114" s="22">
        <v>3348.6</v>
      </c>
      <c r="C1114" s="10">
        <v>36.712000000000003</v>
      </c>
      <c r="D1114" s="23">
        <f t="shared" si="105"/>
        <v>-1.2526843235505466E-3</v>
      </c>
      <c r="E1114" s="11">
        <f t="shared" si="106"/>
        <v>-2.7213227695487268E-2</v>
      </c>
      <c r="F1114" s="24">
        <f>(B1114-$B$2)/$B$2</f>
        <v>1.1913487337216151</v>
      </c>
      <c r="G1114" s="11">
        <f t="shared" si="107"/>
        <v>1.0343566441316638</v>
      </c>
      <c r="H1114" s="25">
        <f t="shared" si="102"/>
        <v>91.212682501634333</v>
      </c>
      <c r="I1114" s="26">
        <f>MAX($B$2:B1114)</f>
        <v>3501.8</v>
      </c>
      <c r="J1114" s="27">
        <f t="shared" si="103"/>
        <v>-4.3748929122165818E-2</v>
      </c>
      <c r="K1114" s="10">
        <f>MAX($C$2:C1114)</f>
        <v>39.555</v>
      </c>
      <c r="L1114" s="11">
        <f t="shared" si="104"/>
        <v>-7.1874604980406945E-2</v>
      </c>
    </row>
    <row r="1115" spans="1:12" x14ac:dyDescent="0.35">
      <c r="A1115" s="5" t="s">
        <v>2440</v>
      </c>
      <c r="B1115" s="22">
        <v>3426.4</v>
      </c>
      <c r="C1115" s="10">
        <v>37.328000000000003</v>
      </c>
      <c r="D1115" s="23">
        <f t="shared" si="105"/>
        <v>2.3233590157080625E-2</v>
      </c>
      <c r="E1115" s="11">
        <f t="shared" si="106"/>
        <v>1.6779254739594671E-2</v>
      </c>
      <c r="F1115" s="24">
        <f>(B1115-$B$2)/$B$2</f>
        <v>1.2422616320921407</v>
      </c>
      <c r="G1115" s="11">
        <f t="shared" si="107"/>
        <v>1.068491632494736</v>
      </c>
      <c r="H1115" s="25">
        <f t="shared" si="102"/>
        <v>91.79168452636091</v>
      </c>
      <c r="I1115" s="26">
        <f>MAX($B$2:B1115)</f>
        <v>3501.8</v>
      </c>
      <c r="J1115" s="27">
        <f t="shared" si="103"/>
        <v>-2.1531783654120763E-2</v>
      </c>
      <c r="K1115" s="10">
        <f>MAX($C$2:C1115)</f>
        <v>39.555</v>
      </c>
      <c r="L1115" s="11">
        <f t="shared" si="104"/>
        <v>-5.6301352547086257E-2</v>
      </c>
    </row>
    <row r="1116" spans="1:12" x14ac:dyDescent="0.35">
      <c r="A1116" s="5" t="s">
        <v>2442</v>
      </c>
      <c r="B1116" s="22">
        <v>3434.7</v>
      </c>
      <c r="C1116" s="10">
        <v>37.823</v>
      </c>
      <c r="D1116" s="23">
        <f t="shared" si="105"/>
        <v>2.4223674994162175E-3</v>
      </c>
      <c r="E1116" s="11">
        <f t="shared" si="106"/>
        <v>1.3260822974710604E-2</v>
      </c>
      <c r="F1116" s="24">
        <f>(B1116-$B$2)/$B$2</f>
        <v>1.2476932137949088</v>
      </c>
      <c r="G1116" s="11">
        <f t="shared" si="107"/>
        <v>1.0959215338579187</v>
      </c>
      <c r="H1116" s="25">
        <f t="shared" si="102"/>
        <v>90.80982470983264</v>
      </c>
      <c r="I1116" s="26">
        <f>MAX($B$2:B1116)</f>
        <v>3501.8</v>
      </c>
      <c r="J1116" s="27">
        <f t="shared" si="103"/>
        <v>-1.9161574047632749E-2</v>
      </c>
      <c r="K1116" s="10">
        <f>MAX($C$2:C1116)</f>
        <v>39.555</v>
      </c>
      <c r="L1116" s="11">
        <f t="shared" si="104"/>
        <v>-4.3787131841739331E-2</v>
      </c>
    </row>
    <row r="1117" spans="1:12" x14ac:dyDescent="0.35">
      <c r="A1117" s="5" t="s">
        <v>2444</v>
      </c>
      <c r="B1117" s="22">
        <v>3433.4</v>
      </c>
      <c r="C1117" s="10">
        <v>37.902000000000001</v>
      </c>
      <c r="D1117" s="23">
        <f t="shared" si="105"/>
        <v>-3.7849011558497897E-4</v>
      </c>
      <c r="E1117" s="11">
        <f t="shared" si="106"/>
        <v>2.0886762023107799E-3</v>
      </c>
      <c r="F1117" s="24">
        <f>(B1117-$B$2)/$B$2</f>
        <v>1.2468424841306198</v>
      </c>
      <c r="G1117" s="11">
        <f t="shared" si="107"/>
        <v>1.1002992352875984</v>
      </c>
      <c r="H1117" s="25">
        <f t="shared" si="102"/>
        <v>90.586248746767978</v>
      </c>
      <c r="I1117" s="26">
        <f>MAX($B$2:B1117)</f>
        <v>3501.8</v>
      </c>
      <c r="J1117" s="27">
        <f t="shared" si="103"/>
        <v>-1.9532811696841651E-2</v>
      </c>
      <c r="K1117" s="10">
        <f>MAX($C$2:C1117)</f>
        <v>39.555</v>
      </c>
      <c r="L1117" s="11">
        <f t="shared" si="104"/>
        <v>-4.1789912779673838E-2</v>
      </c>
    </row>
    <row r="1118" spans="1:12" x14ac:dyDescent="0.35">
      <c r="A1118" s="5" t="s">
        <v>2445</v>
      </c>
      <c r="B1118" s="22">
        <v>3453.7</v>
      </c>
      <c r="C1118" s="10">
        <v>38.293999999999997</v>
      </c>
      <c r="D1118" s="23">
        <f t="shared" si="105"/>
        <v>5.912506553270731E-3</v>
      </c>
      <c r="E1118" s="11">
        <f t="shared" si="106"/>
        <v>1.0342462139200989E-2</v>
      </c>
      <c r="F1118" s="24">
        <f>(B1118-$B$2)/$B$2</f>
        <v>1.2601269550422094</v>
      </c>
      <c r="G1118" s="11">
        <f t="shared" si="107"/>
        <v>1.1220215006095533</v>
      </c>
      <c r="H1118" s="25">
        <f t="shared" si="102"/>
        <v>90.189063560871162</v>
      </c>
      <c r="I1118" s="26">
        <f>MAX($B$2:B1118)</f>
        <v>3501.8</v>
      </c>
      <c r="J1118" s="27">
        <f t="shared" si="103"/>
        <v>-1.3735793020732297E-2</v>
      </c>
      <c r="K1118" s="10">
        <f>MAX($C$2:C1118)</f>
        <v>39.555</v>
      </c>
      <c r="L1118" s="11">
        <f t="shared" si="104"/>
        <v>-3.1879661231197141E-2</v>
      </c>
    </row>
    <row r="1119" spans="1:12" x14ac:dyDescent="0.35">
      <c r="A1119" s="5" t="s">
        <v>2447</v>
      </c>
      <c r="B1119" s="22">
        <v>3404.7</v>
      </c>
      <c r="C1119" s="10">
        <v>37.786999999999999</v>
      </c>
      <c r="D1119" s="23">
        <f t="shared" si="105"/>
        <v>-1.4187682774994933E-2</v>
      </c>
      <c r="E1119" s="11">
        <f t="shared" si="106"/>
        <v>-1.3239672011281086E-2</v>
      </c>
      <c r="F1119" s="24">
        <f>(B1119-$B$2)/$B$2</f>
        <v>1.2280609907728552</v>
      </c>
      <c r="G1119" s="11">
        <f t="shared" si="107"/>
        <v>1.0939266319405963</v>
      </c>
      <c r="H1119" s="25">
        <f t="shared" si="102"/>
        <v>90.102416174874961</v>
      </c>
      <c r="I1119" s="26">
        <f>MAX($B$2:B1119)</f>
        <v>3501.8</v>
      </c>
      <c r="J1119" s="27">
        <f t="shared" si="103"/>
        <v>-2.7728596721686094E-2</v>
      </c>
      <c r="K1119" s="10">
        <f>MAX($C$2:C1119)</f>
        <v>39.555</v>
      </c>
      <c r="L1119" s="11">
        <f t="shared" si="104"/>
        <v>-4.4697256983946422E-2</v>
      </c>
    </row>
    <row r="1120" spans="1:12" x14ac:dyDescent="0.35">
      <c r="A1120" s="5" t="s">
        <v>2449</v>
      </c>
      <c r="B1120" s="22">
        <v>3399</v>
      </c>
      <c r="C1120" s="10">
        <v>38.002000000000002</v>
      </c>
      <c r="D1120" s="23">
        <f t="shared" si="105"/>
        <v>-1.6741563133315176E-3</v>
      </c>
      <c r="E1120" s="11">
        <f t="shared" si="106"/>
        <v>5.689787493053257E-3</v>
      </c>
      <c r="F1120" s="24">
        <f>(B1120-$B$2)/$B$2</f>
        <v>1.2243308683986651</v>
      </c>
      <c r="G1120" s="11">
        <f t="shared" si="107"/>
        <v>1.105840629502383</v>
      </c>
      <c r="H1120" s="25">
        <f t="shared" si="102"/>
        <v>89.442660912583548</v>
      </c>
      <c r="I1120" s="26">
        <f>MAX($B$2:B1120)</f>
        <v>3501.8</v>
      </c>
      <c r="J1120" s="27">
        <f t="shared" si="103"/>
        <v>-2.9356331029756176E-2</v>
      </c>
      <c r="K1120" s="10">
        <f>MAX($C$2:C1120)</f>
        <v>39.555</v>
      </c>
      <c r="L1120" s="11">
        <f t="shared" si="104"/>
        <v>-3.9261787384654211E-2</v>
      </c>
    </row>
    <row r="1121" spans="1:12" x14ac:dyDescent="0.35">
      <c r="A1121" s="5" t="s">
        <v>2451</v>
      </c>
      <c r="B1121" s="22">
        <v>3408.3</v>
      </c>
      <c r="C1121" s="10">
        <v>38.601999999999997</v>
      </c>
      <c r="D1121" s="23">
        <f t="shared" si="105"/>
        <v>2.7360988526037603E-3</v>
      </c>
      <c r="E1121" s="11">
        <f t="shared" si="106"/>
        <v>1.5788642703015481E-2</v>
      </c>
      <c r="F1121" s="24">
        <f>(B1121-$B$2)/$B$2</f>
        <v>1.2304168575355019</v>
      </c>
      <c r="G1121" s="11">
        <f t="shared" si="107"/>
        <v>1.1390889947910894</v>
      </c>
      <c r="H1121" s="25">
        <f t="shared" si="102"/>
        <v>88.293352676027155</v>
      </c>
      <c r="I1121" s="26">
        <f>MAX($B$2:B1121)</f>
        <v>3501.8</v>
      </c>
      <c r="J1121" s="27">
        <f t="shared" si="103"/>
        <v>-2.6700554000799587E-2</v>
      </c>
      <c r="K1121" s="10">
        <f>MAX($C$2:C1121)</f>
        <v>39.555</v>
      </c>
      <c r="L1121" s="11">
        <f t="shared" si="104"/>
        <v>-2.4093035014536798E-2</v>
      </c>
    </row>
    <row r="1122" spans="1:12" x14ac:dyDescent="0.35">
      <c r="A1122" s="5" t="s">
        <v>2453</v>
      </c>
      <c r="B1122" s="22">
        <v>3383.2</v>
      </c>
      <c r="C1122" s="10">
        <v>38.069000000000003</v>
      </c>
      <c r="D1122" s="23">
        <f t="shared" si="105"/>
        <v>-7.3643752017135706E-3</v>
      </c>
      <c r="E1122" s="11">
        <f t="shared" si="106"/>
        <v>-1.3807574737060105E-2</v>
      </c>
      <c r="F1122" s="24">
        <f>(B1122-$B$2)/$B$2</f>
        <v>1.2139912309403835</v>
      </c>
      <c r="G1122" s="11">
        <f t="shared" si="107"/>
        <v>1.1095533636262886</v>
      </c>
      <c r="H1122" s="25">
        <f t="shared" si="102"/>
        <v>88.870209356694417</v>
      </c>
      <c r="I1122" s="26">
        <f>MAX($B$2:B1122)</f>
        <v>3501.8</v>
      </c>
      <c r="J1122" s="27">
        <f t="shared" si="103"/>
        <v>-3.3868296304757656E-2</v>
      </c>
      <c r="K1122" s="10">
        <f>MAX($C$2:C1122)</f>
        <v>39.555</v>
      </c>
      <c r="L1122" s="11">
        <f t="shared" si="104"/>
        <v>-3.7567943369991079E-2</v>
      </c>
    </row>
    <row r="1123" spans="1:12" x14ac:dyDescent="0.35">
      <c r="A1123" s="5" t="s">
        <v>2455</v>
      </c>
      <c r="B1123" s="22">
        <v>3378</v>
      </c>
      <c r="C1123" s="10">
        <v>38.029000000000003</v>
      </c>
      <c r="D1123" s="23">
        <f t="shared" si="105"/>
        <v>-1.5370063844880049E-3</v>
      </c>
      <c r="E1123" s="11">
        <f t="shared" si="106"/>
        <v>-1.0507236859386678E-3</v>
      </c>
      <c r="F1123" s="24">
        <f>(B1123-$B$2)/$B$2</f>
        <v>1.2105883122832277</v>
      </c>
      <c r="G1123" s="11">
        <f t="shared" si="107"/>
        <v>1.1073368059403748</v>
      </c>
      <c r="H1123" s="25">
        <f t="shared" si="102"/>
        <v>88.826947855583882</v>
      </c>
      <c r="I1123" s="26">
        <f>MAX($B$2:B1123)</f>
        <v>3501.8</v>
      </c>
      <c r="J1123" s="27">
        <f t="shared" si="103"/>
        <v>-3.5353246901593513E-2</v>
      </c>
      <c r="K1123" s="10">
        <f>MAX($C$2:C1123)</f>
        <v>39.555</v>
      </c>
      <c r="L1123" s="11">
        <f t="shared" si="104"/>
        <v>-3.8579193527998892E-2</v>
      </c>
    </row>
    <row r="1124" spans="1:12" x14ac:dyDescent="0.35">
      <c r="A1124" s="5" t="s">
        <v>2457</v>
      </c>
      <c r="B1124" s="22">
        <v>3358.7</v>
      </c>
      <c r="C1124" s="10">
        <v>37.332000000000001</v>
      </c>
      <c r="D1124" s="23">
        <f t="shared" si="105"/>
        <v>-5.7134399052694443E-3</v>
      </c>
      <c r="E1124" s="11">
        <f t="shared" si="106"/>
        <v>-1.8328118015198996E-2</v>
      </c>
      <c r="F1124" s="24">
        <f>(B1124-$B$2)/$B$2</f>
        <v>1.1979582488057063</v>
      </c>
      <c r="G1124" s="11">
        <f t="shared" si="107"/>
        <v>1.0687132882633272</v>
      </c>
      <c r="H1124" s="25">
        <f t="shared" si="102"/>
        <v>89.968391728276004</v>
      </c>
      <c r="I1124" s="26">
        <f>MAX($B$2:B1124)</f>
        <v>3501.8</v>
      </c>
      <c r="J1124" s="27">
        <f t="shared" si="103"/>
        <v>-4.0864698155234552E-2</v>
      </c>
      <c r="K1124" s="10">
        <f>MAX($C$2:C1124)</f>
        <v>39.555</v>
      </c>
      <c r="L1124" s="11">
        <f t="shared" si="104"/>
        <v>-5.6200227531285528E-2</v>
      </c>
    </row>
    <row r="1125" spans="1:12" x14ac:dyDescent="0.35">
      <c r="A1125" s="5" t="s">
        <v>2459</v>
      </c>
      <c r="B1125" s="22">
        <v>3388.5</v>
      </c>
      <c r="C1125" s="10">
        <v>37.773000000000003</v>
      </c>
      <c r="D1125" s="23">
        <f t="shared" si="105"/>
        <v>8.8724804239736152E-3</v>
      </c>
      <c r="E1125" s="11">
        <f t="shared" si="106"/>
        <v>1.1812921890067569E-2</v>
      </c>
      <c r="F1125" s="24">
        <f>(B1125-$B$2)/$B$2</f>
        <v>1.2174595903409464</v>
      </c>
      <c r="G1125" s="11">
        <f t="shared" si="107"/>
        <v>1.0931508367505267</v>
      </c>
      <c r="H1125" s="25">
        <f t="shared" si="102"/>
        <v>89.706933523945665</v>
      </c>
      <c r="I1125" s="26">
        <f>MAX($B$2:B1125)</f>
        <v>3501.8</v>
      </c>
      <c r="J1125" s="27">
        <f t="shared" si="103"/>
        <v>-3.2354788965674848E-2</v>
      </c>
      <c r="K1125" s="10">
        <f>MAX($C$2:C1125)</f>
        <v>39.555</v>
      </c>
      <c r="L1125" s="11">
        <f t="shared" si="104"/>
        <v>-4.5051194539249058E-2</v>
      </c>
    </row>
    <row r="1126" spans="1:12" x14ac:dyDescent="0.35">
      <c r="A1126" s="5" t="s">
        <v>2461</v>
      </c>
      <c r="B1126" s="22">
        <v>3381.6</v>
      </c>
      <c r="C1126" s="10">
        <v>38.079000000000001</v>
      </c>
      <c r="D1126" s="23">
        <f t="shared" si="105"/>
        <v>-2.0362992474546528E-3</v>
      </c>
      <c r="E1126" s="11">
        <f t="shared" si="106"/>
        <v>8.1010245413389824E-3</v>
      </c>
      <c r="F1126" s="24">
        <f>(B1126-$B$2)/$B$2</f>
        <v>1.2129441790458739</v>
      </c>
      <c r="G1126" s="11">
        <f t="shared" si="107"/>
        <v>1.110107503047767</v>
      </c>
      <c r="H1126" s="25">
        <f t="shared" si="102"/>
        <v>88.804853068620503</v>
      </c>
      <c r="I1126" s="26">
        <f>MAX($B$2:B1126)</f>
        <v>3501.8</v>
      </c>
      <c r="J1126" s="27">
        <f t="shared" si="103"/>
        <v>-3.4325204180707142E-2</v>
      </c>
      <c r="K1126" s="10">
        <f>MAX($C$2:C1126)</f>
        <v>39.555</v>
      </c>
      <c r="L1126" s="11">
        <f t="shared" si="104"/>
        <v>-3.7315130830489172E-2</v>
      </c>
    </row>
    <row r="1127" spans="1:12" x14ac:dyDescent="0.35">
      <c r="A1127" s="5" t="s">
        <v>2463</v>
      </c>
      <c r="B1127" s="22">
        <v>3404.9</v>
      </c>
      <c r="C1127" s="10">
        <v>39.051000000000002</v>
      </c>
      <c r="D1127" s="23">
        <f t="shared" si="105"/>
        <v>6.8902294771706245E-3</v>
      </c>
      <c r="E1127" s="11">
        <f t="shared" si="106"/>
        <v>2.5525880406523316E-2</v>
      </c>
      <c r="F1127" s="24">
        <f>(B1127-$B$2)/$B$2</f>
        <v>1.228191872259669</v>
      </c>
      <c r="G1127" s="11">
        <f t="shared" si="107"/>
        <v>1.1639698548154718</v>
      </c>
      <c r="H1127" s="25">
        <f t="shared" si="102"/>
        <v>87.191109062508005</v>
      </c>
      <c r="I1127" s="26">
        <f>MAX($B$2:B1127)</f>
        <v>3501.8</v>
      </c>
      <c r="J1127" s="27">
        <f t="shared" si="103"/>
        <v>-2.7671483237192325E-2</v>
      </c>
      <c r="K1127" s="10">
        <f>MAX($C$2:C1127)</f>
        <v>39.555</v>
      </c>
      <c r="L1127" s="11">
        <f t="shared" si="104"/>
        <v>-1.2741751990898692E-2</v>
      </c>
    </row>
    <row r="1128" spans="1:12" x14ac:dyDescent="0.35">
      <c r="A1128" s="5" t="s">
        <v>2465</v>
      </c>
      <c r="B1128" s="22">
        <v>3420.1</v>
      </c>
      <c r="C1128" s="10">
        <v>38.954999999999998</v>
      </c>
      <c r="D1128" s="23">
        <f t="shared" si="105"/>
        <v>4.464154600722435E-3</v>
      </c>
      <c r="E1128" s="11">
        <f t="shared" si="106"/>
        <v>-2.4583237305063543E-3</v>
      </c>
      <c r="F1128" s="24">
        <f>(B1128-$B$2)/$B$2</f>
        <v>1.2381388652575094</v>
      </c>
      <c r="G1128" s="11">
        <f t="shared" si="107"/>
        <v>1.1586501163692784</v>
      </c>
      <c r="H1128" s="25">
        <f t="shared" si="102"/>
        <v>87.796175073803113</v>
      </c>
      <c r="I1128" s="26">
        <f>MAX($B$2:B1128)</f>
        <v>3501.8</v>
      </c>
      <c r="J1128" s="27">
        <f t="shared" si="103"/>
        <v>-2.3330858415672017E-2</v>
      </c>
      <c r="K1128" s="10">
        <f>MAX($C$2:C1128)</f>
        <v>39.555</v>
      </c>
      <c r="L1128" s="11">
        <f t="shared" si="104"/>
        <v>-1.5168752370117593E-2</v>
      </c>
    </row>
    <row r="1129" spans="1:12" x14ac:dyDescent="0.35">
      <c r="A1129" s="5" t="s">
        <v>2467</v>
      </c>
      <c r="B1129" s="22">
        <v>3435.7</v>
      </c>
      <c r="C1129" s="10">
        <v>39.055999999999997</v>
      </c>
      <c r="D1129" s="23">
        <f t="shared" si="105"/>
        <v>4.5612701383000234E-3</v>
      </c>
      <c r="E1129" s="11">
        <f t="shared" si="106"/>
        <v>2.5927352072904401E-3</v>
      </c>
      <c r="F1129" s="24">
        <f>(B1129-$B$2)/$B$2</f>
        <v>1.2483476212289772</v>
      </c>
      <c r="G1129" s="11">
        <f t="shared" si="107"/>
        <v>1.1642469245262108</v>
      </c>
      <c r="H1129" s="25">
        <f t="shared" si="102"/>
        <v>87.968557968045886</v>
      </c>
      <c r="I1129" s="26">
        <f>MAX($B$2:B1129)</f>
        <v>3501.8</v>
      </c>
      <c r="J1129" s="27">
        <f t="shared" si="103"/>
        <v>-1.8876006625164303E-2</v>
      </c>
      <c r="K1129" s="10">
        <f>MAX($C$2:C1129)</f>
        <v>39.555</v>
      </c>
      <c r="L1129" s="11">
        <f t="shared" si="104"/>
        <v>-1.2615345721147827E-2</v>
      </c>
    </row>
    <row r="1130" spans="1:12" x14ac:dyDescent="0.35">
      <c r="A1130" s="5" t="s">
        <v>2469</v>
      </c>
      <c r="B1130" s="22">
        <v>3474.3</v>
      </c>
      <c r="C1130" s="10">
        <v>39.703000000000003</v>
      </c>
      <c r="D1130" s="23">
        <f t="shared" si="105"/>
        <v>1.1234973949995741E-2</v>
      </c>
      <c r="E1130" s="11">
        <f t="shared" si="106"/>
        <v>1.6565956575174252E-2</v>
      </c>
      <c r="F1130" s="24">
        <f>(B1130-$B$2)/$B$2</f>
        <v>1.2736077481840196</v>
      </c>
      <c r="G1130" s="11">
        <f t="shared" si="107"/>
        <v>1.2000997450958664</v>
      </c>
      <c r="H1130" s="25">
        <f t="shared" si="102"/>
        <v>87.507241266403042</v>
      </c>
      <c r="I1130" s="26">
        <f>MAX($B$2:B1130)</f>
        <v>3501.8</v>
      </c>
      <c r="J1130" s="27">
        <f t="shared" si="103"/>
        <v>-7.8531041178822314E-3</v>
      </c>
      <c r="K1130" s="10">
        <f>MAX($C$2:C1130)</f>
        <v>39.703000000000003</v>
      </c>
      <c r="L1130" s="11">
        <f t="shared" si="104"/>
        <v>0</v>
      </c>
    </row>
    <row r="1131" spans="1:12" x14ac:dyDescent="0.35">
      <c r="A1131" s="5" t="s">
        <v>2471</v>
      </c>
      <c r="B1131" s="22">
        <v>3512</v>
      </c>
      <c r="C1131" s="10">
        <v>40.661999999999999</v>
      </c>
      <c r="D1131" s="23">
        <f t="shared" si="105"/>
        <v>1.0851106697752012E-2</v>
      </c>
      <c r="E1131" s="11">
        <f t="shared" si="106"/>
        <v>2.4154346019192405E-2</v>
      </c>
      <c r="F1131" s="24">
        <f>(B1131-$B$2)/$B$2</f>
        <v>1.2982789084484001</v>
      </c>
      <c r="G1131" s="11">
        <f t="shared" si="107"/>
        <v>1.253241715615649</v>
      </c>
      <c r="H1131" s="25">
        <f t="shared" si="102"/>
        <v>86.370567114259018</v>
      </c>
      <c r="I1131" s="26">
        <f>MAX($B$2:B1131)</f>
        <v>3512</v>
      </c>
      <c r="J1131" s="27">
        <f t="shared" si="103"/>
        <v>0</v>
      </c>
      <c r="K1131" s="10">
        <f>MAX($C$2:C1131)</f>
        <v>40.661999999999999</v>
      </c>
      <c r="L1131" s="11">
        <f t="shared" si="104"/>
        <v>0</v>
      </c>
    </row>
    <row r="1132" spans="1:12" x14ac:dyDescent="0.35">
      <c r="A1132" s="5" t="s">
        <v>2473</v>
      </c>
      <c r="B1132" s="22">
        <v>3592.2</v>
      </c>
      <c r="C1132" s="10">
        <v>41.591999999999999</v>
      </c>
      <c r="D1132" s="23">
        <f t="shared" si="105"/>
        <v>2.2835990888382635E-2</v>
      </c>
      <c r="E1132" s="11">
        <f t="shared" si="106"/>
        <v>2.2871477054743981E-2</v>
      </c>
      <c r="F1132" s="24">
        <f>(B1132-$B$2)/$B$2</f>
        <v>1.3507623846606898</v>
      </c>
      <c r="G1132" s="11">
        <f t="shared" si="107"/>
        <v>1.3047766818131441</v>
      </c>
      <c r="H1132" s="25">
        <f t="shared" si="102"/>
        <v>86.367570686670518</v>
      </c>
      <c r="I1132" s="26">
        <f>MAX($B$2:B1132)</f>
        <v>3592.2</v>
      </c>
      <c r="J1132" s="27">
        <f t="shared" si="103"/>
        <v>0</v>
      </c>
      <c r="K1132" s="10">
        <f>MAX($C$2:C1132)</f>
        <v>41.591999999999999</v>
      </c>
      <c r="L1132" s="11">
        <f t="shared" si="104"/>
        <v>0</v>
      </c>
    </row>
    <row r="1133" spans="1:12" x14ac:dyDescent="0.35">
      <c r="A1133" s="5" t="s">
        <v>2475</v>
      </c>
      <c r="B1133" s="22">
        <v>3635.5</v>
      </c>
      <c r="C1133" s="10">
        <v>42.06</v>
      </c>
      <c r="D1133" s="23">
        <f t="shared" si="105"/>
        <v>1.2053894549301315E-2</v>
      </c>
      <c r="E1133" s="11">
        <f t="shared" si="106"/>
        <v>1.1252163877668867E-2</v>
      </c>
      <c r="F1133" s="24">
        <f>(B1133-$B$2)/$B$2</f>
        <v>1.3790982265558538</v>
      </c>
      <c r="G1133" s="11">
        <f t="shared" si="107"/>
        <v>1.3307104067383355</v>
      </c>
      <c r="H1133" s="25">
        <f t="shared" si="102"/>
        <v>86.436043747028052</v>
      </c>
      <c r="I1133" s="26">
        <f>MAX($B$2:B1133)</f>
        <v>3635.5</v>
      </c>
      <c r="J1133" s="27">
        <f t="shared" si="103"/>
        <v>0</v>
      </c>
      <c r="K1133" s="10">
        <f>MAX($C$2:C1133)</f>
        <v>42.06</v>
      </c>
      <c r="L1133" s="11">
        <f t="shared" si="104"/>
        <v>0</v>
      </c>
    </row>
    <row r="1134" spans="1:12" x14ac:dyDescent="0.35">
      <c r="A1134" s="5" t="s">
        <v>2477</v>
      </c>
      <c r="B1134" s="22">
        <v>3606.7</v>
      </c>
      <c r="C1134" s="10">
        <v>41.417000000000002</v>
      </c>
      <c r="D1134" s="23">
        <f t="shared" si="105"/>
        <v>-7.9218814468436753E-3</v>
      </c>
      <c r="E1134" s="11">
        <f t="shared" si="106"/>
        <v>-1.5287684260580138E-2</v>
      </c>
      <c r="F1134" s="24">
        <f>(B1134-$B$2)/$B$2</f>
        <v>1.3602512924546823</v>
      </c>
      <c r="G1134" s="11">
        <f t="shared" si="107"/>
        <v>1.2950792419372716</v>
      </c>
      <c r="H1134" s="25">
        <f t="shared" si="102"/>
        <v>87.082598932805368</v>
      </c>
      <c r="I1134" s="26">
        <f>MAX($B$2:B1134)</f>
        <v>3635.5</v>
      </c>
      <c r="J1134" s="27">
        <f t="shared" si="103"/>
        <v>-7.9218814468436753E-3</v>
      </c>
      <c r="K1134" s="10">
        <f>MAX($C$2:C1134)</f>
        <v>42.06</v>
      </c>
      <c r="L1134" s="11">
        <f t="shared" si="104"/>
        <v>-1.5287684260580138E-2</v>
      </c>
    </row>
    <row r="1135" spans="1:12" x14ac:dyDescent="0.35">
      <c r="A1135" s="5" t="s">
        <v>2479</v>
      </c>
      <c r="B1135" s="22">
        <v>3677.4</v>
      </c>
      <c r="C1135" s="10">
        <v>41.902000000000001</v>
      </c>
      <c r="D1135" s="23">
        <f t="shared" si="105"/>
        <v>1.9602406632101443E-2</v>
      </c>
      <c r="E1135" s="11">
        <f t="shared" si="106"/>
        <v>1.1710167322596988E-2</v>
      </c>
      <c r="F1135" s="24">
        <f>(B1135-$B$2)/$B$2</f>
        <v>1.4065178980433219</v>
      </c>
      <c r="G1135" s="11">
        <f t="shared" si="107"/>
        <v>1.321955003878976</v>
      </c>
      <c r="H1135" s="25">
        <f t="shared" si="102"/>
        <v>87.761920672044297</v>
      </c>
      <c r="I1135" s="26">
        <f>MAX($B$2:B1135)</f>
        <v>3677.4</v>
      </c>
      <c r="J1135" s="27">
        <f t="shared" si="103"/>
        <v>0</v>
      </c>
      <c r="K1135" s="10">
        <f>MAX($C$2:C1135)</f>
        <v>42.06</v>
      </c>
      <c r="L1135" s="11">
        <f t="shared" si="104"/>
        <v>-3.7565382786495776E-3</v>
      </c>
    </row>
    <row r="1136" spans="1:12" x14ac:dyDescent="0.35">
      <c r="A1136" s="5" t="s">
        <v>2481</v>
      </c>
      <c r="B1136" s="22">
        <v>3682.2</v>
      </c>
      <c r="C1136" s="10">
        <v>41.341000000000001</v>
      </c>
      <c r="D1136" s="23">
        <f t="shared" si="105"/>
        <v>1.3052700277369138E-3</v>
      </c>
      <c r="E1136" s="11">
        <f t="shared" si="106"/>
        <v>-1.3388382416113788E-2</v>
      </c>
      <c r="F1136" s="24">
        <f>(B1136-$B$2)/$B$2</f>
        <v>1.4096590537268503</v>
      </c>
      <c r="G1136" s="11">
        <f t="shared" si="107"/>
        <v>1.2908677823340353</v>
      </c>
      <c r="H1136" s="25">
        <f t="shared" si="102"/>
        <v>89.068963014924648</v>
      </c>
      <c r="I1136" s="26">
        <f>MAX($B$2:B1136)</f>
        <v>3682.2</v>
      </c>
      <c r="J1136" s="27">
        <f t="shared" si="103"/>
        <v>0</v>
      </c>
      <c r="K1136" s="10">
        <f>MAX($C$2:C1136)</f>
        <v>42.06</v>
      </c>
      <c r="L1136" s="11">
        <f t="shared" si="104"/>
        <v>-1.7094626723728034E-2</v>
      </c>
    </row>
    <row r="1137" spans="1:12" x14ac:dyDescent="0.35">
      <c r="A1137" s="5" t="s">
        <v>2483</v>
      </c>
      <c r="B1137" s="22">
        <v>3682</v>
      </c>
      <c r="C1137" s="10">
        <v>41.6</v>
      </c>
      <c r="D1137" s="23">
        <f t="shared" si="105"/>
        <v>-5.4315354950795208E-5</v>
      </c>
      <c r="E1137" s="11">
        <f t="shared" si="106"/>
        <v>6.2649669819307792E-3</v>
      </c>
      <c r="F1137" s="24">
        <f>(B1137-$B$2)/$B$2</f>
        <v>1.4095281722400368</v>
      </c>
      <c r="G1137" s="11">
        <f t="shared" si="107"/>
        <v>1.305219993350327</v>
      </c>
      <c r="H1137" s="25">
        <f t="shared" si="102"/>
        <v>88.509615384615387</v>
      </c>
      <c r="I1137" s="26">
        <f>MAX($B$2:B1137)</f>
        <v>3682.2</v>
      </c>
      <c r="J1137" s="27">
        <f t="shared" si="103"/>
        <v>-5.4315354950795208E-5</v>
      </c>
      <c r="K1137" s="10">
        <f>MAX($C$2:C1137)</f>
        <v>42.06</v>
      </c>
      <c r="L1137" s="11">
        <f t="shared" si="104"/>
        <v>-1.0936757013789844E-2</v>
      </c>
    </row>
    <row r="1138" spans="1:12" x14ac:dyDescent="0.35">
      <c r="A1138" s="5" t="s">
        <v>2484</v>
      </c>
      <c r="B1138" s="22">
        <v>3673.6</v>
      </c>
      <c r="C1138" s="10">
        <v>42.149000000000001</v>
      </c>
      <c r="D1138" s="23">
        <f t="shared" si="105"/>
        <v>-2.2813688212928005E-3</v>
      </c>
      <c r="E1138" s="11">
        <f t="shared" si="106"/>
        <v>1.3197115384615371E-2</v>
      </c>
      <c r="F1138" s="24">
        <f>(B1138-$B$2)/$B$2</f>
        <v>1.4040311497938618</v>
      </c>
      <c r="G1138" s="11">
        <f t="shared" si="107"/>
        <v>1.3356422475894936</v>
      </c>
      <c r="H1138" s="25">
        <f t="shared" si="102"/>
        <v>87.157465183041111</v>
      </c>
      <c r="I1138" s="26">
        <f>MAX($B$2:B1138)</f>
        <v>3682.2</v>
      </c>
      <c r="J1138" s="27">
        <f t="shared" si="103"/>
        <v>-2.3355602628862934E-3</v>
      </c>
      <c r="K1138" s="10">
        <f>MAX($C$2:C1138)</f>
        <v>42.149000000000001</v>
      </c>
      <c r="L1138" s="11">
        <f t="shared" si="104"/>
        <v>0</v>
      </c>
    </row>
    <row r="1139" spans="1:12" x14ac:dyDescent="0.35">
      <c r="A1139" s="5" t="s">
        <v>2486</v>
      </c>
      <c r="B1139" s="22">
        <v>3719</v>
      </c>
      <c r="C1139" s="10">
        <v>42.962000000000003</v>
      </c>
      <c r="D1139" s="23">
        <f t="shared" si="105"/>
        <v>1.2358449477351941E-2</v>
      </c>
      <c r="E1139" s="11">
        <f t="shared" si="106"/>
        <v>1.9288713848489937E-2</v>
      </c>
      <c r="F1139" s="24">
        <f>(B1139-$B$2)/$B$2</f>
        <v>1.4337412473005695</v>
      </c>
      <c r="G1139" s="11">
        <f t="shared" si="107"/>
        <v>1.3806937825556913</v>
      </c>
      <c r="H1139" s="25">
        <f t="shared" si="102"/>
        <v>86.564871281597689</v>
      </c>
      <c r="I1139" s="26">
        <f>MAX($B$2:B1139)</f>
        <v>3719</v>
      </c>
      <c r="J1139" s="27">
        <f t="shared" si="103"/>
        <v>0</v>
      </c>
      <c r="K1139" s="10">
        <f>MAX($C$2:C1139)</f>
        <v>42.962000000000003</v>
      </c>
      <c r="L1139" s="11">
        <f t="shared" si="104"/>
        <v>0</v>
      </c>
    </row>
    <row r="1140" spans="1:12" x14ac:dyDescent="0.35">
      <c r="A1140" s="5" t="s">
        <v>2488</v>
      </c>
      <c r="B1140" s="22">
        <v>3725.1</v>
      </c>
      <c r="C1140" s="10">
        <v>42.917000000000002</v>
      </c>
      <c r="D1140" s="23">
        <f t="shared" si="105"/>
        <v>1.6402258671685693E-3</v>
      </c>
      <c r="E1140" s="11">
        <f t="shared" si="106"/>
        <v>-1.0474372701457498E-3</v>
      </c>
      <c r="F1140" s="24">
        <f>(B1140-$B$2)/$B$2</f>
        <v>1.4377331326483869</v>
      </c>
      <c r="G1140" s="11">
        <f t="shared" si="107"/>
        <v>1.3782001551590382</v>
      </c>
      <c r="H1140" s="25">
        <f t="shared" si="102"/>
        <v>86.797772444485858</v>
      </c>
      <c r="I1140" s="26">
        <f>MAX($B$2:B1140)</f>
        <v>3725.1</v>
      </c>
      <c r="J1140" s="27">
        <f t="shared" si="103"/>
        <v>0</v>
      </c>
      <c r="K1140" s="10">
        <f>MAX($C$2:C1140)</f>
        <v>42.962000000000003</v>
      </c>
      <c r="L1140" s="11">
        <f t="shared" si="104"/>
        <v>-1.0474372701457498E-3</v>
      </c>
    </row>
    <row r="1141" spans="1:12" x14ac:dyDescent="0.35">
      <c r="A1141" s="5" t="s">
        <v>2490</v>
      </c>
      <c r="B1141" s="22">
        <v>3717.8</v>
      </c>
      <c r="C1141" s="10">
        <v>42.152000000000001</v>
      </c>
      <c r="D1141" s="23">
        <f t="shared" si="105"/>
        <v>-1.9596789347936234E-3</v>
      </c>
      <c r="E1141" s="11">
        <f t="shared" si="106"/>
        <v>-1.78251042710348E-2</v>
      </c>
      <c r="F1141" s="24">
        <f>(B1141-$B$2)/$B$2</f>
        <v>1.4329559583796874</v>
      </c>
      <c r="G1141" s="11">
        <f t="shared" si="107"/>
        <v>1.3358084894159372</v>
      </c>
      <c r="H1141" s="25">
        <f t="shared" si="102"/>
        <v>88.199848168532924</v>
      </c>
      <c r="I1141" s="26">
        <f>MAX($B$2:B1141)</f>
        <v>3725.1</v>
      </c>
      <c r="J1141" s="27">
        <f t="shared" si="103"/>
        <v>-1.9596789347936234E-3</v>
      </c>
      <c r="K1141" s="10">
        <f>MAX($C$2:C1141)</f>
        <v>42.962000000000003</v>
      </c>
      <c r="L1141" s="11">
        <f t="shared" si="104"/>
        <v>-1.8853870862622836E-2</v>
      </c>
    </row>
    <row r="1142" spans="1:12" x14ac:dyDescent="0.35">
      <c r="A1142" s="5" t="s">
        <v>2492</v>
      </c>
      <c r="B1142" s="22">
        <v>3678.3</v>
      </c>
      <c r="C1142" s="10">
        <v>42.118000000000002</v>
      </c>
      <c r="D1142" s="23">
        <f t="shared" si="105"/>
        <v>-1.0624562913551024E-2</v>
      </c>
      <c r="E1142" s="11">
        <f t="shared" si="106"/>
        <v>-8.0660466881758686E-4</v>
      </c>
      <c r="F1142" s="24">
        <f>(B1142-$B$2)/$B$2</f>
        <v>1.4071068647339837</v>
      </c>
      <c r="G1142" s="11">
        <f t="shared" si="107"/>
        <v>1.3339244153829106</v>
      </c>
      <c r="H1142" s="25">
        <f t="shared" si="102"/>
        <v>87.333206704971744</v>
      </c>
      <c r="I1142" s="26">
        <f>MAX($B$2:B1142)</f>
        <v>3725.1</v>
      </c>
      <c r="J1142" s="27">
        <f t="shared" si="103"/>
        <v>-1.2563421116211572E-2</v>
      </c>
      <c r="K1142" s="10">
        <f>MAX($C$2:C1142)</f>
        <v>42.962000000000003</v>
      </c>
      <c r="L1142" s="11">
        <f t="shared" si="104"/>
        <v>-1.9645267911177346E-2</v>
      </c>
    </row>
    <row r="1143" spans="1:12" x14ac:dyDescent="0.35">
      <c r="A1143" s="5" t="s">
        <v>2494</v>
      </c>
      <c r="B1143" s="22">
        <v>3761.6</v>
      </c>
      <c r="C1143" s="10">
        <v>44.043999999999997</v>
      </c>
      <c r="D1143" s="23">
        <f t="shared" si="105"/>
        <v>2.264633118560197E-2</v>
      </c>
      <c r="E1143" s="11">
        <f t="shared" si="106"/>
        <v>4.5728667078208718E-2</v>
      </c>
      <c r="F1143" s="24">
        <f>(B1143-$B$2)/$B$2</f>
        <v>1.4616190039918855</v>
      </c>
      <c r="G1143" s="11">
        <f t="shared" si="107"/>
        <v>1.4406516679596586</v>
      </c>
      <c r="H1143" s="25">
        <f t="shared" si="102"/>
        <v>85.405503587321775</v>
      </c>
      <c r="I1143" s="26">
        <f>MAX($B$2:B1143)</f>
        <v>3761.6</v>
      </c>
      <c r="J1143" s="27">
        <f t="shared" si="103"/>
        <v>0</v>
      </c>
      <c r="K1143" s="10">
        <f>MAX($C$2:C1143)</f>
        <v>44.043999999999997</v>
      </c>
      <c r="L1143" s="11">
        <f t="shared" si="104"/>
        <v>0</v>
      </c>
    </row>
    <row r="1144" spans="1:12" x14ac:dyDescent="0.35">
      <c r="A1144" s="5" t="s">
        <v>2496</v>
      </c>
      <c r="B1144" s="22">
        <v>3801.8</v>
      </c>
      <c r="C1144" s="10">
        <v>44.436999999999998</v>
      </c>
      <c r="D1144" s="23">
        <f t="shared" si="105"/>
        <v>1.0686941726924786E-2</v>
      </c>
      <c r="E1144" s="11">
        <f t="shared" si="106"/>
        <v>8.9228952865316666E-3</v>
      </c>
      <c r="F1144" s="24">
        <f>(B1144-$B$2)/$B$2</f>
        <v>1.4879261828414374</v>
      </c>
      <c r="G1144" s="11">
        <f t="shared" si="107"/>
        <v>1.4624293472237615</v>
      </c>
      <c r="H1144" s="25">
        <f t="shared" si="102"/>
        <v>85.554830434097724</v>
      </c>
      <c r="I1144" s="26">
        <f>MAX($B$2:B1144)</f>
        <v>3801.8</v>
      </c>
      <c r="J1144" s="27">
        <f t="shared" si="103"/>
        <v>0</v>
      </c>
      <c r="K1144" s="10">
        <f>MAX($C$2:C1144)</f>
        <v>44.436999999999998</v>
      </c>
      <c r="L1144" s="11">
        <f t="shared" si="104"/>
        <v>0</v>
      </c>
    </row>
    <row r="1145" spans="1:12" x14ac:dyDescent="0.35">
      <c r="A1145" s="5" t="s">
        <v>2498</v>
      </c>
      <c r="B1145" s="22">
        <v>3753.4</v>
      </c>
      <c r="C1145" s="10">
        <v>44.02</v>
      </c>
      <c r="D1145" s="23">
        <f t="shared" si="105"/>
        <v>-1.2730811720763872E-2</v>
      </c>
      <c r="E1145" s="11">
        <f t="shared" si="106"/>
        <v>-9.3840718320317412E-3</v>
      </c>
      <c r="F1145" s="24">
        <f>(B1145-$B$2)/$B$2</f>
        <v>1.4562528630325242</v>
      </c>
      <c r="G1145" s="11">
        <f t="shared" si="107"/>
        <v>1.4393217333481105</v>
      </c>
      <c r="H1145" s="25">
        <f t="shared" si="102"/>
        <v>85.265788278055425</v>
      </c>
      <c r="I1145" s="26">
        <f>MAX($B$2:B1145)</f>
        <v>3801.8</v>
      </c>
      <c r="J1145" s="27">
        <f t="shared" si="103"/>
        <v>-1.2730811720763872E-2</v>
      </c>
      <c r="K1145" s="10">
        <f>MAX($C$2:C1145)</f>
        <v>44.436999999999998</v>
      </c>
      <c r="L1145" s="11">
        <f t="shared" si="104"/>
        <v>-9.3840718320317412E-3</v>
      </c>
    </row>
    <row r="1146" spans="1:12" x14ac:dyDescent="0.35">
      <c r="A1146" s="5" t="s">
        <v>2500</v>
      </c>
      <c r="B1146" s="22">
        <v>3756.5</v>
      </c>
      <c r="C1146" s="10">
        <v>44.933</v>
      </c>
      <c r="D1146" s="23">
        <f t="shared" si="105"/>
        <v>8.2591783449669875E-4</v>
      </c>
      <c r="E1146" s="11">
        <f t="shared" si="106"/>
        <v>2.0740572467060351E-2</v>
      </c>
      <c r="F1146" s="24">
        <f>(B1146-$B$2)/$B$2</f>
        <v>1.4582815260781363</v>
      </c>
      <c r="G1146" s="11">
        <f t="shared" si="107"/>
        <v>1.4899146625290924</v>
      </c>
      <c r="H1146" s="25">
        <f t="shared" si="102"/>
        <v>83.602252242227323</v>
      </c>
      <c r="I1146" s="26">
        <f>MAX($B$2:B1146)</f>
        <v>3801.8</v>
      </c>
      <c r="J1146" s="27">
        <f t="shared" si="103"/>
        <v>-1.1915408490714971E-2</v>
      </c>
      <c r="K1146" s="10">
        <f>MAX($C$2:C1146)</f>
        <v>44.933</v>
      </c>
      <c r="L1146" s="11">
        <f t="shared" si="104"/>
        <v>0</v>
      </c>
    </row>
    <row r="1147" spans="1:12" x14ac:dyDescent="0.35">
      <c r="A1147" s="5" t="s">
        <v>2501</v>
      </c>
      <c r="B1147" s="22">
        <v>3855.2</v>
      </c>
      <c r="C1147" s="10">
        <v>47.015999999999998</v>
      </c>
      <c r="D1147" s="23">
        <f t="shared" si="105"/>
        <v>2.6274457606814804E-2</v>
      </c>
      <c r="E1147" s="11">
        <f t="shared" si="106"/>
        <v>4.6357910666993046E-2</v>
      </c>
      <c r="F1147" s="24">
        <f>(B1147-$B$2)/$B$2</f>
        <v>1.5228715398206925</v>
      </c>
      <c r="G1147" s="11">
        <f t="shared" si="107"/>
        <v>1.6053419040230521</v>
      </c>
      <c r="H1147" s="25">
        <f t="shared" si="102"/>
        <v>81.99761783222732</v>
      </c>
      <c r="I1147" s="26">
        <f>MAX($B$2:B1147)</f>
        <v>3855.2</v>
      </c>
      <c r="J1147" s="27">
        <f t="shared" si="103"/>
        <v>0</v>
      </c>
      <c r="K1147" s="10">
        <f>MAX($C$2:C1147)</f>
        <v>47.015999999999998</v>
      </c>
      <c r="L1147" s="11">
        <f t="shared" si="104"/>
        <v>0</v>
      </c>
    </row>
    <row r="1148" spans="1:12" x14ac:dyDescent="0.35">
      <c r="A1148" s="5" t="s">
        <v>2503</v>
      </c>
      <c r="B1148" s="22">
        <v>3873.2</v>
      </c>
      <c r="C1148" s="10">
        <v>46.64</v>
      </c>
      <c r="D1148" s="23">
        <f t="shared" si="105"/>
        <v>4.6690184685619423E-3</v>
      </c>
      <c r="E1148" s="11">
        <f t="shared" si="106"/>
        <v>-7.9972775225454675E-3</v>
      </c>
      <c r="F1148" s="24">
        <f>(B1148-$B$2)/$B$2</f>
        <v>1.5346508736339246</v>
      </c>
      <c r="G1148" s="11">
        <f t="shared" si="107"/>
        <v>1.5845062617754628</v>
      </c>
      <c r="H1148" s="25">
        <f t="shared" si="102"/>
        <v>83.044596912521442</v>
      </c>
      <c r="I1148" s="26">
        <f>MAX($B$2:B1148)</f>
        <v>3873.2</v>
      </c>
      <c r="J1148" s="27">
        <f t="shared" si="103"/>
        <v>0</v>
      </c>
      <c r="K1148" s="10">
        <f>MAX($C$2:C1148)</f>
        <v>47.015999999999998</v>
      </c>
      <c r="L1148" s="11">
        <f t="shared" si="104"/>
        <v>-7.9972775225454675E-3</v>
      </c>
    </row>
    <row r="1149" spans="1:12" x14ac:dyDescent="0.35">
      <c r="A1149" s="5" t="s">
        <v>2505</v>
      </c>
      <c r="B1149" s="22">
        <v>3897.5</v>
      </c>
      <c r="C1149" s="10">
        <v>47.679000000000002</v>
      </c>
      <c r="D1149" s="23">
        <f t="shared" si="105"/>
        <v>6.2738820613446721E-3</v>
      </c>
      <c r="E1149" s="11">
        <f t="shared" si="106"/>
        <v>2.2277015437392828E-2</v>
      </c>
      <c r="F1149" s="24">
        <f>(B1149-$B$2)/$B$2</f>
        <v>1.5505529742817881</v>
      </c>
      <c r="G1149" s="11">
        <f t="shared" si="107"/>
        <v>1.6420813476670733</v>
      </c>
      <c r="H1149" s="25">
        <f t="shared" si="102"/>
        <v>81.744583569286263</v>
      </c>
      <c r="I1149" s="26">
        <f>MAX($B$2:B1149)</f>
        <v>3897.5</v>
      </c>
      <c r="J1149" s="27">
        <f t="shared" si="103"/>
        <v>0</v>
      </c>
      <c r="K1149" s="10">
        <f>MAX($C$2:C1149)</f>
        <v>47.679000000000002</v>
      </c>
      <c r="L1149" s="11">
        <f t="shared" si="104"/>
        <v>0</v>
      </c>
    </row>
    <row r="1150" spans="1:12" x14ac:dyDescent="0.35">
      <c r="A1150" s="5" t="s">
        <v>2507</v>
      </c>
      <c r="B1150" s="22">
        <v>3868.1</v>
      </c>
      <c r="C1150" s="10">
        <v>46.369</v>
      </c>
      <c r="D1150" s="23">
        <f t="shared" si="105"/>
        <v>-7.5432969852469766E-3</v>
      </c>
      <c r="E1150" s="11">
        <f t="shared" si="106"/>
        <v>-2.7475408460747964E-2</v>
      </c>
      <c r="F1150" s="24">
        <f>(B1150-$B$2)/$B$2</f>
        <v>1.5313133957201754</v>
      </c>
      <c r="G1150" s="11">
        <f t="shared" si="107"/>
        <v>1.569489083453397</v>
      </c>
      <c r="H1150" s="25">
        <f t="shared" si="102"/>
        <v>83.419957299057558</v>
      </c>
      <c r="I1150" s="26">
        <f>MAX($B$2:B1150)</f>
        <v>3897.5</v>
      </c>
      <c r="J1150" s="27">
        <f t="shared" si="103"/>
        <v>-7.5432969852469766E-3</v>
      </c>
      <c r="K1150" s="10">
        <f>MAX($C$2:C1150)</f>
        <v>47.679000000000002</v>
      </c>
      <c r="L1150" s="11">
        <f t="shared" si="104"/>
        <v>-2.7475408460747964E-2</v>
      </c>
    </row>
    <row r="1151" spans="1:12" x14ac:dyDescent="0.35">
      <c r="A1151" s="5" t="s">
        <v>2509</v>
      </c>
      <c r="B1151" s="22">
        <v>3976.3</v>
      </c>
      <c r="C1151" s="10">
        <v>47.515000000000001</v>
      </c>
      <c r="D1151" s="23">
        <f t="shared" si="105"/>
        <v>2.7972389545254848E-2</v>
      </c>
      <c r="E1151" s="11">
        <f t="shared" si="106"/>
        <v>2.4714787897086431E-2</v>
      </c>
      <c r="F1151" s="24">
        <f>(B1151-$B$2)/$B$2</f>
        <v>1.6021202800863821</v>
      </c>
      <c r="G1151" s="11">
        <f t="shared" si="107"/>
        <v>1.6329934611548267</v>
      </c>
      <c r="H1151" s="25">
        <f t="shared" si="102"/>
        <v>83.685152057245077</v>
      </c>
      <c r="I1151" s="26">
        <f>MAX($B$2:B1151)</f>
        <v>3976.3</v>
      </c>
      <c r="J1151" s="27">
        <f t="shared" si="103"/>
        <v>0</v>
      </c>
      <c r="K1151" s="10">
        <f>MAX($C$2:C1151)</f>
        <v>47.679000000000002</v>
      </c>
      <c r="L1151" s="11">
        <f t="shared" si="104"/>
        <v>-3.4396694561547323E-3</v>
      </c>
    </row>
    <row r="1152" spans="1:12" x14ac:dyDescent="0.35">
      <c r="A1152" s="5" t="s">
        <v>2510</v>
      </c>
      <c r="B1152" s="22">
        <v>4004.4</v>
      </c>
      <c r="C1152" s="10">
        <v>48.994</v>
      </c>
      <c r="D1152" s="23">
        <f t="shared" si="105"/>
        <v>7.0668712119306663E-3</v>
      </c>
      <c r="E1152" s="11">
        <f t="shared" si="106"/>
        <v>3.1127012522361341E-2</v>
      </c>
      <c r="F1152" s="24">
        <f>(B1152-$B$2)/$B$2</f>
        <v>1.6205091289837055</v>
      </c>
      <c r="G1152" s="11">
        <f t="shared" si="107"/>
        <v>1.7149506815914886</v>
      </c>
      <c r="H1152" s="25">
        <f t="shared" si="102"/>
        <v>81.73245703555537</v>
      </c>
      <c r="I1152" s="26">
        <f>MAX($B$2:B1152)</f>
        <v>4004.4</v>
      </c>
      <c r="J1152" s="27">
        <f t="shared" si="103"/>
        <v>0</v>
      </c>
      <c r="K1152" s="10">
        <f>MAX($C$2:C1152)</f>
        <v>48.994</v>
      </c>
      <c r="L1152" s="11">
        <f t="shared" si="104"/>
        <v>0</v>
      </c>
    </row>
    <row r="1153" spans="1:12" x14ac:dyDescent="0.35">
      <c r="A1153" s="5" t="s">
        <v>2512</v>
      </c>
      <c r="B1153" s="22">
        <v>4070.5</v>
      </c>
      <c r="C1153" s="10">
        <v>47.156999999999996</v>
      </c>
      <c r="D1153" s="23">
        <f t="shared" si="105"/>
        <v>1.6506842473279371E-2</v>
      </c>
      <c r="E1153" s="11">
        <f t="shared" si="106"/>
        <v>-3.7494387067804287E-2</v>
      </c>
      <c r="F1153" s="24">
        <f>(B1153-$B$2)/$B$2</f>
        <v>1.66376546037563</v>
      </c>
      <c r="G1153" s="11">
        <f t="shared" si="107"/>
        <v>1.6131552698658982</v>
      </c>
      <c r="H1153" s="25">
        <f t="shared" si="102"/>
        <v>86.318043980745173</v>
      </c>
      <c r="I1153" s="26">
        <f>MAX($B$2:B1153)</f>
        <v>4070.5</v>
      </c>
      <c r="J1153" s="27">
        <f t="shared" si="103"/>
        <v>0</v>
      </c>
      <c r="K1153" s="10">
        <f>MAX($C$2:C1153)</f>
        <v>48.994</v>
      </c>
      <c r="L1153" s="11">
        <f t="shared" si="104"/>
        <v>-3.7494387067804287E-2</v>
      </c>
    </row>
    <row r="1154" spans="1:12" x14ac:dyDescent="0.35">
      <c r="A1154" s="5" t="s">
        <v>2514</v>
      </c>
      <c r="B1154" s="22">
        <v>3972.6</v>
      </c>
      <c r="C1154" s="10">
        <v>47.247</v>
      </c>
      <c r="D1154" s="23">
        <f t="shared" si="105"/>
        <v>-2.4051099373541357E-2</v>
      </c>
      <c r="E1154" s="11">
        <f t="shared" si="106"/>
        <v>1.908518353584906E-3</v>
      </c>
      <c r="F1154" s="24">
        <f>(B1154-$B$2)/$B$2</f>
        <v>1.5996989725803286</v>
      </c>
      <c r="G1154" s="11">
        <f t="shared" si="107"/>
        <v>1.6181425246592043</v>
      </c>
      <c r="H1154" s="25">
        <f t="shared" si="102"/>
        <v>84.081528985967367</v>
      </c>
      <c r="I1154" s="26">
        <f>MAX($B$2:B1154)</f>
        <v>4070.5</v>
      </c>
      <c r="J1154" s="27">
        <f t="shared" si="103"/>
        <v>-2.4051099373541357E-2</v>
      </c>
      <c r="K1154" s="10">
        <f>MAX($C$2:C1154)</f>
        <v>48.994</v>
      </c>
      <c r="L1154" s="11">
        <f t="shared" si="104"/>
        <v>-3.5657427440094702E-2</v>
      </c>
    </row>
    <row r="1155" spans="1:12" x14ac:dyDescent="0.35">
      <c r="A1155" s="5" t="s">
        <v>2516</v>
      </c>
      <c r="B1155" s="22">
        <v>4133</v>
      </c>
      <c r="C1155" s="10">
        <v>50.622</v>
      </c>
      <c r="D1155" s="23">
        <f t="shared" si="105"/>
        <v>4.0376579570054902E-2</v>
      </c>
      <c r="E1155" s="11">
        <f t="shared" si="106"/>
        <v>7.143310686392787E-2</v>
      </c>
      <c r="F1155" s="24">
        <f>(B1155-$B$2)/$B$2</f>
        <v>1.7046659250049083</v>
      </c>
      <c r="G1155" s="11">
        <f t="shared" si="107"/>
        <v>1.8051645794081792</v>
      </c>
      <c r="H1155" s="25">
        <f t="shared" ref="H1155:H1197" si="108">B1155/C1155</f>
        <v>81.644344356208762</v>
      </c>
      <c r="I1155" s="26">
        <f>MAX($B$2:B1155)</f>
        <v>4133</v>
      </c>
      <c r="J1155" s="27">
        <f t="shared" ref="J1155:J1198" si="109">(B1155-I1155)/I1155</f>
        <v>0</v>
      </c>
      <c r="K1155" s="10">
        <f>MAX($C$2:C1155)</f>
        <v>50.622</v>
      </c>
      <c r="L1155" s="11">
        <f t="shared" ref="L1155:L1198" si="110">(C1155-K1155)/K1155</f>
        <v>0</v>
      </c>
    </row>
    <row r="1156" spans="1:12" x14ac:dyDescent="0.35">
      <c r="A1156" s="5" t="s">
        <v>2518</v>
      </c>
      <c r="B1156" s="22">
        <v>4163.3999999999996</v>
      </c>
      <c r="C1156" s="10">
        <v>51.378</v>
      </c>
      <c r="D1156" s="23">
        <f t="shared" ref="D1156:D1198" si="111">(B1156-B1155)/B1155</f>
        <v>7.3554318896684335E-3</v>
      </c>
      <c r="E1156" s="11">
        <f t="shared" ref="E1156:E1198" si="112">(C1156-C1155)/C1155</f>
        <v>1.4934218324048837E-2</v>
      </c>
      <c r="F1156" s="24">
        <f>(B1156-$B$2)/$B$2</f>
        <v>1.7245599110005889</v>
      </c>
      <c r="G1156" s="11">
        <f t="shared" ref="G1156:G1198" si="113">(C1156-$C$2)/$C$2</f>
        <v>1.8470575196719496</v>
      </c>
      <c r="H1156" s="25">
        <f t="shared" si="108"/>
        <v>81.034684106037602</v>
      </c>
      <c r="I1156" s="26">
        <f>MAX($B$2:B1156)</f>
        <v>4163.3999999999996</v>
      </c>
      <c r="J1156" s="27">
        <f t="shared" si="109"/>
        <v>0</v>
      </c>
      <c r="K1156" s="10">
        <f>MAX($C$2:C1156)</f>
        <v>51.378</v>
      </c>
      <c r="L1156" s="11">
        <f t="shared" si="110"/>
        <v>0</v>
      </c>
    </row>
    <row r="1157" spans="1:12" x14ac:dyDescent="0.35">
      <c r="A1157" s="5" t="s">
        <v>2520</v>
      </c>
      <c r="B1157" s="22">
        <v>4201.6000000000004</v>
      </c>
      <c r="C1157" s="10">
        <v>53.295999999999999</v>
      </c>
      <c r="D1157" s="23">
        <f t="shared" si="111"/>
        <v>9.1751933515878195E-3</v>
      </c>
      <c r="E1157" s="11">
        <f t="shared" si="112"/>
        <v>3.7331153411966196E-2</v>
      </c>
      <c r="F1157" s="24">
        <f>(B1157-$B$2)/$B$2</f>
        <v>1.7495582749820042</v>
      </c>
      <c r="G1157" s="11">
        <f t="shared" si="113"/>
        <v>1.9533414607115152</v>
      </c>
      <c r="H1157" s="25">
        <f t="shared" si="108"/>
        <v>78.835184629240473</v>
      </c>
      <c r="I1157" s="26">
        <f>MAX($B$2:B1157)</f>
        <v>4201.6000000000004</v>
      </c>
      <c r="J1157" s="27">
        <f t="shared" si="109"/>
        <v>0</v>
      </c>
      <c r="K1157" s="10">
        <f>MAX($C$2:C1157)</f>
        <v>53.295999999999999</v>
      </c>
      <c r="L1157" s="11">
        <f t="shared" si="110"/>
        <v>0</v>
      </c>
    </row>
    <row r="1158" spans="1:12" x14ac:dyDescent="0.35">
      <c r="A1158" s="5" t="s">
        <v>2522</v>
      </c>
      <c r="B1158" s="22">
        <v>4304.6000000000004</v>
      </c>
      <c r="C1158" s="10">
        <v>50.103999999999999</v>
      </c>
      <c r="D1158" s="23">
        <f t="shared" si="111"/>
        <v>2.4514470677837012E-2</v>
      </c>
      <c r="E1158" s="11">
        <f t="shared" si="112"/>
        <v>-5.9891924347042935E-2</v>
      </c>
      <c r="F1158" s="24">
        <f>(B1158-$B$2)/$B$2</f>
        <v>1.8169622406910546</v>
      </c>
      <c r="G1158" s="11">
        <f t="shared" si="113"/>
        <v>1.7764601573755958</v>
      </c>
      <c r="H1158" s="25">
        <f t="shared" si="108"/>
        <v>85.91330033530258</v>
      </c>
      <c r="I1158" s="26">
        <f>MAX($B$2:B1158)</f>
        <v>4304.6000000000004</v>
      </c>
      <c r="J1158" s="27">
        <f t="shared" si="109"/>
        <v>0</v>
      </c>
      <c r="K1158" s="10">
        <f>MAX($C$2:C1158)</f>
        <v>53.295999999999999</v>
      </c>
      <c r="L1158" s="11">
        <f t="shared" si="110"/>
        <v>-5.9891924347042935E-2</v>
      </c>
    </row>
    <row r="1159" spans="1:12" x14ac:dyDescent="0.35">
      <c r="A1159" s="5" t="s">
        <v>2524</v>
      </c>
      <c r="B1159" s="22">
        <v>4359.3999999999996</v>
      </c>
      <c r="C1159" s="10">
        <v>47.704000000000001</v>
      </c>
      <c r="D1159" s="23">
        <f t="shared" si="111"/>
        <v>1.27305673000974E-2</v>
      </c>
      <c r="E1159" s="11">
        <f t="shared" si="112"/>
        <v>-4.790036723614878E-2</v>
      </c>
      <c r="F1159" s="24">
        <f>(B1159-$B$2)/$B$2</f>
        <v>1.8528237680780053</v>
      </c>
      <c r="G1159" s="11">
        <f t="shared" si="113"/>
        <v>1.6434666962207694</v>
      </c>
      <c r="H1159" s="25">
        <f t="shared" si="108"/>
        <v>91.384370283414384</v>
      </c>
      <c r="I1159" s="26">
        <f>MAX($B$2:B1159)</f>
        <v>4359.3999999999996</v>
      </c>
      <c r="J1159" s="27">
        <f t="shared" si="109"/>
        <v>0</v>
      </c>
      <c r="K1159" s="10">
        <f>MAX($C$2:C1159)</f>
        <v>53.295999999999999</v>
      </c>
      <c r="L1159" s="11">
        <f t="shared" si="110"/>
        <v>-0.10492344641248871</v>
      </c>
    </row>
    <row r="1160" spans="1:12" x14ac:dyDescent="0.35">
      <c r="A1160" s="5" t="s">
        <v>2526</v>
      </c>
      <c r="B1160" s="22">
        <v>4109.1000000000004</v>
      </c>
      <c r="C1160" s="10">
        <v>47.680999999999997</v>
      </c>
      <c r="D1160" s="23">
        <f t="shared" si="111"/>
        <v>-5.7416158186906291E-2</v>
      </c>
      <c r="E1160" s="11">
        <f t="shared" si="112"/>
        <v>-4.8213986248539411E-4</v>
      </c>
      <c r="F1160" s="24">
        <f>(B1160-$B$2)/$B$2</f>
        <v>1.6890255873306725</v>
      </c>
      <c r="G1160" s="11">
        <f t="shared" si="113"/>
        <v>1.6421921755513686</v>
      </c>
      <c r="H1160" s="25">
        <f t="shared" si="108"/>
        <v>86.178981145529676</v>
      </c>
      <c r="I1160" s="26">
        <f>MAX($B$2:B1160)</f>
        <v>4359.3999999999996</v>
      </c>
      <c r="J1160" s="27">
        <f t="shared" si="109"/>
        <v>-5.7416158186906291E-2</v>
      </c>
      <c r="K1160" s="10">
        <f>MAX($C$2:C1160)</f>
        <v>53.295999999999999</v>
      </c>
      <c r="L1160" s="11">
        <f t="shared" si="110"/>
        <v>-0.1053549984989493</v>
      </c>
    </row>
    <row r="1161" spans="1:12" x14ac:dyDescent="0.35">
      <c r="A1161" s="5" t="s">
        <v>2528</v>
      </c>
      <c r="B1161" s="22">
        <v>4065.4</v>
      </c>
      <c r="C1161" s="10">
        <v>48.704000000000001</v>
      </c>
      <c r="D1161" s="23">
        <f t="shared" si="111"/>
        <v>-1.063493222360134E-2</v>
      </c>
      <c r="E1161" s="11">
        <f t="shared" si="112"/>
        <v>2.1455086931901665E-2</v>
      </c>
      <c r="F1161" s="24">
        <f>(B1161-$B$2)/$B$2</f>
        <v>1.6604279824618811</v>
      </c>
      <c r="G1161" s="11">
        <f t="shared" si="113"/>
        <v>1.6988806383686137</v>
      </c>
      <c r="H1161" s="25">
        <f t="shared" si="108"/>
        <v>83.471583442838366</v>
      </c>
      <c r="I1161" s="26">
        <f>MAX($B$2:B1161)</f>
        <v>4359.3999999999996</v>
      </c>
      <c r="J1161" s="27">
        <f t="shared" si="109"/>
        <v>-6.7440473459650319E-2</v>
      </c>
      <c r="K1161" s="10">
        <f>MAX($C$2:C1161)</f>
        <v>53.295999999999999</v>
      </c>
      <c r="L1161" s="11">
        <f t="shared" si="110"/>
        <v>-8.616031221855297E-2</v>
      </c>
    </row>
    <row r="1162" spans="1:12" x14ac:dyDescent="0.35">
      <c r="A1162" s="5" t="s">
        <v>2530</v>
      </c>
      <c r="B1162" s="22">
        <v>4145.6000000000004</v>
      </c>
      <c r="C1162" s="10">
        <v>48.585999999999999</v>
      </c>
      <c r="D1162" s="23">
        <f t="shared" si="111"/>
        <v>1.9727456092881457E-2</v>
      </c>
      <c r="E1162" s="11">
        <f t="shared" si="112"/>
        <v>-2.4227989487516856E-3</v>
      </c>
      <c r="F1162" s="24">
        <f>(B1162-$B$2)/$B$2</f>
        <v>1.7129114586741709</v>
      </c>
      <c r="G1162" s="11">
        <f t="shared" si="113"/>
        <v>1.6923417931951679</v>
      </c>
      <c r="H1162" s="25">
        <f t="shared" si="108"/>
        <v>85.3249907380727</v>
      </c>
      <c r="I1162" s="26">
        <f>MAX($B$2:B1162)</f>
        <v>4359.3999999999996</v>
      </c>
      <c r="J1162" s="27">
        <f t="shared" si="109"/>
        <v>-4.9043446345827246E-2</v>
      </c>
      <c r="K1162" s="10">
        <f>MAX($C$2:C1162)</f>
        <v>53.295999999999999</v>
      </c>
      <c r="L1162" s="11">
        <f t="shared" si="110"/>
        <v>-8.8374362053437419E-2</v>
      </c>
    </row>
    <row r="1163" spans="1:12" x14ac:dyDescent="0.35">
      <c r="A1163" s="5" t="s">
        <v>2532</v>
      </c>
      <c r="B1163" s="22">
        <v>4005.5</v>
      </c>
      <c r="C1163" s="10">
        <v>47.323999999999998</v>
      </c>
      <c r="D1163" s="23">
        <f t="shared" si="111"/>
        <v>-3.3794866846777391E-2</v>
      </c>
      <c r="E1163" s="11">
        <f t="shared" si="112"/>
        <v>-2.5974560573004579E-2</v>
      </c>
      <c r="F1163" s="24">
        <f>(B1163-$B$2)/$B$2</f>
        <v>1.6212289771611808</v>
      </c>
      <c r="G1163" s="11">
        <f t="shared" si="113"/>
        <v>1.6224093982045882</v>
      </c>
      <c r="H1163" s="25">
        <f t="shared" si="108"/>
        <v>84.639929000084521</v>
      </c>
      <c r="I1163" s="26">
        <f>MAX($B$2:B1163)</f>
        <v>4359.3999999999996</v>
      </c>
      <c r="J1163" s="27">
        <f t="shared" si="109"/>
        <v>-8.1180896453640336E-2</v>
      </c>
      <c r="K1163" s="10">
        <f>MAX($C$2:C1163)</f>
        <v>53.295999999999999</v>
      </c>
      <c r="L1163" s="11">
        <f t="shared" si="110"/>
        <v>-0.11205343740618436</v>
      </c>
    </row>
    <row r="1164" spans="1:12" x14ac:dyDescent="0.35">
      <c r="A1164" s="5" t="s">
        <v>2534</v>
      </c>
      <c r="B1164" s="22">
        <v>3968.7</v>
      </c>
      <c r="C1164" s="10">
        <v>47.912999999999997</v>
      </c>
      <c r="D1164" s="23">
        <f t="shared" si="111"/>
        <v>-9.1873673698664796E-3</v>
      </c>
      <c r="E1164" s="11">
        <f t="shared" si="112"/>
        <v>1.2446116135576E-2</v>
      </c>
      <c r="F1164" s="24">
        <f>(B1164-$B$2)/$B$2</f>
        <v>1.5971467835874615</v>
      </c>
      <c r="G1164" s="11">
        <f t="shared" si="113"/>
        <v>1.6550482101296686</v>
      </c>
      <c r="H1164" s="25">
        <f t="shared" si="108"/>
        <v>82.831381879656874</v>
      </c>
      <c r="I1164" s="26">
        <f>MAX($B$2:B1164)</f>
        <v>4359.3999999999996</v>
      </c>
      <c r="J1164" s="27">
        <f t="shared" si="109"/>
        <v>-8.9622425104372128E-2</v>
      </c>
      <c r="K1164" s="10">
        <f>MAX($C$2:C1164)</f>
        <v>53.295999999999999</v>
      </c>
      <c r="L1164" s="11">
        <f t="shared" si="110"/>
        <v>-0.10100195136595622</v>
      </c>
    </row>
    <row r="1165" spans="1:12" x14ac:dyDescent="0.35">
      <c r="A1165" s="5" t="s">
        <v>2536</v>
      </c>
      <c r="B1165" s="22">
        <v>3986.2</v>
      </c>
      <c r="C1165" s="10">
        <v>48.616</v>
      </c>
      <c r="D1165" s="23">
        <f t="shared" si="111"/>
        <v>4.4095043717086203E-3</v>
      </c>
      <c r="E1165" s="11">
        <f t="shared" si="112"/>
        <v>1.4672427107465677E-2</v>
      </c>
      <c r="F1165" s="24">
        <f>(B1165-$B$2)/$B$2</f>
        <v>1.6085989136836596</v>
      </c>
      <c r="G1165" s="11">
        <f t="shared" si="113"/>
        <v>1.6940042114596032</v>
      </c>
      <c r="H1165" s="25">
        <f t="shared" si="108"/>
        <v>81.993582359716967</v>
      </c>
      <c r="I1165" s="26">
        <f>MAX($B$2:B1165)</f>
        <v>4359.3999999999996</v>
      </c>
      <c r="J1165" s="27">
        <f t="shared" si="109"/>
        <v>-8.5608111207964369E-2</v>
      </c>
      <c r="K1165" s="10">
        <f>MAX($C$2:C1165)</f>
        <v>53.295999999999999</v>
      </c>
      <c r="L1165" s="11">
        <f t="shared" si="110"/>
        <v>-8.7811468027619327E-2</v>
      </c>
    </row>
    <row r="1166" spans="1:12" x14ac:dyDescent="0.35">
      <c r="A1166" s="5" t="s">
        <v>2538</v>
      </c>
      <c r="B1166" s="22">
        <v>4015.9</v>
      </c>
      <c r="C1166" s="10">
        <v>48.16</v>
      </c>
      <c r="D1166" s="23">
        <f t="shared" si="111"/>
        <v>7.4507049320155219E-3</v>
      </c>
      <c r="E1166" s="11">
        <f t="shared" si="112"/>
        <v>-9.3796281059734046E-3</v>
      </c>
      <c r="F1166" s="24">
        <f>(B1166-$B$2)/$B$2</f>
        <v>1.6280348144754926</v>
      </c>
      <c r="G1166" s="11">
        <f t="shared" si="113"/>
        <v>1.6687354538401862</v>
      </c>
      <c r="H1166" s="25">
        <f t="shared" si="108"/>
        <v>83.386627906976756</v>
      </c>
      <c r="I1166" s="26">
        <f>MAX($B$2:B1166)</f>
        <v>4359.3999999999996</v>
      </c>
      <c r="J1166" s="27">
        <f t="shared" si="109"/>
        <v>-7.8795247052346556E-2</v>
      </c>
      <c r="K1166" s="10">
        <f>MAX($C$2:C1166)</f>
        <v>53.295999999999999</v>
      </c>
      <c r="L1166" s="11">
        <f t="shared" si="110"/>
        <v>-9.636745722005409E-2</v>
      </c>
    </row>
    <row r="1167" spans="1:12" x14ac:dyDescent="0.35">
      <c r="A1167" s="5" t="s">
        <v>2540</v>
      </c>
      <c r="B1167" s="22">
        <v>4014</v>
      </c>
      <c r="C1167" s="10">
        <v>47.290999999999997</v>
      </c>
      <c r="D1167" s="23">
        <f t="shared" si="111"/>
        <v>-4.7311935058146141E-4</v>
      </c>
      <c r="E1167" s="11">
        <f t="shared" si="112"/>
        <v>-1.8044019933554815E-2</v>
      </c>
      <c r="F1167" s="24">
        <f>(B1167-$B$2)/$B$2</f>
        <v>1.6267914403507626</v>
      </c>
      <c r="G1167" s="11">
        <f t="shared" si="113"/>
        <v>1.6205807381137094</v>
      </c>
      <c r="H1167" s="25">
        <f t="shared" si="108"/>
        <v>84.878729567993915</v>
      </c>
      <c r="I1167" s="26">
        <f>MAX($B$2:B1167)</f>
        <v>4359.3999999999996</v>
      </c>
      <c r="J1167" s="27">
        <f t="shared" si="109"/>
        <v>-7.9231086846813709E-2</v>
      </c>
      <c r="K1167" s="10">
        <f>MAX($C$2:C1167)</f>
        <v>53.295999999999999</v>
      </c>
      <c r="L1167" s="11">
        <f t="shared" si="110"/>
        <v>-0.11267262083458426</v>
      </c>
    </row>
    <row r="1168" spans="1:12" x14ac:dyDescent="0.35">
      <c r="A1168" s="5" t="s">
        <v>2542</v>
      </c>
      <c r="B1168" s="22">
        <v>3960.5</v>
      </c>
      <c r="C1168" s="10">
        <v>48.021999999999998</v>
      </c>
      <c r="D1168" s="23">
        <f t="shared" si="111"/>
        <v>-1.332835077229696E-2</v>
      </c>
      <c r="E1168" s="11">
        <f t="shared" si="112"/>
        <v>1.5457486625362156E-2</v>
      </c>
      <c r="F1168" s="24">
        <f>(B1168-$B$2)/$B$2</f>
        <v>1.5917806426281005</v>
      </c>
      <c r="G1168" s="11">
        <f t="shared" si="113"/>
        <v>1.6610883298237837</v>
      </c>
      <c r="H1168" s="25">
        <f t="shared" si="108"/>
        <v>82.472616717337885</v>
      </c>
      <c r="I1168" s="26">
        <f>MAX($B$2:B1168)</f>
        <v>4359.3999999999996</v>
      </c>
      <c r="J1168" s="27">
        <f t="shared" si="109"/>
        <v>-9.1503417901546008E-2</v>
      </c>
      <c r="K1168" s="10">
        <f>MAX($C$2:C1168)</f>
        <v>53.295999999999999</v>
      </c>
      <c r="L1168" s="11">
        <f t="shared" si="110"/>
        <v>-9.8956769738817188E-2</v>
      </c>
    </row>
    <row r="1169" spans="1:12" x14ac:dyDescent="0.35">
      <c r="A1169" s="5" t="s">
        <v>2544</v>
      </c>
      <c r="B1169" s="22">
        <v>3992.9</v>
      </c>
      <c r="C1169" s="10">
        <v>47.95</v>
      </c>
      <c r="D1169" s="23">
        <f t="shared" si="111"/>
        <v>8.1807852543870959E-3</v>
      </c>
      <c r="E1169" s="11">
        <f t="shared" si="112"/>
        <v>-1.4993128149597189E-3</v>
      </c>
      <c r="F1169" s="24">
        <f>(B1169-$B$2)/$B$2</f>
        <v>1.6129834434919184</v>
      </c>
      <c r="G1169" s="11">
        <f t="shared" si="113"/>
        <v>1.6570985259891391</v>
      </c>
      <c r="H1169" s="25">
        <f t="shared" si="108"/>
        <v>83.272158498435871</v>
      </c>
      <c r="I1169" s="26">
        <f>MAX($B$2:B1169)</f>
        <v>4359.3999999999996</v>
      </c>
      <c r="J1169" s="27">
        <f t="shared" si="109"/>
        <v>-8.4071202459053904E-2</v>
      </c>
      <c r="K1169" s="10">
        <f>MAX($C$2:C1169)</f>
        <v>53.295999999999999</v>
      </c>
      <c r="L1169" s="11">
        <f t="shared" si="110"/>
        <v>-0.10030771540078048</v>
      </c>
    </row>
    <row r="1170" spans="1:12" x14ac:dyDescent="0.35">
      <c r="A1170" s="5" t="s">
        <v>2546</v>
      </c>
      <c r="B1170" s="22">
        <v>3991</v>
      </c>
      <c r="C1170" s="10">
        <v>48.143000000000001</v>
      </c>
      <c r="D1170" s="23">
        <f t="shared" si="111"/>
        <v>-4.7584462420799189E-4</v>
      </c>
      <c r="E1170" s="11">
        <f t="shared" si="112"/>
        <v>4.0250260688216438E-3</v>
      </c>
      <c r="F1170" s="24">
        <f>(B1170-$B$2)/$B$2</f>
        <v>1.6117400693671882</v>
      </c>
      <c r="G1170" s="11">
        <f t="shared" si="113"/>
        <v>1.667793416823673</v>
      </c>
      <c r="H1170" s="25">
        <f t="shared" si="108"/>
        <v>82.898863801591091</v>
      </c>
      <c r="I1170" s="26">
        <f>MAX($B$2:B1170)</f>
        <v>4359.3999999999996</v>
      </c>
      <c r="J1170" s="27">
        <f t="shared" si="109"/>
        <v>-8.4507042253521056E-2</v>
      </c>
      <c r="K1170" s="10">
        <f>MAX($C$2:C1170)</f>
        <v>53.295999999999999</v>
      </c>
      <c r="L1170" s="11">
        <f t="shared" si="110"/>
        <v>-9.6686430501350923E-2</v>
      </c>
    </row>
    <row r="1171" spans="1:12" x14ac:dyDescent="0.35">
      <c r="A1171" s="5" t="s">
        <v>2548</v>
      </c>
      <c r="B1171" s="22">
        <v>4122</v>
      </c>
      <c r="C1171" s="10">
        <v>50.744</v>
      </c>
      <c r="D1171" s="23">
        <f t="shared" si="111"/>
        <v>3.2823853670759205E-2</v>
      </c>
      <c r="E1171" s="11">
        <f t="shared" si="112"/>
        <v>5.4026545915294003E-2</v>
      </c>
      <c r="F1171" s="24">
        <f>(B1171-$B$2)/$B$2</f>
        <v>1.6974674432301553</v>
      </c>
      <c r="G1171" s="11">
        <f t="shared" si="113"/>
        <v>1.8119250803502163</v>
      </c>
      <c r="H1171" s="25">
        <f t="shared" si="108"/>
        <v>81.231278574806879</v>
      </c>
      <c r="I1171" s="26">
        <f>MAX($B$2:B1171)</f>
        <v>4359.3999999999996</v>
      </c>
      <c r="J1171" s="27">
        <f t="shared" si="109"/>
        <v>-5.445703537184008E-2</v>
      </c>
      <c r="K1171" s="10">
        <f>MAX($C$2:C1171)</f>
        <v>53.295999999999999</v>
      </c>
      <c r="L1171" s="11">
        <f t="shared" si="110"/>
        <v>-4.7883518462924039E-2</v>
      </c>
    </row>
    <row r="1172" spans="1:12" x14ac:dyDescent="0.35">
      <c r="A1172" s="5" t="s">
        <v>2550</v>
      </c>
      <c r="B1172" s="22">
        <v>4116.3</v>
      </c>
      <c r="C1172" s="10">
        <v>53.457000000000001</v>
      </c>
      <c r="D1172" s="23">
        <f t="shared" si="111"/>
        <v>-1.3828238719067972E-3</v>
      </c>
      <c r="E1172" s="11">
        <f t="shared" si="112"/>
        <v>5.3464448998896442E-2</v>
      </c>
      <c r="F1172" s="24">
        <f>(B1172-$B$2)/$B$2</f>
        <v>1.6937373208559652</v>
      </c>
      <c r="G1172" s="11">
        <f t="shared" si="113"/>
        <v>1.9622631053973181</v>
      </c>
      <c r="H1172" s="25">
        <f t="shared" si="108"/>
        <v>77.002076435265735</v>
      </c>
      <c r="I1172" s="26">
        <f>MAX($B$2:B1172)</f>
        <v>4359.3999999999996</v>
      </c>
      <c r="J1172" s="27">
        <f t="shared" si="109"/>
        <v>-5.5764554755241426E-2</v>
      </c>
      <c r="K1172" s="10">
        <f>MAX($C$2:C1172)</f>
        <v>53.457000000000001</v>
      </c>
      <c r="L1172" s="11">
        <f t="shared" si="110"/>
        <v>0</v>
      </c>
    </row>
    <row r="1173" spans="1:12" x14ac:dyDescent="0.35">
      <c r="A1173" s="5" t="s">
        <v>2552</v>
      </c>
      <c r="B1173" s="22">
        <v>4213.6000000000004</v>
      </c>
      <c r="C1173" s="10">
        <v>53.17</v>
      </c>
      <c r="D1173" s="23">
        <f t="shared" si="111"/>
        <v>2.3637732915482393E-2</v>
      </c>
      <c r="E1173" s="11">
        <f t="shared" si="112"/>
        <v>-5.3688010924668244E-3</v>
      </c>
      <c r="F1173" s="24">
        <f>(B1173-$B$2)/$B$2</f>
        <v>1.7574111641908257</v>
      </c>
      <c r="G1173" s="11">
        <f t="shared" si="113"/>
        <v>1.9463593040008869</v>
      </c>
      <c r="H1173" s="25">
        <f t="shared" si="108"/>
        <v>79.247696069211969</v>
      </c>
      <c r="I1173" s="26">
        <f>MAX($B$2:B1173)</f>
        <v>4359.3999999999996</v>
      </c>
      <c r="J1173" s="27">
        <f t="shared" si="109"/>
        <v>-3.344496949121422E-2</v>
      </c>
      <c r="K1173" s="10">
        <f>MAX($C$2:C1173)</f>
        <v>53.457000000000001</v>
      </c>
      <c r="L1173" s="11">
        <f t="shared" si="110"/>
        <v>-5.3688010924668244E-3</v>
      </c>
    </row>
    <row r="1174" spans="1:12" x14ac:dyDescent="0.35">
      <c r="A1174" s="5" t="s">
        <v>2554</v>
      </c>
      <c r="B1174" s="22">
        <v>4194.5</v>
      </c>
      <c r="C1174" s="10">
        <v>50.686</v>
      </c>
      <c r="D1174" s="23">
        <f t="shared" si="111"/>
        <v>-4.5329409531043195E-3</v>
      </c>
      <c r="E1174" s="11">
        <f t="shared" si="112"/>
        <v>-4.6718074101937214E-2</v>
      </c>
      <c r="F1174" s="24">
        <f>(B1174-$B$2)/$B$2</f>
        <v>1.744911982200118</v>
      </c>
      <c r="G1174" s="11">
        <f t="shared" si="113"/>
        <v>1.8087110717056412</v>
      </c>
      <c r="H1174" s="25">
        <f t="shared" si="108"/>
        <v>82.754606794775682</v>
      </c>
      <c r="I1174" s="26">
        <f>MAX($B$2:B1174)</f>
        <v>4359.3999999999996</v>
      </c>
      <c r="J1174" s="27">
        <f t="shared" si="109"/>
        <v>-3.7826306372436495E-2</v>
      </c>
      <c r="K1174" s="10">
        <f>MAX($C$2:C1174)</f>
        <v>53.457000000000001</v>
      </c>
      <c r="L1174" s="11">
        <f t="shared" si="110"/>
        <v>-5.1836055147127615E-2</v>
      </c>
    </row>
    <row r="1175" spans="1:12" x14ac:dyDescent="0.35">
      <c r="A1175" s="5" t="s">
        <v>2556</v>
      </c>
      <c r="B1175" s="22">
        <v>4109.8</v>
      </c>
      <c r="C1175" s="10">
        <v>50.521000000000001</v>
      </c>
      <c r="D1175" s="23">
        <f t="shared" si="111"/>
        <v>-2.0193110025032737E-2</v>
      </c>
      <c r="E1175" s="11">
        <f t="shared" si="112"/>
        <v>-3.2553367793867962E-3</v>
      </c>
      <c r="F1175" s="24">
        <f>(B1175-$B$2)/$B$2</f>
        <v>1.6894836725345204</v>
      </c>
      <c r="G1175" s="11">
        <f t="shared" si="113"/>
        <v>1.799567771251247</v>
      </c>
      <c r="H1175" s="25">
        <f t="shared" si="108"/>
        <v>81.348350191009686</v>
      </c>
      <c r="I1175" s="26">
        <f>MAX($B$2:B1175)</f>
        <v>4359.3999999999996</v>
      </c>
      <c r="J1175" s="27">
        <f t="shared" si="109"/>
        <v>-5.7255585631050022E-2</v>
      </c>
      <c r="K1175" s="10">
        <f>MAX($C$2:C1175)</f>
        <v>53.457000000000001</v>
      </c>
      <c r="L1175" s="11">
        <f t="shared" si="110"/>
        <v>-5.4922648109695639E-2</v>
      </c>
    </row>
    <row r="1176" spans="1:12" x14ac:dyDescent="0.35">
      <c r="A1176" s="5" t="s">
        <v>2557</v>
      </c>
      <c r="B1176" s="22">
        <v>4101.7</v>
      </c>
      <c r="C1176" s="10">
        <v>50.853999999999999</v>
      </c>
      <c r="D1176" s="23">
        <f t="shared" si="111"/>
        <v>-1.9708988271936257E-3</v>
      </c>
      <c r="E1176" s="11">
        <f t="shared" si="112"/>
        <v>6.5913184616297853E-3</v>
      </c>
      <c r="F1176" s="24">
        <f>(B1176-$B$2)/$B$2</f>
        <v>1.6841829723185655</v>
      </c>
      <c r="G1176" s="11">
        <f t="shared" si="113"/>
        <v>1.818020613986479</v>
      </c>
      <c r="H1176" s="25">
        <f t="shared" si="108"/>
        <v>80.656388877964361</v>
      </c>
      <c r="I1176" s="26">
        <f>MAX($B$2:B1176)</f>
        <v>4359.3999999999996</v>
      </c>
      <c r="J1176" s="27">
        <f t="shared" si="109"/>
        <v>-5.9113639491673128E-2</v>
      </c>
      <c r="K1176" s="10">
        <f>MAX($C$2:C1176)</f>
        <v>53.457000000000001</v>
      </c>
      <c r="L1176" s="11">
        <f t="shared" si="110"/>
        <v>-4.8693342312512891E-2</v>
      </c>
    </row>
    <row r="1177" spans="1:12" x14ac:dyDescent="0.35">
      <c r="A1177" s="5" t="s">
        <v>2559</v>
      </c>
      <c r="B1177" s="22">
        <v>4118.2</v>
      </c>
      <c r="C1177" s="10">
        <v>50.301000000000002</v>
      </c>
      <c r="D1177" s="23">
        <f t="shared" si="111"/>
        <v>4.0227222858814637E-3</v>
      </c>
      <c r="E1177" s="11">
        <f t="shared" si="112"/>
        <v>-1.0874267510913542E-2</v>
      </c>
      <c r="F1177" s="24">
        <f>(B1177-$B$2)/$B$2</f>
        <v>1.6949806949806949</v>
      </c>
      <c r="G1177" s="11">
        <f t="shared" si="113"/>
        <v>1.7873767039787212</v>
      </c>
      <c r="H1177" s="25">
        <f t="shared" si="108"/>
        <v>81.871135762708491</v>
      </c>
      <c r="I1177" s="26">
        <f>MAX($B$2:B1177)</f>
        <v>4359.3999999999996</v>
      </c>
      <c r="J1177" s="27">
        <f t="shared" si="109"/>
        <v>-5.5328714960774385E-2</v>
      </c>
      <c r="K1177" s="10">
        <f>MAX($C$2:C1177)</f>
        <v>53.457000000000001</v>
      </c>
      <c r="L1177" s="11">
        <f t="shared" si="110"/>
        <v>-5.9038105393119683E-2</v>
      </c>
    </row>
    <row r="1178" spans="1:12" x14ac:dyDescent="0.35">
      <c r="A1178" s="5" t="s">
        <v>2561</v>
      </c>
      <c r="B1178" s="22">
        <v>4095.7</v>
      </c>
      <c r="C1178" s="10">
        <v>49.912999999999997</v>
      </c>
      <c r="D1178" s="23">
        <f t="shared" si="111"/>
        <v>-5.4635520372978488E-3</v>
      </c>
      <c r="E1178" s="11">
        <f t="shared" si="112"/>
        <v>-7.7135643426573071E-3</v>
      </c>
      <c r="F1178" s="24">
        <f>(B1178-$B$2)/$B$2</f>
        <v>1.6802565277141548</v>
      </c>
      <c r="G1178" s="11">
        <f t="shared" si="113"/>
        <v>1.7658760944253573</v>
      </c>
      <c r="H1178" s="25">
        <f t="shared" si="108"/>
        <v>82.056778795103483</v>
      </c>
      <c r="I1178" s="26">
        <f>MAX($B$2:B1178)</f>
        <v>4359.3999999999996</v>
      </c>
      <c r="J1178" s="27">
        <f t="shared" si="109"/>
        <v>-6.0489975684727221E-2</v>
      </c>
      <c r="K1178" s="10">
        <f>MAX($C$2:C1178)</f>
        <v>53.457000000000001</v>
      </c>
      <c r="L1178" s="11">
        <f t="shared" si="110"/>
        <v>-6.6296275511158576E-2</v>
      </c>
    </row>
    <row r="1179" spans="1:12" x14ac:dyDescent="0.35">
      <c r="A1179" s="5" t="s">
        <v>2563</v>
      </c>
      <c r="B1179" s="22">
        <v>4113.1000000000004</v>
      </c>
      <c r="C1179" s="10">
        <v>50.965000000000003</v>
      </c>
      <c r="D1179" s="23">
        <f t="shared" si="111"/>
        <v>4.2483580340358295E-3</v>
      </c>
      <c r="E1179" s="11">
        <f t="shared" si="112"/>
        <v>2.1076673411736559E-2</v>
      </c>
      <c r="F1179" s="24">
        <f>(B1179-$B$2)/$B$2</f>
        <v>1.6916432170669462</v>
      </c>
      <c r="G1179" s="11">
        <f t="shared" si="113"/>
        <v>1.8241715615648899</v>
      </c>
      <c r="H1179" s="25">
        <f t="shared" si="108"/>
        <v>80.704404983812424</v>
      </c>
      <c r="I1179" s="26">
        <f>MAX($B$2:B1179)</f>
        <v>4359.3999999999996</v>
      </c>
      <c r="J1179" s="27">
        <f t="shared" si="109"/>
        <v>-5.6498600724870236E-2</v>
      </c>
      <c r="K1179" s="10">
        <f>MAX($C$2:C1179)</f>
        <v>53.457000000000001</v>
      </c>
      <c r="L1179" s="11">
        <f t="shared" si="110"/>
        <v>-4.6616907046785214E-2</v>
      </c>
    </row>
    <row r="1180" spans="1:12" x14ac:dyDescent="0.35">
      <c r="A1180" s="5" t="s">
        <v>2565</v>
      </c>
      <c r="B1180" s="22">
        <v>4159.8</v>
      </c>
      <c r="C1180" s="10">
        <v>53.606999999999999</v>
      </c>
      <c r="D1180" s="23">
        <f t="shared" si="111"/>
        <v>1.1353966594539354E-2</v>
      </c>
      <c r="E1180" s="11">
        <f t="shared" si="112"/>
        <v>5.1839497694496139E-2</v>
      </c>
      <c r="F1180" s="24">
        <f>(B1180-$B$2)/$B$2</f>
        <v>1.7222040442379429</v>
      </c>
      <c r="G1180" s="11">
        <f t="shared" si="113"/>
        <v>1.9705751967194947</v>
      </c>
      <c r="H1180" s="25">
        <f t="shared" si="108"/>
        <v>77.598074878280826</v>
      </c>
      <c r="I1180" s="26">
        <f>MAX($B$2:B1180)</f>
        <v>4359.3999999999996</v>
      </c>
      <c r="J1180" s="27">
        <f t="shared" si="109"/>
        <v>-4.5786117355599273E-2</v>
      </c>
      <c r="K1180" s="10">
        <f>MAX($C$2:C1180)</f>
        <v>53.606999999999999</v>
      </c>
      <c r="L1180" s="11">
        <f t="shared" si="110"/>
        <v>0</v>
      </c>
    </row>
    <row r="1181" spans="1:12" x14ac:dyDescent="0.35">
      <c r="A1181" s="5" t="s">
        <v>2567</v>
      </c>
      <c r="B1181" s="22">
        <v>4202.3</v>
      </c>
      <c r="C1181" s="10">
        <v>57.162999999999997</v>
      </c>
      <c r="D1181" s="23">
        <f t="shared" si="111"/>
        <v>1.021683734794942E-2</v>
      </c>
      <c r="E1181" s="11">
        <f t="shared" si="112"/>
        <v>6.6334620478668782E-2</v>
      </c>
      <c r="F1181" s="24">
        <f>(B1181-$B$2)/$B$2</f>
        <v>1.750016360185852</v>
      </c>
      <c r="G1181" s="11">
        <f t="shared" si="113"/>
        <v>2.1676271749972291</v>
      </c>
      <c r="H1181" s="25">
        <f t="shared" si="108"/>
        <v>73.514336196490746</v>
      </c>
      <c r="I1181" s="26">
        <f>MAX($B$2:B1181)</f>
        <v>4359.3999999999996</v>
      </c>
      <c r="J1181" s="27">
        <f t="shared" si="109"/>
        <v>-3.6037069321466136E-2</v>
      </c>
      <c r="K1181" s="10">
        <f>MAX($C$2:C1181)</f>
        <v>57.162999999999997</v>
      </c>
      <c r="L1181" s="11">
        <f t="shared" si="110"/>
        <v>0</v>
      </c>
    </row>
    <row r="1182" spans="1:12" x14ac:dyDescent="0.35">
      <c r="A1182" s="5" t="s">
        <v>2569</v>
      </c>
      <c r="B1182" s="22">
        <v>4274.8</v>
      </c>
      <c r="C1182" s="10">
        <v>58.703000000000003</v>
      </c>
      <c r="D1182" s="23">
        <f t="shared" si="111"/>
        <v>1.7252456987839993E-2</v>
      </c>
      <c r="E1182" s="11">
        <f t="shared" si="112"/>
        <v>2.6940503472526047E-2</v>
      </c>
      <c r="F1182" s="24">
        <f>(B1182-$B$2)/$B$2</f>
        <v>1.7974608991558148</v>
      </c>
      <c r="G1182" s="11">
        <f t="shared" si="113"/>
        <v>2.25296464590491</v>
      </c>
      <c r="H1182" s="25">
        <f t="shared" si="108"/>
        <v>72.820809839360848</v>
      </c>
      <c r="I1182" s="26">
        <f>MAX($B$2:B1182)</f>
        <v>4359.3999999999996</v>
      </c>
      <c r="J1182" s="27">
        <f t="shared" si="109"/>
        <v>-1.9406340322062544E-2</v>
      </c>
      <c r="K1182" s="10">
        <f>MAX($C$2:C1182)</f>
        <v>58.703000000000003</v>
      </c>
      <c r="L1182" s="11">
        <f t="shared" si="110"/>
        <v>0</v>
      </c>
    </row>
    <row r="1183" spans="1:12" x14ac:dyDescent="0.35">
      <c r="A1183" s="5" t="s">
        <v>2571</v>
      </c>
      <c r="B1183" s="22">
        <v>4220.8</v>
      </c>
      <c r="C1183" s="10">
        <v>58.62</v>
      </c>
      <c r="D1183" s="23">
        <f t="shared" si="111"/>
        <v>-1.2632169926078412E-2</v>
      </c>
      <c r="E1183" s="11">
        <f t="shared" si="112"/>
        <v>-1.4138970751069878E-3</v>
      </c>
      <c r="F1183" s="24">
        <f>(B1183-$B$2)/$B$2</f>
        <v>1.7621228977161183</v>
      </c>
      <c r="G1183" s="11">
        <f t="shared" si="113"/>
        <v>2.2483652887066388</v>
      </c>
      <c r="H1183" s="25">
        <f t="shared" si="108"/>
        <v>72.002729443875822</v>
      </c>
      <c r="I1183" s="26">
        <f>MAX($B$2:B1183)</f>
        <v>4359.3999999999996</v>
      </c>
      <c r="J1183" s="27">
        <f t="shared" si="109"/>
        <v>-3.1793366059549355E-2</v>
      </c>
      <c r="K1183" s="10">
        <f>MAX($C$2:C1183)</f>
        <v>58.703000000000003</v>
      </c>
      <c r="L1183" s="11">
        <f t="shared" si="110"/>
        <v>-1.4138970751069878E-3</v>
      </c>
    </row>
    <row r="1184" spans="1:12" x14ac:dyDescent="0.35">
      <c r="A1184" s="5" t="s">
        <v>2572</v>
      </c>
      <c r="B1184" s="22">
        <v>4232.5</v>
      </c>
      <c r="C1184" s="10">
        <v>57.491</v>
      </c>
      <c r="D1184" s="23">
        <f t="shared" si="111"/>
        <v>2.7719863532979097E-3</v>
      </c>
      <c r="E1184" s="11">
        <f t="shared" si="112"/>
        <v>-1.9259638348686419E-2</v>
      </c>
      <c r="F1184" s="24">
        <f>(B1184-$B$2)/$B$2</f>
        <v>1.7697794646947191</v>
      </c>
      <c r="G1184" s="11">
        <f t="shared" si="113"/>
        <v>2.1858029480217223</v>
      </c>
      <c r="H1184" s="25">
        <f t="shared" si="108"/>
        <v>73.620218816858298</v>
      </c>
      <c r="I1184" s="26">
        <f>MAX($B$2:B1184)</f>
        <v>4359.3999999999996</v>
      </c>
      <c r="J1184" s="27">
        <f t="shared" si="109"/>
        <v>-2.9109510483093924E-2</v>
      </c>
      <c r="K1184" s="10">
        <f>MAX($C$2:C1184)</f>
        <v>58.703000000000003</v>
      </c>
      <c r="L1184" s="11">
        <f t="shared" si="110"/>
        <v>-2.064630427746458E-2</v>
      </c>
    </row>
    <row r="1185" spans="1:12" x14ac:dyDescent="0.35">
      <c r="A1185" s="5" t="s">
        <v>2574</v>
      </c>
      <c r="B1185" s="22">
        <v>4243</v>
      </c>
      <c r="C1185" s="10">
        <v>59.052999999999997</v>
      </c>
      <c r="D1185" s="23">
        <f t="shared" si="111"/>
        <v>2.4808033077377434E-3</v>
      </c>
      <c r="E1185" s="11">
        <f t="shared" si="112"/>
        <v>2.7169470004000586E-2</v>
      </c>
      <c r="F1185" s="24">
        <f>(B1185-$B$2)/$B$2</f>
        <v>1.7766507427524378</v>
      </c>
      <c r="G1185" s="11">
        <f t="shared" si="113"/>
        <v>2.2723595256566553</v>
      </c>
      <c r="H1185" s="25">
        <f t="shared" si="108"/>
        <v>71.850710378812252</v>
      </c>
      <c r="I1185" s="26">
        <f>MAX($B$2:B1185)</f>
        <v>4359.3999999999996</v>
      </c>
      <c r="J1185" s="27">
        <f t="shared" si="109"/>
        <v>-2.6700922145249266E-2</v>
      </c>
      <c r="K1185" s="10">
        <f>MAX($C$2:C1185)</f>
        <v>59.052999999999997</v>
      </c>
      <c r="L1185" s="11">
        <f t="shared" si="110"/>
        <v>0</v>
      </c>
    </row>
    <row r="1186" spans="1:12" x14ac:dyDescent="0.35">
      <c r="A1186" s="5" t="s">
        <v>2576</v>
      </c>
      <c r="B1186" s="22">
        <v>4217.7</v>
      </c>
      <c r="C1186" s="10">
        <v>60.84</v>
      </c>
      <c r="D1186" s="23">
        <f t="shared" si="111"/>
        <v>-5.9627621965590814E-3</v>
      </c>
      <c r="E1186" s="11">
        <f t="shared" si="112"/>
        <v>3.026095202614611E-2</v>
      </c>
      <c r="F1186" s="24">
        <f>(B1186-$B$2)/$B$2</f>
        <v>1.760094234670506</v>
      </c>
      <c r="G1186" s="11">
        <f t="shared" si="113"/>
        <v>2.3713842402748533</v>
      </c>
      <c r="H1186" s="25">
        <f t="shared" si="108"/>
        <v>69.324457593688351</v>
      </c>
      <c r="I1186" s="26">
        <f>MAX($B$2:B1186)</f>
        <v>4359.3999999999996</v>
      </c>
      <c r="J1186" s="27">
        <f t="shared" si="109"/>
        <v>-3.2504473092627384E-2</v>
      </c>
      <c r="K1186" s="10">
        <f>MAX($C$2:C1186)</f>
        <v>60.84</v>
      </c>
      <c r="L1186" s="11">
        <f t="shared" si="110"/>
        <v>0</v>
      </c>
    </row>
    <row r="1187" spans="1:12" x14ac:dyDescent="0.35">
      <c r="A1187" s="5" t="s">
        <v>2577</v>
      </c>
      <c r="B1187" s="22">
        <v>4236.2</v>
      </c>
      <c r="C1187" s="10">
        <v>61.029000000000003</v>
      </c>
      <c r="D1187" s="23">
        <f t="shared" si="111"/>
        <v>4.3862768807643978E-3</v>
      </c>
      <c r="E1187" s="11">
        <f t="shared" si="112"/>
        <v>3.1065088757396457E-3</v>
      </c>
      <c r="F1187" s="24">
        <f>(B1187-$B$2)/$B$2</f>
        <v>1.7722007722007722</v>
      </c>
      <c r="G1187" s="11">
        <f t="shared" si="113"/>
        <v>2.3818574753407962</v>
      </c>
      <c r="H1187" s="25">
        <f t="shared" si="108"/>
        <v>69.412902062953677</v>
      </c>
      <c r="I1187" s="26">
        <f>MAX($B$2:B1187)</f>
        <v>4359.3999999999996</v>
      </c>
      <c r="J1187" s="27">
        <f t="shared" si="109"/>
        <v>-2.8260769830710609E-2</v>
      </c>
      <c r="K1187" s="10">
        <f>MAX($C$2:C1187)</f>
        <v>61.029000000000003</v>
      </c>
      <c r="L1187" s="11">
        <f t="shared" si="110"/>
        <v>0</v>
      </c>
    </row>
    <row r="1188" spans="1:12" x14ac:dyDescent="0.35">
      <c r="A1188" s="5" t="s">
        <v>2579</v>
      </c>
      <c r="B1188" s="22">
        <v>4224.7</v>
      </c>
      <c r="C1188" s="10">
        <v>64.591999999999999</v>
      </c>
      <c r="D1188" s="23">
        <f t="shared" si="111"/>
        <v>-2.7146971342240688E-3</v>
      </c>
      <c r="E1188" s="11">
        <f t="shared" si="112"/>
        <v>5.8382080650182619E-2</v>
      </c>
      <c r="F1188" s="24">
        <f>(B1188-$B$2)/$B$2</f>
        <v>1.7646750867089851</v>
      </c>
      <c r="G1188" s="11">
        <f t="shared" si="113"/>
        <v>2.5792973512135653</v>
      </c>
      <c r="H1188" s="25">
        <f t="shared" si="108"/>
        <v>65.405932623235074</v>
      </c>
      <c r="I1188" s="26">
        <f>MAX($B$2:B1188)</f>
        <v>4359.3999999999996</v>
      </c>
      <c r="J1188" s="27">
        <f t="shared" si="109"/>
        <v>-3.0898747534064283E-2</v>
      </c>
      <c r="K1188" s="10">
        <f>MAX($C$2:C1188)</f>
        <v>64.591999999999999</v>
      </c>
      <c r="L1188" s="11">
        <f t="shared" si="110"/>
        <v>0</v>
      </c>
    </row>
    <row r="1189" spans="1:12" x14ac:dyDescent="0.35">
      <c r="A1189" s="5" t="s">
        <v>2581</v>
      </c>
      <c r="B1189" s="22">
        <v>4313</v>
      </c>
      <c r="C1189" s="10">
        <v>62.006999999999998</v>
      </c>
      <c r="D1189" s="23">
        <f t="shared" si="111"/>
        <v>2.0900892371055978E-2</v>
      </c>
      <c r="E1189" s="11">
        <f t="shared" si="112"/>
        <v>-4.0020435967302467E-2</v>
      </c>
      <c r="F1189" s="24">
        <f>(B1189-$B$2)/$B$2</f>
        <v>1.8224592631372294</v>
      </c>
      <c r="G1189" s="11">
        <f t="shared" si="113"/>
        <v>2.4360523107613874</v>
      </c>
      <c r="H1189" s="25">
        <f t="shared" si="108"/>
        <v>69.556662957408037</v>
      </c>
      <c r="I1189" s="26">
        <f>MAX($B$2:B1189)</f>
        <v>4359.3999999999996</v>
      </c>
      <c r="J1189" s="27">
        <f t="shared" si="109"/>
        <v>-1.0643666559618214E-2</v>
      </c>
      <c r="K1189" s="10">
        <f>MAX($C$2:C1189)</f>
        <v>64.591999999999999</v>
      </c>
      <c r="L1189" s="11">
        <f t="shared" si="110"/>
        <v>-4.0020435967302467E-2</v>
      </c>
    </row>
    <row r="1190" spans="1:12" x14ac:dyDescent="0.35">
      <c r="A1190" s="5" t="s">
        <v>2583</v>
      </c>
      <c r="B1190" s="22">
        <v>4335.2</v>
      </c>
      <c r="C1190" s="10">
        <v>63.323</v>
      </c>
      <c r="D1190" s="23">
        <f t="shared" si="111"/>
        <v>5.1472293067470016E-3</v>
      </c>
      <c r="E1190" s="11">
        <f t="shared" si="112"/>
        <v>2.1223410260131963E-2</v>
      </c>
      <c r="F1190" s="24">
        <f>(B1190-$B$2)/$B$2</f>
        <v>1.8369871081735489</v>
      </c>
      <c r="G1190" s="11">
        <f t="shared" si="113"/>
        <v>2.5089770586279507</v>
      </c>
      <c r="H1190" s="25">
        <f t="shared" si="108"/>
        <v>68.461696382041282</v>
      </c>
      <c r="I1190" s="26">
        <f>MAX($B$2:B1190)</f>
        <v>4359.3999999999996</v>
      </c>
      <c r="J1190" s="27">
        <f t="shared" si="109"/>
        <v>-5.5512226453181216E-3</v>
      </c>
      <c r="K1190" s="10">
        <f>MAX($C$2:C1190)</f>
        <v>64.591999999999999</v>
      </c>
      <c r="L1190" s="11">
        <f t="shared" si="110"/>
        <v>-1.9646395838493907E-2</v>
      </c>
    </row>
    <row r="1191" spans="1:12" x14ac:dyDescent="0.35">
      <c r="A1191" s="5" t="s">
        <v>2585</v>
      </c>
      <c r="B1191" s="22">
        <v>4332.3</v>
      </c>
      <c r="C1191" s="10">
        <v>66.900999999999996</v>
      </c>
      <c r="D1191" s="23">
        <f t="shared" si="111"/>
        <v>-6.6894260933743224E-4</v>
      </c>
      <c r="E1191" s="11">
        <f t="shared" si="112"/>
        <v>5.6503955908595548E-2</v>
      </c>
      <c r="F1191" s="24">
        <f>(B1191-$B$2)/$B$2</f>
        <v>1.8350893266147505</v>
      </c>
      <c r="G1191" s="11">
        <f t="shared" si="113"/>
        <v>2.7072481436329379</v>
      </c>
      <c r="H1191" s="25">
        <f t="shared" si="108"/>
        <v>64.756879568317373</v>
      </c>
      <c r="I1191" s="26">
        <f>MAX($B$2:B1191)</f>
        <v>4359.3999999999996</v>
      </c>
      <c r="J1191" s="27">
        <f t="shared" si="109"/>
        <v>-6.2164518052941816E-3</v>
      </c>
      <c r="K1191" s="10">
        <f>MAX($C$2:C1191)</f>
        <v>66.900999999999996</v>
      </c>
      <c r="L1191" s="11">
        <f t="shared" si="110"/>
        <v>0</v>
      </c>
    </row>
    <row r="1192" spans="1:12" x14ac:dyDescent="0.35">
      <c r="A1192" s="5" t="s">
        <v>2587</v>
      </c>
      <c r="B1192" s="22">
        <v>4373.8999999999996</v>
      </c>
      <c r="C1192" s="10">
        <v>65.218999999999994</v>
      </c>
      <c r="D1192" s="23">
        <f t="shared" si="111"/>
        <v>9.6022897767928019E-3</v>
      </c>
      <c r="E1192" s="11">
        <f t="shared" si="112"/>
        <v>-2.5141627180460716E-2</v>
      </c>
      <c r="F1192" s="24">
        <f>(B1192-$B$2)/$B$2</f>
        <v>1.8623126758719979</v>
      </c>
      <c r="G1192" s="11">
        <f t="shared" si="113"/>
        <v>2.6140418929402638</v>
      </c>
      <c r="H1192" s="25">
        <f t="shared" si="108"/>
        <v>67.064812401294105</v>
      </c>
      <c r="I1192" s="26">
        <f>MAX($B$2:B1192)</f>
        <v>4373.8999999999996</v>
      </c>
      <c r="J1192" s="27">
        <f t="shared" si="109"/>
        <v>0</v>
      </c>
      <c r="K1192" s="10">
        <f>MAX($C$2:C1192)</f>
        <v>66.900999999999996</v>
      </c>
      <c r="L1192" s="11">
        <f t="shared" si="110"/>
        <v>-2.5141627180460716E-2</v>
      </c>
    </row>
    <row r="1193" spans="1:12" x14ac:dyDescent="0.35">
      <c r="A1193" s="5" t="s">
        <v>2588</v>
      </c>
      <c r="B1193" s="22">
        <v>4364.5</v>
      </c>
      <c r="C1193" s="10">
        <v>67.489000000000004</v>
      </c>
      <c r="D1193" s="23">
        <f t="shared" si="111"/>
        <v>-2.1491117766751955E-3</v>
      </c>
      <c r="E1193" s="11">
        <f t="shared" si="112"/>
        <v>3.4805808123399784E-2</v>
      </c>
      <c r="F1193" s="24">
        <f>(B1193-$B$2)/$B$2</f>
        <v>1.8561612459917547</v>
      </c>
      <c r="G1193" s="11">
        <f t="shared" si="113"/>
        <v>2.7398315416158709</v>
      </c>
      <c r="H1193" s="25">
        <f t="shared" si="108"/>
        <v>64.669798041162252</v>
      </c>
      <c r="I1193" s="26">
        <f>MAX($B$2:B1193)</f>
        <v>4373.8999999999996</v>
      </c>
      <c r="J1193" s="27">
        <f t="shared" si="109"/>
        <v>-2.1491117766751955E-3</v>
      </c>
      <c r="K1193" s="10">
        <f>MAX($C$2:C1193)</f>
        <v>67.489000000000004</v>
      </c>
      <c r="L1193" s="11">
        <f t="shared" si="110"/>
        <v>0</v>
      </c>
    </row>
    <row r="1194" spans="1:12" x14ac:dyDescent="0.35">
      <c r="A1194" s="5" t="s">
        <v>2590</v>
      </c>
      <c r="B1194" s="22">
        <v>4469.3999999999996</v>
      </c>
      <c r="C1194" s="10">
        <v>71.137</v>
      </c>
      <c r="D1194" s="23">
        <f t="shared" si="111"/>
        <v>2.4034826440600215E-2</v>
      </c>
      <c r="E1194" s="11">
        <f t="shared" si="112"/>
        <v>5.405325312273105E-2</v>
      </c>
      <c r="F1194" s="24">
        <f>(B1194-$B$2)/$B$2</f>
        <v>1.9248085858255348</v>
      </c>
      <c r="G1194" s="11">
        <f t="shared" si="113"/>
        <v>2.9419816025712069</v>
      </c>
      <c r="H1194" s="25">
        <f t="shared" si="108"/>
        <v>62.828064157892513</v>
      </c>
      <c r="I1194" s="26">
        <f>MAX($B$2:B1194)</f>
        <v>4469.3999999999996</v>
      </c>
      <c r="J1194" s="27">
        <f t="shared" si="109"/>
        <v>0</v>
      </c>
      <c r="K1194" s="10">
        <f>MAX($C$2:C1194)</f>
        <v>71.137</v>
      </c>
      <c r="L1194" s="11">
        <f t="shared" si="110"/>
        <v>0</v>
      </c>
    </row>
    <row r="1195" spans="1:12" x14ac:dyDescent="0.35">
      <c r="A1195" s="5" t="s">
        <v>2592</v>
      </c>
      <c r="B1195" s="22">
        <v>4505.7</v>
      </c>
      <c r="C1195" s="10">
        <v>71.685000000000002</v>
      </c>
      <c r="D1195" s="23">
        <f t="shared" si="111"/>
        <v>8.1218955564505719E-3</v>
      </c>
      <c r="E1195" s="11">
        <f t="shared" si="112"/>
        <v>7.7034454643856477E-3</v>
      </c>
      <c r="F1195" s="24">
        <f>(B1195-$B$2)/$B$2</f>
        <v>1.9485635756822197</v>
      </c>
      <c r="G1195" s="11">
        <f t="shared" si="113"/>
        <v>2.9723484428682259</v>
      </c>
      <c r="H1195" s="25">
        <f t="shared" si="108"/>
        <v>62.85415358861686</v>
      </c>
      <c r="I1195" s="26">
        <f>MAX($B$2:B1195)</f>
        <v>4505.7</v>
      </c>
      <c r="J1195" s="27">
        <f t="shared" si="109"/>
        <v>0</v>
      </c>
      <c r="K1195" s="10">
        <f>MAX($C$2:C1195)</f>
        <v>71.685000000000002</v>
      </c>
      <c r="L1195" s="11">
        <f t="shared" si="110"/>
        <v>0</v>
      </c>
    </row>
    <row r="1196" spans="1:12" x14ac:dyDescent="0.35">
      <c r="A1196" s="5" t="s">
        <v>2594</v>
      </c>
      <c r="B1196" s="22">
        <v>4527.5</v>
      </c>
      <c r="C1196" s="10">
        <v>77.195999999999998</v>
      </c>
      <c r="D1196" s="23">
        <f t="shared" si="111"/>
        <v>4.8383159109572724E-3</v>
      </c>
      <c r="E1196" s="11">
        <f t="shared" si="112"/>
        <v>7.6878007951454219E-2</v>
      </c>
      <c r="F1196" s="24">
        <f>(B1196-$B$2)/$B$2</f>
        <v>1.9628296577449122</v>
      </c>
      <c r="G1196" s="11">
        <f t="shared" si="113"/>
        <v>3.2777346780449963</v>
      </c>
      <c r="H1196" s="25">
        <f t="shared" si="108"/>
        <v>58.649411886626254</v>
      </c>
      <c r="I1196" s="26">
        <f>MAX($B$2:B1196)</f>
        <v>4527.5</v>
      </c>
      <c r="J1196" s="27">
        <f t="shared" si="109"/>
        <v>0</v>
      </c>
      <c r="K1196" s="10">
        <f>MAX($C$2:C1196)</f>
        <v>77.195999999999998</v>
      </c>
      <c r="L1196" s="11">
        <f t="shared" si="110"/>
        <v>0</v>
      </c>
    </row>
    <row r="1197" spans="1:12" x14ac:dyDescent="0.35">
      <c r="A1197" s="5" t="s">
        <v>2596</v>
      </c>
      <c r="B1197" s="22">
        <v>4327</v>
      </c>
      <c r="C1197" s="10">
        <v>77.918999999999997</v>
      </c>
      <c r="D1197" s="23">
        <f t="shared" si="111"/>
        <v>-4.428492545554942E-2</v>
      </c>
      <c r="E1197" s="11">
        <f t="shared" si="112"/>
        <v>9.3657702471630529E-3</v>
      </c>
      <c r="F1197" s="24">
        <f>(B1197-$B$2)/$B$2</f>
        <v>1.8316209672141877</v>
      </c>
      <c r="G1197" s="11">
        <f t="shared" si="113"/>
        <v>3.3177989582178875</v>
      </c>
      <c r="H1197" s="25">
        <f t="shared" si="108"/>
        <v>55.532026848393848</v>
      </c>
      <c r="I1197" s="26">
        <f>MAX($B$2:B1197)</f>
        <v>4527.5</v>
      </c>
      <c r="J1197" s="27">
        <f t="shared" si="109"/>
        <v>-4.428492545554942E-2</v>
      </c>
      <c r="K1197" s="10">
        <f>MAX($C$2:C1197)</f>
        <v>77.918999999999997</v>
      </c>
      <c r="L1197" s="11">
        <f t="shared" si="110"/>
        <v>0</v>
      </c>
    </row>
    <row r="1198" spans="1:12" x14ac:dyDescent="0.35">
      <c r="A1198" s="28" t="s">
        <v>2598</v>
      </c>
      <c r="B1198" s="22">
        <v>4386.3</v>
      </c>
      <c r="C1198" s="10">
        <v>70.602999999999994</v>
      </c>
      <c r="D1198" s="23">
        <f t="shared" si="111"/>
        <v>1.370464525075114E-2</v>
      </c>
      <c r="E1198" s="11">
        <f t="shared" si="112"/>
        <v>-9.389237541549561E-2</v>
      </c>
      <c r="F1198" s="24">
        <f>(B1198-$B$2)/$B$2</f>
        <v>1.870427328054447</v>
      </c>
      <c r="G1198" s="41">
        <f t="shared" si="113"/>
        <v>2.9123905574642577</v>
      </c>
      <c r="H1198" s="25">
        <f>B1198/C1198</f>
        <v>62.126255258275151</v>
      </c>
      <c r="I1198" s="26">
        <f>MAX($B$2:B1198)</f>
        <v>4527.5</v>
      </c>
      <c r="J1198" s="27">
        <f t="shared" si="109"/>
        <v>-3.1187189398122542E-2</v>
      </c>
      <c r="K1198" s="40">
        <f>MAX($C$2:C1198)</f>
        <v>77.918999999999997</v>
      </c>
      <c r="L1198" s="41">
        <f t="shared" si="110"/>
        <v>-9.389237541549561E-2</v>
      </c>
    </row>
    <row r="1199" spans="1:12" s="34" customFormat="1" x14ac:dyDescent="0.35">
      <c r="A1199" s="35"/>
      <c r="B1199" s="36"/>
      <c r="C1199" s="36"/>
      <c r="D1199" s="37"/>
      <c r="E1199" s="37"/>
      <c r="F1199" s="37"/>
      <c r="G1199" s="44"/>
      <c r="H1199" s="38"/>
      <c r="I1199" s="36"/>
      <c r="J1199" s="37"/>
      <c r="K1199" s="43"/>
      <c r="L1199" s="44"/>
    </row>
    <row r="1200" spans="1:12" s="34" customFormat="1" x14ac:dyDescent="0.35">
      <c r="A1200" s="35"/>
      <c r="B1200" s="36"/>
      <c r="C1200" s="36"/>
      <c r="D1200" s="37"/>
      <c r="E1200" s="37"/>
      <c r="F1200" s="37"/>
      <c r="G1200" s="44"/>
      <c r="H1200" s="38"/>
      <c r="I1200" s="36"/>
      <c r="J1200" s="37"/>
      <c r="K1200" s="43"/>
      <c r="L1200" s="44"/>
    </row>
    <row r="1201" spans="1:12" s="34" customFormat="1" x14ac:dyDescent="0.35">
      <c r="A1201" s="35"/>
      <c r="B1201" s="36"/>
      <c r="C1201" s="36"/>
      <c r="D1201" s="37"/>
      <c r="E1201" s="37"/>
      <c r="F1201" s="37"/>
      <c r="G1201" s="44"/>
      <c r="H1201" s="38"/>
      <c r="I1201" s="36"/>
      <c r="J1201" s="37"/>
      <c r="K1201" s="43"/>
      <c r="L1201" s="44"/>
    </row>
    <row r="1202" spans="1:12" s="34" customFormat="1" x14ac:dyDescent="0.35">
      <c r="A1202" s="35"/>
      <c r="B1202" s="36"/>
      <c r="C1202" s="36"/>
      <c r="D1202" s="37"/>
      <c r="E1202" s="37"/>
      <c r="F1202" s="37"/>
      <c r="G1202" s="44"/>
      <c r="H1202" s="38"/>
      <c r="I1202" s="36"/>
      <c r="J1202" s="37"/>
      <c r="K1202" s="43"/>
      <c r="L1202" s="44"/>
    </row>
    <row r="1203" spans="1:12" s="34" customFormat="1" x14ac:dyDescent="0.35">
      <c r="A1203" s="35"/>
      <c r="B1203" s="36"/>
      <c r="C1203" s="36"/>
      <c r="D1203" s="37"/>
      <c r="E1203" s="37"/>
      <c r="F1203" s="37"/>
      <c r="G1203" s="44"/>
      <c r="H1203" s="38"/>
      <c r="I1203" s="36"/>
      <c r="J1203" s="37"/>
      <c r="K1203" s="43"/>
      <c r="L1203" s="44"/>
    </row>
    <row r="1204" spans="1:12" s="34" customFormat="1" x14ac:dyDescent="0.35">
      <c r="A1204" s="35"/>
      <c r="B1204" s="36"/>
      <c r="C1204" s="36"/>
      <c r="D1204" s="37"/>
      <c r="E1204" s="37"/>
      <c r="F1204" s="37"/>
      <c r="G1204" s="44"/>
      <c r="H1204" s="38"/>
      <c r="I1204" s="36"/>
      <c r="J1204" s="37"/>
      <c r="K1204" s="43"/>
      <c r="L1204" s="44"/>
    </row>
    <row r="1205" spans="1:12" s="34" customFormat="1" x14ac:dyDescent="0.35">
      <c r="A1205" s="35"/>
      <c r="B1205" s="36"/>
      <c r="C1205" s="36"/>
      <c r="D1205" s="37"/>
      <c r="E1205" s="37"/>
      <c r="F1205" s="37"/>
      <c r="G1205" s="44"/>
      <c r="H1205" s="38"/>
      <c r="I1205" s="36"/>
      <c r="J1205" s="37"/>
      <c r="K1205" s="43"/>
      <c r="L1205" s="44"/>
    </row>
    <row r="1206" spans="1:12" s="34" customFormat="1" x14ac:dyDescent="0.35">
      <c r="A1206" s="35"/>
      <c r="B1206" s="36"/>
      <c r="C1206" s="36"/>
      <c r="D1206" s="37"/>
      <c r="E1206" s="37"/>
      <c r="F1206" s="37"/>
      <c r="G1206" s="44"/>
      <c r="H1206" s="38"/>
      <c r="I1206" s="36"/>
      <c r="J1206" s="37"/>
      <c r="K1206" s="43"/>
      <c r="L1206" s="44"/>
    </row>
    <row r="1207" spans="1:12" s="34" customFormat="1" x14ac:dyDescent="0.35">
      <c r="A1207" s="35"/>
      <c r="B1207" s="36"/>
      <c r="C1207" s="36"/>
      <c r="D1207" s="37"/>
      <c r="E1207" s="37"/>
      <c r="F1207" s="37"/>
      <c r="G1207" s="44"/>
      <c r="H1207" s="38"/>
      <c r="I1207" s="36"/>
      <c r="J1207" s="37"/>
      <c r="K1207" s="43"/>
      <c r="L1207" s="44"/>
    </row>
    <row r="1208" spans="1:12" s="34" customFormat="1" x14ac:dyDescent="0.35">
      <c r="A1208" s="35"/>
      <c r="B1208" s="36"/>
      <c r="C1208" s="36"/>
      <c r="D1208" s="37"/>
      <c r="E1208" s="37"/>
      <c r="F1208" s="37"/>
      <c r="G1208" s="44"/>
      <c r="H1208" s="38"/>
      <c r="I1208" s="36"/>
      <c r="J1208" s="37"/>
      <c r="K1208" s="43"/>
      <c r="L1208" s="44"/>
    </row>
    <row r="1209" spans="1:12" s="34" customFormat="1" x14ac:dyDescent="0.35">
      <c r="A1209" s="35"/>
      <c r="B1209" s="36"/>
      <c r="C1209" s="36"/>
      <c r="D1209" s="37"/>
      <c r="E1209" s="37"/>
      <c r="F1209" s="37"/>
      <c r="G1209" s="44"/>
      <c r="H1209" s="38"/>
      <c r="I1209" s="36"/>
      <c r="J1209" s="37"/>
      <c r="K1209" s="43"/>
      <c r="L1209" s="44"/>
    </row>
    <row r="1210" spans="1:12" s="34" customFormat="1" x14ac:dyDescent="0.35">
      <c r="A1210" s="35"/>
      <c r="B1210" s="36"/>
      <c r="C1210" s="36"/>
      <c r="D1210" s="37"/>
      <c r="E1210" s="37"/>
      <c r="F1210" s="37"/>
      <c r="G1210" s="44"/>
      <c r="H1210" s="38"/>
      <c r="I1210" s="36"/>
      <c r="J1210" s="37"/>
      <c r="K1210" s="43"/>
      <c r="L1210" s="44"/>
    </row>
    <row r="1211" spans="1:12" s="34" customFormat="1" x14ac:dyDescent="0.35">
      <c r="A1211" s="35"/>
      <c r="B1211" s="36"/>
      <c r="C1211" s="36"/>
      <c r="D1211" s="37"/>
      <c r="E1211" s="37"/>
      <c r="F1211" s="37"/>
      <c r="G1211" s="44"/>
      <c r="H1211" s="38"/>
      <c r="I1211" s="36"/>
      <c r="J1211" s="37"/>
      <c r="K1211" s="43"/>
      <c r="L1211" s="44"/>
    </row>
    <row r="1212" spans="1:12" s="34" customFormat="1" x14ac:dyDescent="0.35">
      <c r="A1212" s="35"/>
      <c r="B1212" s="36"/>
      <c r="C1212" s="36"/>
      <c r="D1212" s="37"/>
      <c r="E1212" s="37"/>
      <c r="F1212" s="37"/>
      <c r="G1212" s="44"/>
      <c r="H1212" s="38"/>
      <c r="I1212" s="36"/>
      <c r="J1212" s="37"/>
      <c r="K1212" s="43"/>
      <c r="L1212" s="44"/>
    </row>
    <row r="1213" spans="1:12" s="34" customFormat="1" x14ac:dyDescent="0.35">
      <c r="A1213" s="35"/>
      <c r="B1213" s="36"/>
      <c r="C1213" s="36"/>
      <c r="D1213" s="37"/>
      <c r="E1213" s="37"/>
      <c r="F1213" s="37"/>
      <c r="G1213" s="44"/>
      <c r="H1213" s="38"/>
      <c r="I1213" s="36"/>
      <c r="J1213" s="37"/>
      <c r="K1213" s="43"/>
      <c r="L1213" s="44"/>
    </row>
    <row r="1214" spans="1:12" s="34" customFormat="1" x14ac:dyDescent="0.35">
      <c r="A1214" s="35"/>
      <c r="B1214" s="36"/>
      <c r="C1214" s="36"/>
      <c r="D1214" s="37"/>
      <c r="E1214" s="37"/>
      <c r="F1214" s="37"/>
      <c r="G1214" s="44"/>
      <c r="H1214" s="38"/>
      <c r="I1214" s="36"/>
      <c r="J1214" s="37"/>
      <c r="K1214" s="43"/>
      <c r="L1214" s="44"/>
    </row>
    <row r="1215" spans="1:12" s="34" customFormat="1" x14ac:dyDescent="0.35">
      <c r="A1215" s="35"/>
      <c r="B1215" s="36"/>
      <c r="C1215" s="36"/>
      <c r="D1215" s="37"/>
      <c r="E1215" s="37"/>
      <c r="F1215" s="37"/>
      <c r="G1215" s="44"/>
      <c r="H1215" s="38"/>
      <c r="I1215" s="36"/>
      <c r="J1215" s="37"/>
      <c r="K1215" s="43"/>
      <c r="L1215" s="44"/>
    </row>
    <row r="1216" spans="1:12" s="34" customFormat="1" x14ac:dyDescent="0.35">
      <c r="A1216" s="35"/>
      <c r="B1216" s="36"/>
      <c r="C1216" s="36"/>
      <c r="D1216" s="37"/>
      <c r="E1216" s="37"/>
      <c r="F1216" s="37"/>
      <c r="G1216" s="44"/>
      <c r="H1216" s="38"/>
      <c r="I1216" s="36"/>
      <c r="J1216" s="37"/>
      <c r="K1216" s="43"/>
      <c r="L1216" s="44"/>
    </row>
    <row r="1217" spans="1:12" s="34" customFormat="1" x14ac:dyDescent="0.35">
      <c r="A1217" s="35"/>
      <c r="B1217" s="36"/>
      <c r="C1217" s="36"/>
      <c r="D1217" s="37"/>
      <c r="E1217" s="37"/>
      <c r="F1217" s="37"/>
      <c r="G1217" s="44"/>
      <c r="H1217" s="38"/>
      <c r="I1217" s="36"/>
      <c r="J1217" s="37"/>
      <c r="K1217" s="43"/>
      <c r="L1217" s="44"/>
    </row>
    <row r="1218" spans="1:12" s="34" customFormat="1" x14ac:dyDescent="0.35">
      <c r="A1218" s="35"/>
      <c r="B1218" s="36"/>
      <c r="C1218" s="36"/>
      <c r="D1218" s="37"/>
      <c r="E1218" s="37"/>
      <c r="F1218" s="37"/>
      <c r="G1218" s="44"/>
      <c r="H1218" s="38"/>
      <c r="I1218" s="36"/>
      <c r="J1218" s="37"/>
      <c r="K1218" s="43"/>
      <c r="L1218" s="44"/>
    </row>
    <row r="1219" spans="1:12" s="34" customFormat="1" x14ac:dyDescent="0.35">
      <c r="A1219" s="35"/>
      <c r="B1219" s="36"/>
      <c r="C1219" s="36"/>
      <c r="D1219" s="37"/>
      <c r="E1219" s="37"/>
      <c r="F1219" s="37"/>
      <c r="G1219" s="44"/>
      <c r="H1219" s="38"/>
      <c r="I1219" s="36"/>
      <c r="J1219" s="37"/>
      <c r="K1219" s="43"/>
      <c r="L1219" s="44"/>
    </row>
    <row r="1220" spans="1:12" s="34" customFormat="1" x14ac:dyDescent="0.35">
      <c r="A1220" s="35"/>
      <c r="B1220" s="36"/>
      <c r="C1220" s="36"/>
      <c r="D1220" s="37"/>
      <c r="E1220" s="37"/>
      <c r="F1220" s="37"/>
      <c r="G1220" s="44"/>
      <c r="H1220" s="38"/>
      <c r="I1220" s="36"/>
      <c r="J1220" s="37"/>
      <c r="K1220" s="43"/>
      <c r="L1220" s="44"/>
    </row>
    <row r="1221" spans="1:12" s="34" customFormat="1" x14ac:dyDescent="0.35">
      <c r="A1221" s="35"/>
      <c r="B1221" s="36"/>
      <c r="C1221" s="36"/>
      <c r="D1221" s="37"/>
      <c r="E1221" s="37"/>
      <c r="F1221" s="37"/>
      <c r="G1221" s="44"/>
      <c r="H1221" s="38"/>
      <c r="I1221" s="36"/>
      <c r="J1221" s="37"/>
      <c r="K1221" s="43"/>
      <c r="L1221" s="44"/>
    </row>
    <row r="1222" spans="1:12" s="34" customFormat="1" x14ac:dyDescent="0.35">
      <c r="A1222" s="35"/>
      <c r="B1222" s="36"/>
      <c r="C1222" s="36"/>
      <c r="D1222" s="37"/>
      <c r="E1222" s="37"/>
      <c r="F1222" s="37"/>
      <c r="G1222" s="44"/>
      <c r="H1222" s="38"/>
      <c r="I1222" s="36"/>
      <c r="J1222" s="37"/>
      <c r="K1222" s="43"/>
      <c r="L1222" s="44"/>
    </row>
    <row r="1223" spans="1:12" s="34" customFormat="1" x14ac:dyDescent="0.35">
      <c r="A1223" s="35"/>
      <c r="B1223" s="36"/>
      <c r="C1223" s="36"/>
      <c r="D1223" s="37"/>
      <c r="E1223" s="37"/>
      <c r="F1223" s="37"/>
      <c r="G1223" s="44"/>
      <c r="H1223" s="38"/>
      <c r="I1223" s="36"/>
      <c r="J1223" s="37"/>
      <c r="K1223" s="43"/>
      <c r="L1223" s="44"/>
    </row>
    <row r="1224" spans="1:12" s="34" customFormat="1" x14ac:dyDescent="0.35">
      <c r="A1224" s="35"/>
      <c r="B1224" s="36"/>
      <c r="C1224" s="36"/>
      <c r="D1224" s="37"/>
      <c r="E1224" s="37"/>
      <c r="F1224" s="37"/>
      <c r="G1224" s="44"/>
      <c r="H1224" s="38"/>
      <c r="I1224" s="36"/>
      <c r="J1224" s="37"/>
      <c r="K1224" s="43"/>
      <c r="L1224" s="44"/>
    </row>
    <row r="1225" spans="1:12" s="34" customFormat="1" x14ac:dyDescent="0.35">
      <c r="A1225" s="35"/>
      <c r="B1225" s="36"/>
      <c r="C1225" s="36"/>
      <c r="D1225" s="37"/>
      <c r="E1225" s="37"/>
      <c r="F1225" s="37"/>
      <c r="G1225" s="44"/>
      <c r="H1225" s="38"/>
      <c r="I1225" s="36"/>
      <c r="J1225" s="37"/>
      <c r="K1225" s="43"/>
      <c r="L1225" s="44"/>
    </row>
    <row r="1226" spans="1:12" s="34" customFormat="1" x14ac:dyDescent="0.35">
      <c r="A1226" s="35"/>
      <c r="B1226" s="36"/>
      <c r="C1226" s="36"/>
      <c r="D1226" s="37"/>
      <c r="E1226" s="37"/>
      <c r="F1226" s="37"/>
      <c r="G1226" s="44"/>
      <c r="H1226" s="38"/>
      <c r="I1226" s="36"/>
      <c r="J1226" s="37"/>
      <c r="K1226" s="43"/>
      <c r="L1226" s="44"/>
    </row>
    <row r="1227" spans="1:12" s="34" customFormat="1" x14ac:dyDescent="0.35">
      <c r="A1227" s="35"/>
      <c r="B1227" s="36"/>
      <c r="C1227" s="36"/>
      <c r="D1227" s="37"/>
      <c r="E1227" s="37"/>
      <c r="F1227" s="37"/>
      <c r="G1227" s="44"/>
      <c r="H1227" s="38"/>
      <c r="I1227" s="36"/>
      <c r="J1227" s="37"/>
      <c r="K1227" s="43"/>
      <c r="L1227" s="44"/>
    </row>
    <row r="1228" spans="1:12" s="34" customFormat="1" x14ac:dyDescent="0.35">
      <c r="A1228" s="35"/>
      <c r="B1228" s="36"/>
      <c r="C1228" s="36"/>
      <c r="D1228" s="37"/>
      <c r="E1228" s="37"/>
      <c r="F1228" s="37"/>
      <c r="G1228" s="44"/>
      <c r="H1228" s="38"/>
      <c r="I1228" s="36"/>
      <c r="J1228" s="37"/>
      <c r="K1228" s="43"/>
      <c r="L1228" s="44"/>
    </row>
    <row r="1229" spans="1:12" s="34" customFormat="1" x14ac:dyDescent="0.35">
      <c r="A1229" s="35"/>
      <c r="B1229" s="36"/>
      <c r="C1229" s="36"/>
      <c r="D1229" s="37"/>
      <c r="E1229" s="37"/>
      <c r="F1229" s="37"/>
      <c r="G1229" s="44"/>
      <c r="H1229" s="38"/>
      <c r="I1229" s="36"/>
      <c r="J1229" s="37"/>
      <c r="K1229" s="43"/>
      <c r="L1229" s="44"/>
    </row>
    <row r="1230" spans="1:12" s="34" customFormat="1" x14ac:dyDescent="0.35">
      <c r="A1230" s="35"/>
      <c r="B1230" s="36"/>
      <c r="C1230" s="36"/>
      <c r="D1230" s="37"/>
      <c r="E1230" s="37"/>
      <c r="F1230" s="37"/>
      <c r="G1230" s="44"/>
      <c r="H1230" s="38"/>
      <c r="I1230" s="36"/>
      <c r="J1230" s="37"/>
      <c r="K1230" s="43"/>
      <c r="L1230" s="44"/>
    </row>
    <row r="1231" spans="1:12" s="34" customFormat="1" x14ac:dyDescent="0.35">
      <c r="A1231" s="35"/>
      <c r="B1231" s="36"/>
      <c r="C1231" s="36"/>
      <c r="D1231" s="37"/>
      <c r="E1231" s="37"/>
      <c r="F1231" s="37"/>
      <c r="G1231" s="44"/>
      <c r="H1231" s="38"/>
      <c r="I1231" s="36"/>
      <c r="J1231" s="37"/>
      <c r="K1231" s="43"/>
      <c r="L1231" s="44"/>
    </row>
    <row r="1232" spans="1:12" s="34" customFormat="1" x14ac:dyDescent="0.35">
      <c r="A1232" s="35"/>
      <c r="B1232" s="36"/>
      <c r="C1232" s="36"/>
      <c r="D1232" s="37"/>
      <c r="E1232" s="37"/>
      <c r="F1232" s="37"/>
      <c r="G1232" s="44"/>
      <c r="H1232" s="38"/>
      <c r="I1232" s="36"/>
      <c r="J1232" s="37"/>
      <c r="K1232" s="43"/>
      <c r="L1232" s="44"/>
    </row>
    <row r="1233" spans="1:12" s="34" customFormat="1" x14ac:dyDescent="0.35">
      <c r="A1233" s="35"/>
      <c r="B1233" s="36"/>
      <c r="C1233" s="36"/>
      <c r="D1233" s="37"/>
      <c r="E1233" s="37"/>
      <c r="F1233" s="37"/>
      <c r="G1233" s="44"/>
      <c r="H1233" s="38"/>
      <c r="I1233" s="36"/>
      <c r="J1233" s="37"/>
      <c r="K1233" s="43"/>
      <c r="L1233" s="44"/>
    </row>
    <row r="1234" spans="1:12" s="34" customFormat="1" x14ac:dyDescent="0.35">
      <c r="A1234" s="35"/>
      <c r="B1234" s="36"/>
      <c r="C1234" s="36"/>
      <c r="D1234" s="37"/>
      <c r="E1234" s="37"/>
      <c r="F1234" s="37"/>
      <c r="G1234" s="44"/>
      <c r="H1234" s="38"/>
      <c r="I1234" s="36"/>
      <c r="J1234" s="37"/>
      <c r="K1234" s="43"/>
      <c r="L1234" s="44"/>
    </row>
    <row r="1235" spans="1:12" s="34" customFormat="1" x14ac:dyDescent="0.35">
      <c r="A1235" s="35"/>
      <c r="B1235" s="36"/>
      <c r="C1235" s="36"/>
      <c r="D1235" s="37"/>
      <c r="E1235" s="37"/>
      <c r="F1235" s="37"/>
      <c r="G1235" s="44"/>
      <c r="H1235" s="38"/>
      <c r="I1235" s="36"/>
      <c r="J1235" s="37"/>
      <c r="K1235" s="43"/>
      <c r="L1235" s="44"/>
    </row>
    <row r="1236" spans="1:12" s="34" customFormat="1" x14ac:dyDescent="0.35">
      <c r="A1236" s="35"/>
      <c r="B1236" s="36"/>
      <c r="C1236" s="36"/>
      <c r="D1236" s="37"/>
      <c r="E1236" s="37"/>
      <c r="F1236" s="37"/>
      <c r="G1236" s="44"/>
      <c r="H1236" s="38"/>
      <c r="I1236" s="36"/>
      <c r="J1236" s="37"/>
      <c r="K1236" s="43"/>
      <c r="L1236" s="44"/>
    </row>
    <row r="1237" spans="1:12" s="34" customFormat="1" x14ac:dyDescent="0.35">
      <c r="A1237" s="35"/>
      <c r="B1237" s="36"/>
      <c r="C1237" s="36"/>
      <c r="D1237" s="37"/>
      <c r="E1237" s="37"/>
      <c r="F1237" s="37"/>
      <c r="G1237" s="44"/>
      <c r="H1237" s="38"/>
      <c r="I1237" s="36"/>
      <c r="J1237" s="37"/>
      <c r="K1237" s="43"/>
      <c r="L1237" s="44"/>
    </row>
    <row r="1238" spans="1:12" s="34" customFormat="1" x14ac:dyDescent="0.35">
      <c r="A1238" s="35"/>
      <c r="B1238" s="36"/>
      <c r="C1238" s="36"/>
      <c r="D1238" s="37"/>
      <c r="E1238" s="37"/>
      <c r="F1238" s="37"/>
      <c r="G1238" s="44"/>
      <c r="H1238" s="38"/>
      <c r="I1238" s="36"/>
      <c r="J1238" s="37"/>
      <c r="K1238" s="43"/>
      <c r="L1238" s="44"/>
    </row>
    <row r="1239" spans="1:12" s="34" customFormat="1" x14ac:dyDescent="0.35">
      <c r="A1239" s="35"/>
      <c r="B1239" s="36"/>
      <c r="C1239" s="36"/>
      <c r="D1239" s="37"/>
      <c r="E1239" s="37"/>
      <c r="F1239" s="37"/>
      <c r="G1239" s="44"/>
      <c r="H1239" s="38"/>
      <c r="I1239" s="36"/>
      <c r="J1239" s="37"/>
      <c r="K1239" s="43"/>
      <c r="L1239" s="44"/>
    </row>
    <row r="1240" spans="1:12" s="34" customFormat="1" x14ac:dyDescent="0.35">
      <c r="A1240" s="35"/>
      <c r="B1240" s="36"/>
      <c r="C1240" s="36"/>
      <c r="D1240" s="37"/>
      <c r="E1240" s="37"/>
      <c r="F1240" s="37"/>
      <c r="G1240" s="44"/>
      <c r="H1240" s="38"/>
      <c r="I1240" s="36"/>
      <c r="J1240" s="37"/>
      <c r="K1240" s="43"/>
      <c r="L1240" s="44"/>
    </row>
    <row r="1241" spans="1:12" s="34" customFormat="1" x14ac:dyDescent="0.35">
      <c r="A1241" s="35"/>
      <c r="B1241" s="36"/>
      <c r="C1241" s="36"/>
      <c r="D1241" s="37"/>
      <c r="E1241" s="37"/>
      <c r="F1241" s="37"/>
      <c r="G1241" s="44"/>
      <c r="H1241" s="38"/>
      <c r="I1241" s="36"/>
      <c r="J1241" s="37"/>
      <c r="K1241" s="43"/>
      <c r="L1241" s="44"/>
    </row>
    <row r="1242" spans="1:12" s="34" customFormat="1" x14ac:dyDescent="0.35">
      <c r="A1242" s="35"/>
      <c r="B1242" s="36"/>
      <c r="C1242" s="36"/>
      <c r="D1242" s="37"/>
      <c r="E1242" s="37"/>
      <c r="F1242" s="37"/>
      <c r="G1242" s="44"/>
      <c r="H1242" s="38"/>
      <c r="I1242" s="36"/>
      <c r="J1242" s="37"/>
      <c r="K1242" s="43"/>
      <c r="L1242" s="44"/>
    </row>
    <row r="1243" spans="1:12" s="34" customFormat="1" x14ac:dyDescent="0.35">
      <c r="A1243" s="35"/>
      <c r="B1243" s="36"/>
      <c r="C1243" s="36"/>
      <c r="D1243" s="37"/>
      <c r="E1243" s="37"/>
      <c r="F1243" s="37"/>
      <c r="G1243" s="44"/>
      <c r="H1243" s="38"/>
      <c r="I1243" s="36"/>
      <c r="J1243" s="37"/>
      <c r="K1243" s="43"/>
      <c r="L1243" s="44"/>
    </row>
    <row r="1244" spans="1:12" s="34" customFormat="1" x14ac:dyDescent="0.35">
      <c r="A1244" s="35"/>
      <c r="B1244" s="36"/>
      <c r="C1244" s="36"/>
      <c r="D1244" s="37"/>
      <c r="E1244" s="37"/>
      <c r="F1244" s="37"/>
      <c r="G1244" s="44"/>
      <c r="H1244" s="38"/>
      <c r="I1244" s="36"/>
      <c r="J1244" s="37"/>
      <c r="K1244" s="43"/>
      <c r="L1244" s="44"/>
    </row>
    <row r="1245" spans="1:12" s="34" customFormat="1" x14ac:dyDescent="0.35">
      <c r="A1245" s="35"/>
      <c r="B1245" s="36"/>
      <c r="C1245" s="36"/>
      <c r="D1245" s="37"/>
      <c r="E1245" s="37"/>
      <c r="F1245" s="37"/>
      <c r="G1245" s="44"/>
      <c r="H1245" s="38"/>
      <c r="I1245" s="36"/>
      <c r="J1245" s="37"/>
      <c r="K1245" s="43"/>
      <c r="L1245" s="44"/>
    </row>
    <row r="1246" spans="1:12" s="34" customFormat="1" x14ac:dyDescent="0.35">
      <c r="A1246" s="35"/>
      <c r="B1246" s="36"/>
      <c r="C1246" s="36"/>
      <c r="D1246" s="37"/>
      <c r="E1246" s="37"/>
      <c r="F1246" s="37"/>
      <c r="G1246" s="44"/>
      <c r="H1246" s="38"/>
      <c r="I1246" s="36"/>
      <c r="J1246" s="37"/>
      <c r="K1246" s="43"/>
      <c r="L1246" s="44"/>
    </row>
    <row r="1247" spans="1:12" s="34" customFormat="1" x14ac:dyDescent="0.35">
      <c r="A1247" s="35"/>
      <c r="B1247" s="36"/>
      <c r="C1247" s="36"/>
      <c r="D1247" s="37"/>
      <c r="E1247" s="37"/>
      <c r="F1247" s="37"/>
      <c r="G1247" s="44"/>
      <c r="H1247" s="38"/>
      <c r="I1247" s="36"/>
      <c r="J1247" s="37"/>
      <c r="K1247" s="43"/>
      <c r="L1247" s="44"/>
    </row>
    <row r="1248" spans="1:12" s="34" customFormat="1" x14ac:dyDescent="0.35">
      <c r="A1248" s="35"/>
      <c r="B1248" s="36"/>
      <c r="C1248" s="36"/>
      <c r="D1248" s="37"/>
      <c r="E1248" s="37"/>
      <c r="F1248" s="37"/>
      <c r="G1248" s="44"/>
      <c r="H1248" s="38"/>
      <c r="I1248" s="36"/>
      <c r="J1248" s="37"/>
      <c r="K1248" s="43"/>
      <c r="L1248" s="44"/>
    </row>
    <row r="1249" spans="1:12" s="34" customFormat="1" x14ac:dyDescent="0.35">
      <c r="A1249" s="35"/>
      <c r="B1249" s="36"/>
      <c r="C1249" s="36"/>
      <c r="D1249" s="37"/>
      <c r="E1249" s="37"/>
      <c r="F1249" s="37"/>
      <c r="G1249" s="44"/>
      <c r="H1249" s="38"/>
      <c r="I1249" s="36"/>
      <c r="J1249" s="37"/>
      <c r="K1249" s="43"/>
      <c r="L1249" s="44"/>
    </row>
    <row r="1250" spans="1:12" s="34" customFormat="1" x14ac:dyDescent="0.35">
      <c r="A1250" s="35"/>
      <c r="B1250" s="36"/>
      <c r="C1250" s="36"/>
      <c r="D1250" s="37"/>
      <c r="E1250" s="37"/>
      <c r="F1250" s="37"/>
      <c r="G1250" s="44"/>
      <c r="H1250" s="38"/>
      <c r="I1250" s="36"/>
      <c r="J1250" s="37"/>
      <c r="K1250" s="43"/>
      <c r="L1250" s="44"/>
    </row>
    <row r="1251" spans="1:12" s="34" customFormat="1" x14ac:dyDescent="0.35">
      <c r="A1251" s="35"/>
      <c r="B1251" s="36"/>
      <c r="C1251" s="36"/>
      <c r="D1251" s="37"/>
      <c r="E1251" s="37"/>
      <c r="F1251" s="37"/>
      <c r="G1251" s="44"/>
      <c r="H1251" s="38"/>
      <c r="I1251" s="36"/>
      <c r="J1251" s="37"/>
      <c r="K1251" s="43"/>
      <c r="L1251" s="44"/>
    </row>
    <row r="1252" spans="1:12" s="34" customFormat="1" x14ac:dyDescent="0.35">
      <c r="A1252" s="35"/>
      <c r="B1252" s="36"/>
      <c r="C1252" s="36"/>
      <c r="D1252" s="37"/>
      <c r="E1252" s="37"/>
      <c r="F1252" s="37"/>
      <c r="G1252" s="44"/>
      <c r="H1252" s="38"/>
      <c r="I1252" s="36"/>
      <c r="J1252" s="37"/>
      <c r="K1252" s="43"/>
      <c r="L1252" s="44"/>
    </row>
    <row r="1253" spans="1:12" s="34" customFormat="1" x14ac:dyDescent="0.35">
      <c r="A1253" s="35"/>
      <c r="B1253" s="36"/>
      <c r="C1253" s="36"/>
      <c r="D1253" s="37"/>
      <c r="E1253" s="37"/>
      <c r="F1253" s="37"/>
      <c r="G1253" s="44"/>
      <c r="H1253" s="38"/>
      <c r="I1253" s="36"/>
      <c r="J1253" s="37"/>
      <c r="K1253" s="43"/>
      <c r="L1253" s="44"/>
    </row>
    <row r="1254" spans="1:12" s="34" customFormat="1" x14ac:dyDescent="0.35">
      <c r="A1254" s="35"/>
      <c r="B1254" s="36"/>
      <c r="C1254" s="36"/>
      <c r="D1254" s="37"/>
      <c r="E1254" s="37"/>
      <c r="F1254" s="37"/>
      <c r="G1254" s="44"/>
      <c r="H1254" s="38"/>
      <c r="I1254" s="36"/>
      <c r="J1254" s="37"/>
      <c r="K1254" s="43"/>
      <c r="L1254" s="44"/>
    </row>
    <row r="1255" spans="1:12" s="34" customFormat="1" x14ac:dyDescent="0.35">
      <c r="A1255" s="35"/>
      <c r="B1255" s="36"/>
      <c r="C1255" s="36"/>
      <c r="D1255" s="37"/>
      <c r="E1255" s="37"/>
      <c r="F1255" s="37"/>
      <c r="G1255" s="44"/>
      <c r="H1255" s="38"/>
      <c r="I1255" s="36"/>
      <c r="J1255" s="37"/>
      <c r="K1255" s="43"/>
      <c r="L1255" s="44"/>
    </row>
    <row r="1256" spans="1:12" s="34" customFormat="1" x14ac:dyDescent="0.35">
      <c r="A1256" s="35"/>
      <c r="B1256" s="36"/>
      <c r="C1256" s="36"/>
      <c r="D1256" s="37"/>
      <c r="E1256" s="37"/>
      <c r="F1256" s="37"/>
      <c r="G1256" s="44"/>
      <c r="H1256" s="38"/>
      <c r="I1256" s="36"/>
      <c r="J1256" s="37"/>
      <c r="K1256" s="43"/>
      <c r="L1256" s="44"/>
    </row>
    <row r="1257" spans="1:12" s="34" customFormat="1" x14ac:dyDescent="0.35">
      <c r="A1257" s="35"/>
      <c r="B1257" s="36"/>
      <c r="C1257" s="36"/>
      <c r="D1257" s="37"/>
      <c r="E1257" s="37"/>
      <c r="F1257" s="37"/>
      <c r="G1257" s="44"/>
      <c r="H1257" s="38"/>
      <c r="I1257" s="36"/>
      <c r="J1257" s="37"/>
      <c r="K1257" s="43"/>
      <c r="L1257" s="44"/>
    </row>
    <row r="1258" spans="1:12" s="34" customFormat="1" x14ac:dyDescent="0.35">
      <c r="A1258" s="35"/>
      <c r="B1258" s="36"/>
      <c r="C1258" s="36"/>
      <c r="D1258" s="37"/>
      <c r="E1258" s="37"/>
      <c r="F1258" s="37"/>
      <c r="G1258" s="44"/>
      <c r="H1258" s="38"/>
      <c r="I1258" s="36"/>
      <c r="J1258" s="37"/>
      <c r="K1258" s="43"/>
      <c r="L1258" s="44"/>
    </row>
    <row r="1259" spans="1:12" s="34" customFormat="1" x14ac:dyDescent="0.35">
      <c r="A1259" s="35"/>
      <c r="B1259" s="36"/>
      <c r="C1259" s="36"/>
      <c r="D1259" s="37"/>
      <c r="E1259" s="37"/>
      <c r="F1259" s="37"/>
      <c r="G1259" s="44"/>
      <c r="H1259" s="38"/>
      <c r="I1259" s="36"/>
      <c r="J1259" s="37"/>
      <c r="K1259" s="43"/>
      <c r="L1259" s="44"/>
    </row>
    <row r="1260" spans="1:12" s="34" customFormat="1" x14ac:dyDescent="0.35">
      <c r="A1260" s="35"/>
      <c r="B1260" s="36"/>
      <c r="C1260" s="36"/>
      <c r="D1260" s="37"/>
      <c r="E1260" s="37"/>
      <c r="F1260" s="37"/>
      <c r="G1260" s="44"/>
      <c r="H1260" s="38"/>
      <c r="I1260" s="36"/>
      <c r="J1260" s="37"/>
      <c r="K1260" s="43"/>
      <c r="L1260" s="44"/>
    </row>
    <row r="1261" spans="1:12" s="34" customFormat="1" x14ac:dyDescent="0.35">
      <c r="A1261" s="35"/>
      <c r="B1261" s="36"/>
      <c r="C1261" s="36"/>
      <c r="D1261" s="37"/>
      <c r="E1261" s="37"/>
      <c r="F1261" s="37"/>
      <c r="G1261" s="44"/>
      <c r="H1261" s="38"/>
      <c r="I1261" s="36"/>
      <c r="J1261" s="37"/>
      <c r="K1261" s="43"/>
      <c r="L1261" s="44"/>
    </row>
    <row r="1262" spans="1:12" s="34" customFormat="1" x14ac:dyDescent="0.35">
      <c r="A1262" s="35"/>
      <c r="B1262" s="36"/>
      <c r="C1262" s="36"/>
      <c r="D1262" s="37"/>
      <c r="E1262" s="37"/>
      <c r="F1262" s="37"/>
      <c r="G1262" s="44"/>
      <c r="H1262" s="38"/>
      <c r="I1262" s="36"/>
      <c r="J1262" s="37"/>
      <c r="K1262" s="43"/>
      <c r="L1262" s="44"/>
    </row>
    <row r="1263" spans="1:12" s="34" customFormat="1" x14ac:dyDescent="0.35">
      <c r="A1263" s="35"/>
      <c r="B1263" s="36"/>
      <c r="C1263" s="36"/>
      <c r="D1263" s="37"/>
      <c r="E1263" s="37"/>
      <c r="F1263" s="37"/>
      <c r="G1263" s="44"/>
      <c r="H1263" s="38"/>
      <c r="I1263" s="36"/>
      <c r="J1263" s="37"/>
      <c r="K1263" s="43"/>
      <c r="L1263" s="44"/>
    </row>
    <row r="1264" spans="1:12" s="34" customFormat="1" x14ac:dyDescent="0.35">
      <c r="A1264" s="35"/>
      <c r="B1264" s="36"/>
      <c r="C1264" s="36"/>
      <c r="D1264" s="37"/>
      <c r="E1264" s="37"/>
      <c r="F1264" s="37"/>
      <c r="G1264" s="44"/>
      <c r="H1264" s="38"/>
      <c r="I1264" s="36"/>
      <c r="J1264" s="37"/>
      <c r="K1264" s="43"/>
      <c r="L1264" s="44"/>
    </row>
    <row r="1265" spans="1:12" s="34" customFormat="1" x14ac:dyDescent="0.35">
      <c r="A1265" s="35"/>
      <c r="B1265" s="36"/>
      <c r="C1265" s="36"/>
      <c r="D1265" s="37"/>
      <c r="E1265" s="37"/>
      <c r="F1265" s="37"/>
      <c r="G1265" s="44"/>
      <c r="H1265" s="38"/>
      <c r="I1265" s="36"/>
      <c r="J1265" s="37"/>
      <c r="K1265" s="43"/>
      <c r="L1265" s="44"/>
    </row>
    <row r="1266" spans="1:12" s="34" customFormat="1" x14ac:dyDescent="0.35">
      <c r="A1266" s="35"/>
      <c r="B1266" s="36"/>
      <c r="C1266" s="36"/>
      <c r="D1266" s="37"/>
      <c r="E1266" s="37"/>
      <c r="F1266" s="37"/>
      <c r="G1266" s="44"/>
      <c r="H1266" s="38"/>
      <c r="I1266" s="36"/>
      <c r="J1266" s="37"/>
      <c r="K1266" s="43"/>
      <c r="L1266" s="44"/>
    </row>
    <row r="1267" spans="1:12" s="34" customFormat="1" x14ac:dyDescent="0.35">
      <c r="A1267" s="35"/>
      <c r="B1267" s="36"/>
      <c r="C1267" s="36"/>
      <c r="D1267" s="37"/>
      <c r="E1267" s="37"/>
      <c r="F1267" s="37"/>
      <c r="G1267" s="44"/>
      <c r="H1267" s="38"/>
      <c r="I1267" s="36"/>
      <c r="J1267" s="37"/>
      <c r="K1267" s="43"/>
      <c r="L1267" s="44"/>
    </row>
    <row r="1268" spans="1:12" s="34" customFormat="1" x14ac:dyDescent="0.35">
      <c r="A1268" s="35"/>
      <c r="B1268" s="36"/>
      <c r="C1268" s="36"/>
      <c r="D1268" s="37"/>
      <c r="E1268" s="37"/>
      <c r="F1268" s="37"/>
      <c r="G1268" s="44"/>
      <c r="H1268" s="38"/>
      <c r="I1268" s="36"/>
      <c r="J1268" s="37"/>
      <c r="K1268" s="43"/>
      <c r="L1268" s="44"/>
    </row>
    <row r="1269" spans="1:12" s="34" customFormat="1" x14ac:dyDescent="0.35">
      <c r="A1269" s="35"/>
      <c r="B1269" s="36"/>
      <c r="C1269" s="36"/>
      <c r="D1269" s="37"/>
      <c r="E1269" s="37"/>
      <c r="F1269" s="37"/>
      <c r="G1269" s="44"/>
      <c r="H1269" s="38"/>
      <c r="I1269" s="36"/>
      <c r="J1269" s="37"/>
      <c r="K1269" s="43"/>
      <c r="L1269" s="44"/>
    </row>
    <row r="1270" spans="1:12" s="34" customFormat="1" x14ac:dyDescent="0.35">
      <c r="A1270" s="35"/>
      <c r="B1270" s="36"/>
      <c r="C1270" s="36"/>
      <c r="D1270" s="37"/>
      <c r="E1270" s="37"/>
      <c r="F1270" s="37"/>
      <c r="G1270" s="44"/>
      <c r="H1270" s="38"/>
      <c r="I1270" s="36"/>
      <c r="J1270" s="37"/>
      <c r="K1270" s="43"/>
      <c r="L1270" s="44"/>
    </row>
    <row r="1271" spans="1:12" s="34" customFormat="1" x14ac:dyDescent="0.35">
      <c r="A1271" s="35"/>
      <c r="B1271" s="36"/>
      <c r="C1271" s="36"/>
      <c r="D1271" s="37"/>
      <c r="E1271" s="37"/>
      <c r="F1271" s="37"/>
      <c r="G1271" s="44"/>
      <c r="H1271" s="38"/>
      <c r="I1271" s="36"/>
      <c r="J1271" s="37"/>
      <c r="K1271" s="43"/>
      <c r="L1271" s="44"/>
    </row>
    <row r="1272" spans="1:12" s="34" customFormat="1" x14ac:dyDescent="0.35">
      <c r="A1272" s="35"/>
      <c r="B1272" s="36"/>
      <c r="C1272" s="36"/>
      <c r="D1272" s="37"/>
      <c r="E1272" s="37"/>
      <c r="F1272" s="37"/>
      <c r="G1272" s="44"/>
      <c r="H1272" s="38"/>
      <c r="I1272" s="36"/>
      <c r="J1272" s="37"/>
      <c r="K1272" s="43"/>
      <c r="L1272" s="44"/>
    </row>
    <row r="1273" spans="1:12" s="34" customFormat="1" x14ac:dyDescent="0.35">
      <c r="A1273" s="35"/>
      <c r="B1273" s="36"/>
      <c r="C1273" s="36"/>
      <c r="D1273" s="37"/>
      <c r="E1273" s="37"/>
      <c r="F1273" s="37"/>
      <c r="G1273" s="44"/>
      <c r="H1273" s="38"/>
      <c r="I1273" s="36"/>
      <c r="J1273" s="37"/>
      <c r="K1273" s="43"/>
      <c r="L1273" s="44"/>
    </row>
    <row r="1274" spans="1:12" s="34" customFormat="1" x14ac:dyDescent="0.35">
      <c r="A1274" s="35"/>
      <c r="B1274" s="36"/>
      <c r="C1274" s="36"/>
      <c r="D1274" s="37"/>
      <c r="E1274" s="37"/>
      <c r="F1274" s="37"/>
      <c r="G1274" s="44"/>
      <c r="H1274" s="38"/>
      <c r="I1274" s="36"/>
      <c r="J1274" s="37"/>
      <c r="K1274" s="43"/>
      <c r="L1274" s="44"/>
    </row>
    <row r="1275" spans="1:12" s="34" customFormat="1" x14ac:dyDescent="0.35">
      <c r="A1275" s="35"/>
      <c r="B1275" s="36"/>
      <c r="C1275" s="36"/>
      <c r="D1275" s="37"/>
      <c r="E1275" s="37"/>
      <c r="F1275" s="37"/>
      <c r="G1275" s="44"/>
      <c r="H1275" s="38"/>
      <c r="I1275" s="36"/>
      <c r="J1275" s="37"/>
      <c r="K1275" s="43"/>
      <c r="L1275" s="44"/>
    </row>
    <row r="1276" spans="1:12" s="34" customFormat="1" x14ac:dyDescent="0.35">
      <c r="A1276" s="35"/>
      <c r="B1276" s="36"/>
      <c r="C1276" s="36"/>
      <c r="D1276" s="37"/>
      <c r="E1276" s="37"/>
      <c r="F1276" s="37"/>
      <c r="G1276" s="44"/>
      <c r="H1276" s="38"/>
      <c r="I1276" s="36"/>
      <c r="J1276" s="37"/>
      <c r="K1276" s="43"/>
      <c r="L1276" s="44"/>
    </row>
    <row r="1277" spans="1:12" s="34" customFormat="1" x14ac:dyDescent="0.35">
      <c r="A1277" s="35"/>
      <c r="B1277" s="36"/>
      <c r="C1277" s="36"/>
      <c r="D1277" s="37"/>
      <c r="E1277" s="37"/>
      <c r="F1277" s="37"/>
      <c r="G1277" s="44"/>
      <c r="H1277" s="38"/>
      <c r="I1277" s="36"/>
      <c r="J1277" s="37"/>
      <c r="K1277" s="43"/>
      <c r="L1277" s="44"/>
    </row>
    <row r="1278" spans="1:12" s="34" customFormat="1" x14ac:dyDescent="0.35">
      <c r="A1278" s="35"/>
      <c r="B1278" s="36"/>
      <c r="C1278" s="36"/>
      <c r="D1278" s="37"/>
      <c r="E1278" s="37"/>
      <c r="F1278" s="37"/>
      <c r="G1278" s="44"/>
      <c r="H1278" s="38"/>
      <c r="I1278" s="36"/>
      <c r="J1278" s="37"/>
      <c r="K1278" s="43"/>
      <c r="L1278" s="44"/>
    </row>
    <row r="1279" spans="1:12" s="34" customFormat="1" x14ac:dyDescent="0.35">
      <c r="A1279" s="35"/>
      <c r="B1279" s="36"/>
      <c r="C1279" s="36"/>
      <c r="D1279" s="37"/>
      <c r="E1279" s="37"/>
      <c r="F1279" s="37"/>
      <c r="G1279" s="44"/>
      <c r="H1279" s="38"/>
      <c r="I1279" s="36"/>
      <c r="J1279" s="37"/>
      <c r="K1279" s="43"/>
      <c r="L1279" s="44"/>
    </row>
    <row r="1280" spans="1:12" s="34" customFormat="1" x14ac:dyDescent="0.35">
      <c r="A1280" s="35"/>
      <c r="B1280" s="36"/>
      <c r="C1280" s="36"/>
      <c r="D1280" s="37"/>
      <c r="E1280" s="37"/>
      <c r="F1280" s="37"/>
      <c r="G1280" s="44"/>
      <c r="H1280" s="38"/>
      <c r="I1280" s="36"/>
      <c r="J1280" s="37"/>
      <c r="K1280" s="43"/>
      <c r="L1280" s="44"/>
    </row>
    <row r="1281" spans="1:12" s="34" customFormat="1" x14ac:dyDescent="0.35">
      <c r="A1281" s="35"/>
      <c r="B1281" s="36"/>
      <c r="C1281" s="36"/>
      <c r="D1281" s="37"/>
      <c r="E1281" s="37"/>
      <c r="F1281" s="37"/>
      <c r="G1281" s="44"/>
      <c r="H1281" s="38"/>
      <c r="I1281" s="36"/>
      <c r="J1281" s="37"/>
      <c r="K1281" s="43"/>
      <c r="L1281" s="44"/>
    </row>
    <row r="1282" spans="1:12" s="34" customFormat="1" x14ac:dyDescent="0.35">
      <c r="A1282" s="35"/>
      <c r="B1282" s="36"/>
      <c r="C1282" s="36"/>
      <c r="D1282" s="37"/>
      <c r="E1282" s="37"/>
      <c r="F1282" s="37"/>
      <c r="G1282" s="44"/>
      <c r="H1282" s="38"/>
      <c r="I1282" s="36"/>
      <c r="J1282" s="37"/>
      <c r="K1282" s="43"/>
      <c r="L1282" s="44"/>
    </row>
    <row r="1283" spans="1:12" s="34" customFormat="1" x14ac:dyDescent="0.35">
      <c r="A1283" s="35"/>
      <c r="B1283" s="36"/>
      <c r="C1283" s="36"/>
      <c r="D1283" s="37"/>
      <c r="E1283" s="37"/>
      <c r="F1283" s="37"/>
      <c r="G1283" s="44"/>
      <c r="H1283" s="38"/>
      <c r="I1283" s="36"/>
      <c r="J1283" s="37"/>
      <c r="K1283" s="43"/>
      <c r="L1283" s="44"/>
    </row>
    <row r="1284" spans="1:12" s="34" customFormat="1" x14ac:dyDescent="0.35">
      <c r="A1284" s="35"/>
      <c r="B1284" s="36"/>
      <c r="C1284" s="36"/>
      <c r="D1284" s="37"/>
      <c r="E1284" s="37"/>
      <c r="F1284" s="37"/>
      <c r="G1284" s="44"/>
      <c r="H1284" s="38"/>
      <c r="I1284" s="36"/>
      <c r="J1284" s="37"/>
      <c r="K1284" s="43"/>
      <c r="L1284" s="44"/>
    </row>
    <row r="1285" spans="1:12" s="34" customFormat="1" x14ac:dyDescent="0.35">
      <c r="A1285" s="35"/>
      <c r="B1285" s="36"/>
      <c r="C1285" s="36"/>
      <c r="D1285" s="37"/>
      <c r="E1285" s="37"/>
      <c r="F1285" s="37"/>
      <c r="G1285" s="44"/>
      <c r="H1285" s="38"/>
      <c r="I1285" s="36"/>
      <c r="J1285" s="37"/>
      <c r="K1285" s="43"/>
      <c r="L1285" s="44"/>
    </row>
    <row r="1286" spans="1:12" s="34" customFormat="1" x14ac:dyDescent="0.35">
      <c r="A1286" s="35"/>
      <c r="B1286" s="36"/>
      <c r="C1286" s="36"/>
      <c r="D1286" s="37"/>
      <c r="E1286" s="37"/>
      <c r="F1286" s="37"/>
      <c r="G1286" s="44"/>
      <c r="H1286" s="38"/>
      <c r="I1286" s="36"/>
      <c r="J1286" s="37"/>
      <c r="K1286" s="43"/>
      <c r="L1286" s="44"/>
    </row>
    <row r="1287" spans="1:12" s="34" customFormat="1" x14ac:dyDescent="0.35">
      <c r="A1287" s="35"/>
      <c r="B1287" s="36"/>
      <c r="C1287" s="36"/>
      <c r="D1287" s="37"/>
      <c r="E1287" s="37"/>
      <c r="F1287" s="37"/>
      <c r="G1287" s="44"/>
      <c r="H1287" s="38"/>
      <c r="I1287" s="36"/>
      <c r="J1287" s="37"/>
      <c r="K1287" s="43"/>
      <c r="L1287" s="44"/>
    </row>
    <row r="1288" spans="1:12" s="34" customFormat="1" x14ac:dyDescent="0.35">
      <c r="A1288" s="35"/>
      <c r="B1288" s="36"/>
      <c r="C1288" s="36"/>
      <c r="D1288" s="37"/>
      <c r="E1288" s="37"/>
      <c r="F1288" s="37"/>
      <c r="G1288" s="44"/>
      <c r="H1288" s="38"/>
      <c r="I1288" s="36"/>
      <c r="J1288" s="37"/>
      <c r="K1288" s="43"/>
      <c r="L1288" s="44"/>
    </row>
    <row r="1289" spans="1:12" s="34" customFormat="1" x14ac:dyDescent="0.35">
      <c r="A1289" s="35"/>
      <c r="B1289" s="36"/>
      <c r="C1289" s="36"/>
      <c r="D1289" s="37"/>
      <c r="E1289" s="37"/>
      <c r="F1289" s="37"/>
      <c r="G1289" s="44"/>
      <c r="H1289" s="38"/>
      <c r="I1289" s="36"/>
      <c r="J1289" s="37"/>
      <c r="K1289" s="43"/>
      <c r="L1289" s="44"/>
    </row>
    <row r="1290" spans="1:12" s="34" customFormat="1" x14ac:dyDescent="0.35">
      <c r="A1290" s="35"/>
      <c r="B1290" s="36"/>
      <c r="C1290" s="36"/>
      <c r="D1290" s="37"/>
      <c r="E1290" s="37"/>
      <c r="F1290" s="37"/>
      <c r="G1290" s="44"/>
      <c r="H1290" s="38"/>
      <c r="I1290" s="36"/>
      <c r="J1290" s="37"/>
      <c r="K1290" s="43"/>
      <c r="L1290" s="44"/>
    </row>
    <row r="1291" spans="1:12" s="34" customFormat="1" x14ac:dyDescent="0.35">
      <c r="A1291" s="35"/>
      <c r="B1291" s="36"/>
      <c r="C1291" s="36"/>
      <c r="D1291" s="37"/>
      <c r="E1291" s="37"/>
      <c r="F1291" s="37"/>
      <c r="G1291" s="44"/>
      <c r="H1291" s="38"/>
      <c r="I1291" s="36"/>
      <c r="J1291" s="37"/>
      <c r="K1291" s="43"/>
      <c r="L1291" s="44"/>
    </row>
    <row r="1292" spans="1:12" s="34" customFormat="1" x14ac:dyDescent="0.35">
      <c r="A1292" s="35"/>
      <c r="B1292" s="36"/>
      <c r="C1292" s="36"/>
      <c r="D1292" s="37"/>
      <c r="E1292" s="37"/>
      <c r="F1292" s="37"/>
      <c r="G1292" s="44"/>
      <c r="H1292" s="38"/>
      <c r="I1292" s="36"/>
      <c r="J1292" s="37"/>
      <c r="K1292" s="43"/>
      <c r="L1292" s="44"/>
    </row>
    <row r="1293" spans="1:12" s="34" customFormat="1" x14ac:dyDescent="0.35">
      <c r="A1293" s="35"/>
      <c r="B1293" s="36"/>
      <c r="C1293" s="36"/>
      <c r="D1293" s="37"/>
      <c r="E1293" s="37"/>
      <c r="F1293" s="37"/>
      <c r="G1293" s="44"/>
      <c r="H1293" s="38"/>
      <c r="I1293" s="36"/>
      <c r="J1293" s="37"/>
      <c r="K1293" s="43"/>
      <c r="L1293" s="44"/>
    </row>
    <row r="1294" spans="1:12" s="34" customFormat="1" x14ac:dyDescent="0.35">
      <c r="A1294" s="35"/>
      <c r="B1294" s="36"/>
      <c r="C1294" s="36"/>
      <c r="D1294" s="37"/>
      <c r="E1294" s="37"/>
      <c r="F1294" s="37"/>
      <c r="G1294" s="44"/>
      <c r="H1294" s="38"/>
      <c r="I1294" s="36"/>
      <c r="J1294" s="37"/>
      <c r="K1294" s="43"/>
      <c r="L1294" s="44"/>
    </row>
    <row r="1295" spans="1:12" s="34" customFormat="1" x14ac:dyDescent="0.35">
      <c r="A1295" s="35"/>
      <c r="B1295" s="36"/>
      <c r="C1295" s="36"/>
      <c r="D1295" s="37"/>
      <c r="E1295" s="37"/>
      <c r="F1295" s="37"/>
      <c r="G1295" s="44"/>
      <c r="H1295" s="38"/>
      <c r="I1295" s="36"/>
      <c r="J1295" s="37"/>
      <c r="K1295" s="43"/>
      <c r="L1295" s="44"/>
    </row>
    <row r="1296" spans="1:12" s="34" customFormat="1" x14ac:dyDescent="0.35">
      <c r="A1296" s="35"/>
      <c r="B1296" s="36"/>
      <c r="C1296" s="36"/>
      <c r="D1296" s="37"/>
      <c r="E1296" s="37"/>
      <c r="F1296" s="37"/>
      <c r="G1296" s="44"/>
      <c r="H1296" s="38"/>
      <c r="I1296" s="36"/>
      <c r="J1296" s="37"/>
      <c r="K1296" s="43"/>
      <c r="L1296" s="44"/>
    </row>
    <row r="1297" spans="1:12" s="34" customFormat="1" x14ac:dyDescent="0.35">
      <c r="A1297" s="35"/>
      <c r="B1297" s="36"/>
      <c r="C1297" s="36"/>
      <c r="D1297" s="37"/>
      <c r="E1297" s="37"/>
      <c r="F1297" s="37"/>
      <c r="G1297" s="44"/>
      <c r="H1297" s="38"/>
      <c r="I1297" s="36"/>
      <c r="J1297" s="37"/>
      <c r="K1297" s="43"/>
      <c r="L1297" s="44"/>
    </row>
    <row r="1298" spans="1:12" s="34" customFormat="1" x14ac:dyDescent="0.35">
      <c r="A1298" s="35"/>
      <c r="B1298" s="36"/>
      <c r="C1298" s="36"/>
      <c r="D1298" s="37"/>
      <c r="E1298" s="37"/>
      <c r="F1298" s="37"/>
      <c r="G1298" s="44"/>
      <c r="H1298" s="38"/>
      <c r="I1298" s="36"/>
      <c r="J1298" s="37"/>
      <c r="K1298" s="43"/>
      <c r="L1298" s="44"/>
    </row>
    <row r="1299" spans="1:12" s="34" customFormat="1" x14ac:dyDescent="0.35">
      <c r="A1299" s="35"/>
      <c r="B1299" s="36"/>
      <c r="C1299" s="36"/>
      <c r="D1299" s="37"/>
      <c r="E1299" s="37"/>
      <c r="F1299" s="37"/>
      <c r="G1299" s="44"/>
      <c r="H1299" s="38"/>
      <c r="I1299" s="36"/>
      <c r="J1299" s="37"/>
      <c r="K1299" s="43"/>
      <c r="L1299" s="44"/>
    </row>
    <row r="1300" spans="1:12" s="34" customFormat="1" x14ac:dyDescent="0.35">
      <c r="A1300" s="35"/>
      <c r="B1300" s="36"/>
      <c r="C1300" s="36"/>
      <c r="D1300" s="37"/>
      <c r="E1300" s="37"/>
      <c r="F1300" s="37"/>
      <c r="G1300" s="44"/>
      <c r="H1300" s="38"/>
      <c r="I1300" s="36"/>
      <c r="J1300" s="37"/>
      <c r="K1300" s="43"/>
      <c r="L1300" s="44"/>
    </row>
    <row r="1301" spans="1:12" s="34" customFormat="1" x14ac:dyDescent="0.35">
      <c r="A1301" s="35"/>
      <c r="B1301" s="36"/>
      <c r="C1301" s="36"/>
      <c r="D1301" s="37"/>
      <c r="E1301" s="37"/>
      <c r="F1301" s="37"/>
      <c r="G1301" s="44"/>
      <c r="H1301" s="38"/>
      <c r="I1301" s="36"/>
      <c r="J1301" s="37"/>
      <c r="K1301" s="43"/>
      <c r="L1301" s="44"/>
    </row>
    <row r="1302" spans="1:12" s="34" customFormat="1" x14ac:dyDescent="0.35">
      <c r="A1302" s="35"/>
      <c r="B1302" s="36"/>
      <c r="C1302" s="36"/>
      <c r="D1302" s="37"/>
      <c r="E1302" s="37"/>
      <c r="F1302" s="37"/>
      <c r="G1302" s="44"/>
      <c r="H1302" s="38"/>
      <c r="I1302" s="36"/>
      <c r="J1302" s="37"/>
      <c r="K1302" s="43"/>
      <c r="L1302" s="44"/>
    </row>
    <row r="1303" spans="1:12" s="34" customFormat="1" x14ac:dyDescent="0.35">
      <c r="A1303" s="35"/>
      <c r="B1303" s="36"/>
      <c r="C1303" s="36"/>
      <c r="D1303" s="37"/>
      <c r="E1303" s="37"/>
      <c r="F1303" s="37"/>
      <c r="G1303" s="44"/>
      <c r="H1303" s="38"/>
      <c r="I1303" s="36"/>
      <c r="J1303" s="37"/>
      <c r="K1303" s="43"/>
      <c r="L1303" s="44"/>
    </row>
    <row r="1304" spans="1:12" s="34" customFormat="1" x14ac:dyDescent="0.35">
      <c r="A1304" s="35"/>
      <c r="B1304" s="36"/>
      <c r="C1304" s="36"/>
      <c r="D1304" s="37"/>
      <c r="E1304" s="37"/>
      <c r="F1304" s="37"/>
      <c r="G1304" s="44"/>
      <c r="H1304" s="38"/>
      <c r="I1304" s="36"/>
      <c r="J1304" s="37"/>
      <c r="K1304" s="43"/>
      <c r="L1304" s="44"/>
    </row>
    <row r="1305" spans="1:12" s="34" customFormat="1" x14ac:dyDescent="0.35">
      <c r="A1305" s="35"/>
      <c r="B1305" s="36"/>
      <c r="C1305" s="36"/>
      <c r="D1305" s="37"/>
      <c r="E1305" s="37"/>
      <c r="F1305" s="37"/>
      <c r="G1305" s="44"/>
      <c r="H1305" s="38"/>
      <c r="I1305" s="36"/>
      <c r="J1305" s="37"/>
      <c r="K1305" s="43"/>
      <c r="L1305" s="44"/>
    </row>
    <row r="1306" spans="1:12" s="34" customFormat="1" x14ac:dyDescent="0.35">
      <c r="A1306" s="35"/>
      <c r="B1306" s="36"/>
      <c r="C1306" s="36"/>
      <c r="D1306" s="37"/>
      <c r="E1306" s="37"/>
      <c r="F1306" s="37"/>
      <c r="G1306" s="44"/>
      <c r="H1306" s="38"/>
      <c r="I1306" s="36"/>
      <c r="J1306" s="37"/>
      <c r="K1306" s="43"/>
      <c r="L1306" s="44"/>
    </row>
    <row r="1307" spans="1:12" s="34" customFormat="1" x14ac:dyDescent="0.35">
      <c r="A1307" s="35"/>
      <c r="B1307" s="36"/>
      <c r="C1307" s="36"/>
      <c r="D1307" s="37"/>
      <c r="E1307" s="37"/>
      <c r="F1307" s="37"/>
      <c r="G1307" s="44"/>
      <c r="H1307" s="38"/>
      <c r="I1307" s="36"/>
      <c r="J1307" s="37"/>
      <c r="K1307" s="43"/>
      <c r="L1307" s="44"/>
    </row>
    <row r="1308" spans="1:12" s="34" customFormat="1" x14ac:dyDescent="0.35">
      <c r="A1308" s="35"/>
      <c r="B1308" s="36"/>
      <c r="C1308" s="36"/>
      <c r="D1308" s="37"/>
      <c r="E1308" s="37"/>
      <c r="F1308" s="37"/>
      <c r="G1308" s="44"/>
      <c r="H1308" s="38"/>
      <c r="I1308" s="36"/>
      <c r="J1308" s="37"/>
      <c r="K1308" s="43"/>
      <c r="L1308" s="44"/>
    </row>
    <row r="1309" spans="1:12" s="34" customFormat="1" x14ac:dyDescent="0.35">
      <c r="A1309" s="35"/>
      <c r="B1309" s="36"/>
      <c r="C1309" s="36"/>
      <c r="D1309" s="37"/>
      <c r="E1309" s="37"/>
      <c r="F1309" s="37"/>
      <c r="G1309" s="44"/>
      <c r="H1309" s="38"/>
      <c r="I1309" s="36"/>
      <c r="J1309" s="37"/>
      <c r="K1309" s="43"/>
      <c r="L1309" s="44"/>
    </row>
    <row r="1310" spans="1:12" s="34" customFormat="1" x14ac:dyDescent="0.35">
      <c r="A1310" s="35"/>
      <c r="B1310" s="36"/>
      <c r="C1310" s="36"/>
      <c r="D1310" s="37"/>
      <c r="E1310" s="37"/>
      <c r="F1310" s="37"/>
      <c r="G1310" s="44"/>
      <c r="H1310" s="38"/>
      <c r="I1310" s="36"/>
      <c r="J1310" s="37"/>
      <c r="K1310" s="43"/>
      <c r="L1310" s="44"/>
    </row>
    <row r="1311" spans="1:12" s="34" customFormat="1" x14ac:dyDescent="0.35">
      <c r="A1311" s="35"/>
      <c r="B1311" s="36"/>
      <c r="C1311" s="36"/>
      <c r="D1311" s="37"/>
      <c r="E1311" s="37"/>
      <c r="F1311" s="37"/>
      <c r="G1311" s="44"/>
      <c r="H1311" s="38"/>
      <c r="I1311" s="36"/>
      <c r="J1311" s="37"/>
      <c r="K1311" s="43"/>
      <c r="L1311" s="44"/>
    </row>
    <row r="1312" spans="1:12" s="34" customFormat="1" x14ac:dyDescent="0.35">
      <c r="A1312" s="35"/>
      <c r="B1312" s="36"/>
      <c r="C1312" s="36"/>
      <c r="D1312" s="37"/>
      <c r="E1312" s="37"/>
      <c r="F1312" s="37"/>
      <c r="G1312" s="44"/>
      <c r="H1312" s="38"/>
      <c r="I1312" s="36"/>
      <c r="J1312" s="37"/>
      <c r="K1312" s="43"/>
      <c r="L1312" s="44"/>
    </row>
    <row r="1313" spans="1:12" s="34" customFormat="1" x14ac:dyDescent="0.35">
      <c r="A1313" s="35"/>
      <c r="B1313" s="36"/>
      <c r="C1313" s="36"/>
      <c r="D1313" s="37"/>
      <c r="E1313" s="37"/>
      <c r="F1313" s="37"/>
      <c r="G1313" s="44"/>
      <c r="H1313" s="38"/>
      <c r="I1313" s="36"/>
      <c r="J1313" s="37"/>
      <c r="K1313" s="43"/>
      <c r="L1313" s="44"/>
    </row>
    <row r="1314" spans="1:12" s="34" customFormat="1" x14ac:dyDescent="0.35">
      <c r="A1314" s="35"/>
      <c r="B1314" s="36"/>
      <c r="C1314" s="36"/>
      <c r="D1314" s="37"/>
      <c r="E1314" s="37"/>
      <c r="F1314" s="37"/>
      <c r="G1314" s="44"/>
      <c r="H1314" s="38"/>
      <c r="I1314" s="36"/>
      <c r="J1314" s="37"/>
      <c r="K1314" s="43"/>
      <c r="L1314" s="44"/>
    </row>
    <row r="1315" spans="1:12" s="34" customFormat="1" x14ac:dyDescent="0.35">
      <c r="A1315" s="35"/>
      <c r="B1315" s="36"/>
      <c r="C1315" s="36"/>
      <c r="D1315" s="37"/>
      <c r="E1315" s="37"/>
      <c r="F1315" s="37"/>
      <c r="G1315" s="44"/>
      <c r="H1315" s="38"/>
      <c r="I1315" s="36"/>
      <c r="J1315" s="37"/>
      <c r="K1315" s="43"/>
      <c r="L1315" s="44"/>
    </row>
    <row r="1316" spans="1:12" s="34" customFormat="1" x14ac:dyDescent="0.35">
      <c r="A1316" s="35"/>
      <c r="B1316" s="36"/>
      <c r="C1316" s="36"/>
      <c r="D1316" s="37"/>
      <c r="E1316" s="37"/>
      <c r="F1316" s="37"/>
      <c r="G1316" s="44"/>
      <c r="H1316" s="38"/>
      <c r="I1316" s="36"/>
      <c r="J1316" s="37"/>
      <c r="K1316" s="43"/>
      <c r="L1316" s="44"/>
    </row>
    <row r="1317" spans="1:12" s="34" customFormat="1" x14ac:dyDescent="0.35">
      <c r="A1317" s="35"/>
      <c r="B1317" s="36"/>
      <c r="C1317" s="36"/>
      <c r="D1317" s="37"/>
      <c r="E1317" s="37"/>
      <c r="F1317" s="37"/>
      <c r="G1317" s="44"/>
      <c r="H1317" s="38"/>
      <c r="I1317" s="36"/>
      <c r="J1317" s="37"/>
      <c r="K1317" s="43"/>
      <c r="L1317" s="44"/>
    </row>
    <row r="1318" spans="1:12" s="34" customFormat="1" x14ac:dyDescent="0.35">
      <c r="A1318" s="35"/>
      <c r="B1318" s="36"/>
      <c r="C1318" s="36"/>
      <c r="D1318" s="37"/>
      <c r="E1318" s="37"/>
      <c r="F1318" s="37"/>
      <c r="G1318" s="44"/>
      <c r="H1318" s="38"/>
      <c r="I1318" s="36"/>
      <c r="J1318" s="37"/>
      <c r="K1318" s="43"/>
      <c r="L1318" s="44"/>
    </row>
    <row r="1319" spans="1:12" s="34" customFormat="1" x14ac:dyDescent="0.35">
      <c r="A1319" s="35"/>
      <c r="B1319" s="36"/>
      <c r="C1319" s="36"/>
      <c r="D1319" s="37"/>
      <c r="E1319" s="37"/>
      <c r="F1319" s="37"/>
      <c r="G1319" s="44"/>
      <c r="H1319" s="38"/>
      <c r="I1319" s="36"/>
      <c r="J1319" s="37"/>
      <c r="K1319" s="43"/>
      <c r="L1319" s="44"/>
    </row>
    <row r="1320" spans="1:12" s="34" customFormat="1" x14ac:dyDescent="0.35">
      <c r="A1320" s="35"/>
      <c r="B1320" s="36"/>
      <c r="C1320" s="36"/>
      <c r="D1320" s="37"/>
      <c r="E1320" s="37"/>
      <c r="F1320" s="37"/>
      <c r="G1320" s="44"/>
      <c r="H1320" s="38"/>
      <c r="I1320" s="36"/>
      <c r="J1320" s="37"/>
      <c r="K1320" s="43"/>
      <c r="L1320" s="44"/>
    </row>
    <row r="1321" spans="1:12" s="34" customFormat="1" x14ac:dyDescent="0.35">
      <c r="A1321" s="35"/>
      <c r="B1321" s="36"/>
      <c r="C1321" s="36"/>
      <c r="D1321" s="37"/>
      <c r="E1321" s="37"/>
      <c r="F1321" s="37"/>
      <c r="G1321" s="44"/>
      <c r="H1321" s="38"/>
      <c r="I1321" s="36"/>
      <c r="J1321" s="37"/>
      <c r="K1321" s="43"/>
      <c r="L1321" s="44"/>
    </row>
    <row r="1322" spans="1:12" s="34" customFormat="1" x14ac:dyDescent="0.35">
      <c r="A1322" s="35"/>
      <c r="B1322" s="36"/>
      <c r="C1322" s="36"/>
      <c r="D1322" s="37"/>
      <c r="E1322" s="37"/>
      <c r="F1322" s="37"/>
      <c r="G1322" s="44"/>
      <c r="H1322" s="38"/>
      <c r="I1322" s="36"/>
      <c r="J1322" s="37"/>
      <c r="K1322" s="43"/>
      <c r="L1322" s="44"/>
    </row>
    <row r="1323" spans="1:12" s="34" customFormat="1" x14ac:dyDescent="0.35">
      <c r="A1323" s="35"/>
      <c r="B1323" s="36"/>
      <c r="C1323" s="36"/>
      <c r="D1323" s="37"/>
      <c r="E1323" s="37"/>
      <c r="F1323" s="37"/>
      <c r="G1323" s="44"/>
      <c r="H1323" s="38"/>
      <c r="I1323" s="36"/>
      <c r="J1323" s="37"/>
      <c r="K1323" s="43"/>
      <c r="L1323" s="44"/>
    </row>
    <row r="1324" spans="1:12" s="34" customFormat="1" x14ac:dyDescent="0.35">
      <c r="A1324" s="35"/>
      <c r="B1324" s="36"/>
      <c r="C1324" s="36"/>
      <c r="D1324" s="37"/>
      <c r="E1324" s="37"/>
      <c r="F1324" s="37"/>
      <c r="G1324" s="44"/>
      <c r="H1324" s="38"/>
      <c r="I1324" s="36"/>
      <c r="J1324" s="37"/>
      <c r="K1324" s="43"/>
      <c r="L1324" s="44"/>
    </row>
    <row r="1325" spans="1:12" s="34" customFormat="1" x14ac:dyDescent="0.35">
      <c r="A1325" s="35"/>
      <c r="B1325" s="36"/>
      <c r="C1325" s="36"/>
      <c r="D1325" s="37"/>
      <c r="E1325" s="37"/>
      <c r="F1325" s="37"/>
      <c r="G1325" s="44"/>
      <c r="H1325" s="38"/>
      <c r="I1325" s="36"/>
      <c r="J1325" s="37"/>
      <c r="K1325" s="43"/>
      <c r="L1325" s="44"/>
    </row>
    <row r="1326" spans="1:12" s="34" customFormat="1" x14ac:dyDescent="0.35">
      <c r="A1326" s="35"/>
      <c r="B1326" s="36"/>
      <c r="C1326" s="36"/>
      <c r="D1326" s="37"/>
      <c r="E1326" s="37"/>
      <c r="F1326" s="37"/>
      <c r="G1326" s="44"/>
      <c r="H1326" s="38"/>
      <c r="I1326" s="36"/>
      <c r="J1326" s="37"/>
      <c r="K1326" s="43"/>
      <c r="L1326" s="44"/>
    </row>
    <row r="1327" spans="1:12" s="34" customFormat="1" x14ac:dyDescent="0.35">
      <c r="A1327" s="35"/>
      <c r="B1327" s="36"/>
      <c r="C1327" s="36"/>
      <c r="D1327" s="37"/>
      <c r="E1327" s="37"/>
      <c r="F1327" s="37"/>
      <c r="G1327" s="44"/>
      <c r="H1327" s="38"/>
      <c r="I1327" s="36"/>
      <c r="J1327" s="37"/>
      <c r="K1327" s="43"/>
      <c r="L1327" s="44"/>
    </row>
    <row r="1328" spans="1:12" s="34" customFormat="1" x14ac:dyDescent="0.35">
      <c r="A1328" s="35"/>
      <c r="B1328" s="36"/>
      <c r="C1328" s="36"/>
      <c r="D1328" s="37"/>
      <c r="E1328" s="37"/>
      <c r="F1328" s="37"/>
      <c r="G1328" s="44"/>
      <c r="H1328" s="38"/>
      <c r="I1328" s="36"/>
      <c r="J1328" s="37"/>
      <c r="K1328" s="43"/>
      <c r="L1328" s="44"/>
    </row>
    <row r="1329" spans="1:12" s="34" customFormat="1" x14ac:dyDescent="0.35">
      <c r="A1329" s="35"/>
      <c r="B1329" s="36"/>
      <c r="C1329" s="36"/>
      <c r="D1329" s="37"/>
      <c r="E1329" s="37"/>
      <c r="F1329" s="37"/>
      <c r="G1329" s="44"/>
      <c r="H1329" s="38"/>
      <c r="I1329" s="36"/>
      <c r="J1329" s="37"/>
      <c r="K1329" s="43"/>
      <c r="L1329" s="44"/>
    </row>
    <row r="1330" spans="1:12" s="34" customFormat="1" x14ac:dyDescent="0.35">
      <c r="A1330" s="35"/>
      <c r="B1330" s="36"/>
      <c r="C1330" s="36"/>
      <c r="D1330" s="37"/>
      <c r="E1330" s="37"/>
      <c r="F1330" s="37"/>
      <c r="G1330" s="44"/>
      <c r="H1330" s="38"/>
      <c r="I1330" s="36"/>
      <c r="J1330" s="37"/>
      <c r="K1330" s="43"/>
      <c r="L1330" s="44"/>
    </row>
    <row r="1331" spans="1:12" s="34" customFormat="1" x14ac:dyDescent="0.35">
      <c r="A1331" s="35"/>
      <c r="B1331" s="36"/>
      <c r="C1331" s="36"/>
      <c r="D1331" s="37"/>
      <c r="E1331" s="37"/>
      <c r="F1331" s="37"/>
      <c r="G1331" s="44"/>
      <c r="H1331" s="38"/>
      <c r="I1331" s="36"/>
      <c r="J1331" s="37"/>
      <c r="K1331" s="43"/>
      <c r="L1331" s="44"/>
    </row>
    <row r="1332" spans="1:12" s="34" customFormat="1" x14ac:dyDescent="0.35">
      <c r="A1332" s="35"/>
      <c r="B1332" s="36"/>
      <c r="C1332" s="36"/>
      <c r="D1332" s="37"/>
      <c r="E1332" s="37"/>
      <c r="F1332" s="37"/>
      <c r="G1332" s="44"/>
      <c r="H1332" s="38"/>
      <c r="I1332" s="36"/>
      <c r="J1332" s="37"/>
      <c r="K1332" s="43"/>
      <c r="L1332" s="44"/>
    </row>
    <row r="1333" spans="1:12" s="34" customFormat="1" x14ac:dyDescent="0.35">
      <c r="A1333" s="35"/>
      <c r="B1333" s="36"/>
      <c r="C1333" s="36"/>
      <c r="D1333" s="37"/>
      <c r="E1333" s="37"/>
      <c r="F1333" s="37"/>
      <c r="G1333" s="44"/>
      <c r="H1333" s="38"/>
      <c r="I1333" s="36"/>
      <c r="J1333" s="37"/>
      <c r="K1333" s="43"/>
      <c r="L1333" s="44"/>
    </row>
    <row r="1334" spans="1:12" s="34" customFormat="1" x14ac:dyDescent="0.35">
      <c r="A1334" s="35"/>
      <c r="B1334" s="36"/>
      <c r="C1334" s="36"/>
      <c r="D1334" s="37"/>
      <c r="E1334" s="37"/>
      <c r="F1334" s="37"/>
      <c r="G1334" s="44"/>
      <c r="H1334" s="38"/>
      <c r="I1334" s="36"/>
      <c r="J1334" s="37"/>
      <c r="K1334" s="43"/>
      <c r="L1334" s="44"/>
    </row>
    <row r="1335" spans="1:12" s="34" customFormat="1" x14ac:dyDescent="0.35">
      <c r="A1335" s="35"/>
      <c r="B1335" s="36"/>
      <c r="C1335" s="36"/>
      <c r="D1335" s="37"/>
      <c r="E1335" s="37"/>
      <c r="F1335" s="37"/>
      <c r="G1335" s="44"/>
      <c r="H1335" s="38"/>
      <c r="I1335" s="36"/>
      <c r="J1335" s="37"/>
      <c r="K1335" s="43"/>
      <c r="L1335" s="44"/>
    </row>
    <row r="1336" spans="1:12" s="34" customFormat="1" x14ac:dyDescent="0.35">
      <c r="A1336" s="35"/>
      <c r="B1336" s="36"/>
      <c r="C1336" s="36"/>
      <c r="D1336" s="37"/>
      <c r="E1336" s="37"/>
      <c r="F1336" s="37"/>
      <c r="G1336" s="44"/>
      <c r="H1336" s="38"/>
      <c r="I1336" s="36"/>
      <c r="J1336" s="37"/>
      <c r="K1336" s="43"/>
      <c r="L1336" s="44"/>
    </row>
    <row r="1337" spans="1:12" s="34" customFormat="1" x14ac:dyDescent="0.35">
      <c r="A1337" s="35"/>
      <c r="B1337" s="36"/>
      <c r="C1337" s="36"/>
      <c r="D1337" s="37"/>
      <c r="E1337" s="37"/>
      <c r="F1337" s="37"/>
      <c r="G1337" s="44"/>
      <c r="H1337" s="38"/>
      <c r="I1337" s="36"/>
      <c r="J1337" s="37"/>
      <c r="K1337" s="43"/>
      <c r="L1337" s="44"/>
    </row>
    <row r="1338" spans="1:12" s="34" customFormat="1" x14ac:dyDescent="0.35">
      <c r="A1338" s="35"/>
      <c r="B1338" s="36"/>
      <c r="C1338" s="36"/>
      <c r="D1338" s="37"/>
      <c r="E1338" s="37"/>
      <c r="F1338" s="37"/>
      <c r="G1338" s="44"/>
      <c r="H1338" s="38"/>
      <c r="I1338" s="36"/>
      <c r="J1338" s="37"/>
      <c r="K1338" s="43"/>
      <c r="L1338" s="44"/>
    </row>
    <row r="1339" spans="1:12" s="34" customFormat="1" x14ac:dyDescent="0.35">
      <c r="A1339" s="35"/>
      <c r="B1339" s="36"/>
      <c r="C1339" s="36"/>
      <c r="D1339" s="37"/>
      <c r="E1339" s="37"/>
      <c r="F1339" s="37"/>
      <c r="G1339" s="44"/>
      <c r="H1339" s="38"/>
      <c r="I1339" s="36"/>
      <c r="J1339" s="37"/>
      <c r="K1339" s="43"/>
      <c r="L1339" s="44"/>
    </row>
    <row r="1340" spans="1:12" s="34" customFormat="1" x14ac:dyDescent="0.35">
      <c r="A1340" s="35"/>
      <c r="B1340" s="36"/>
      <c r="C1340" s="36"/>
      <c r="D1340" s="37"/>
      <c r="E1340" s="37"/>
      <c r="F1340" s="37"/>
      <c r="G1340" s="44"/>
      <c r="H1340" s="38"/>
      <c r="I1340" s="36"/>
      <c r="J1340" s="37"/>
      <c r="K1340" s="43"/>
      <c r="L1340" s="44"/>
    </row>
    <row r="1341" spans="1:12" s="34" customFormat="1" x14ac:dyDescent="0.35">
      <c r="A1341" s="35"/>
      <c r="B1341" s="36"/>
      <c r="C1341" s="36"/>
      <c r="D1341" s="37"/>
      <c r="E1341" s="37"/>
      <c r="F1341" s="37"/>
      <c r="G1341" s="44"/>
      <c r="H1341" s="38"/>
      <c r="I1341" s="36"/>
      <c r="J1341" s="37"/>
      <c r="K1341" s="43"/>
      <c r="L1341" s="44"/>
    </row>
    <row r="1342" spans="1:12" s="34" customFormat="1" x14ac:dyDescent="0.35">
      <c r="A1342" s="35"/>
      <c r="B1342" s="36"/>
      <c r="C1342" s="36"/>
      <c r="D1342" s="37"/>
      <c r="E1342" s="37"/>
      <c r="F1342" s="37"/>
      <c r="G1342" s="44"/>
      <c r="H1342" s="38"/>
      <c r="I1342" s="36"/>
      <c r="J1342" s="37"/>
      <c r="K1342" s="43"/>
      <c r="L1342" s="44"/>
    </row>
    <row r="1343" spans="1:12" s="34" customFormat="1" x14ac:dyDescent="0.35">
      <c r="A1343" s="35"/>
      <c r="B1343" s="36"/>
      <c r="C1343" s="36"/>
      <c r="D1343" s="37"/>
      <c r="E1343" s="37"/>
      <c r="F1343" s="37"/>
      <c r="G1343" s="44"/>
      <c r="H1343" s="38"/>
      <c r="I1343" s="36"/>
      <c r="J1343" s="37"/>
      <c r="K1343" s="43"/>
      <c r="L1343" s="44"/>
    </row>
    <row r="1344" spans="1:12" s="34" customFormat="1" x14ac:dyDescent="0.35">
      <c r="A1344" s="35"/>
      <c r="B1344" s="36"/>
      <c r="C1344" s="36"/>
      <c r="D1344" s="37"/>
      <c r="E1344" s="37"/>
      <c r="F1344" s="37"/>
      <c r="G1344" s="44"/>
      <c r="H1344" s="38"/>
      <c r="I1344" s="36"/>
      <c r="J1344" s="37"/>
      <c r="K1344" s="43"/>
      <c r="L1344" s="44"/>
    </row>
    <row r="1345" spans="1:12" s="34" customFormat="1" x14ac:dyDescent="0.35">
      <c r="A1345" s="35"/>
      <c r="B1345" s="36"/>
      <c r="C1345" s="36"/>
      <c r="D1345" s="37"/>
      <c r="E1345" s="37"/>
      <c r="F1345" s="37"/>
      <c r="G1345" s="44"/>
      <c r="H1345" s="38"/>
      <c r="I1345" s="36"/>
      <c r="J1345" s="37"/>
      <c r="K1345" s="43"/>
      <c r="L1345" s="44"/>
    </row>
    <row r="1346" spans="1:12" s="34" customFormat="1" x14ac:dyDescent="0.35">
      <c r="A1346" s="35"/>
      <c r="B1346" s="36"/>
      <c r="C1346" s="36"/>
      <c r="D1346" s="37"/>
      <c r="E1346" s="37"/>
      <c r="F1346" s="37"/>
      <c r="G1346" s="44"/>
      <c r="H1346" s="38"/>
      <c r="I1346" s="36"/>
      <c r="J1346" s="37"/>
      <c r="K1346" s="43"/>
      <c r="L1346" s="44"/>
    </row>
    <row r="1347" spans="1:12" s="34" customFormat="1" x14ac:dyDescent="0.35">
      <c r="A1347" s="35"/>
      <c r="B1347" s="36"/>
      <c r="C1347" s="36"/>
      <c r="D1347" s="37"/>
      <c r="E1347" s="37"/>
      <c r="F1347" s="37"/>
      <c r="G1347" s="44"/>
      <c r="H1347" s="38"/>
      <c r="I1347" s="36"/>
      <c r="J1347" s="37"/>
      <c r="K1347" s="43"/>
      <c r="L1347" s="44"/>
    </row>
    <row r="1348" spans="1:12" s="34" customFormat="1" x14ac:dyDescent="0.35">
      <c r="A1348" s="35"/>
      <c r="B1348" s="36"/>
      <c r="C1348" s="36"/>
      <c r="D1348" s="37"/>
      <c r="E1348" s="37"/>
      <c r="F1348" s="37"/>
      <c r="G1348" s="44"/>
      <c r="H1348" s="38"/>
      <c r="I1348" s="36"/>
      <c r="J1348" s="37"/>
      <c r="K1348" s="43"/>
      <c r="L1348" s="44"/>
    </row>
    <row r="1349" spans="1:12" s="34" customFormat="1" x14ac:dyDescent="0.35">
      <c r="A1349" s="35"/>
      <c r="B1349" s="36"/>
      <c r="C1349" s="36"/>
      <c r="D1349" s="37"/>
      <c r="E1349" s="37"/>
      <c r="F1349" s="37"/>
      <c r="G1349" s="44"/>
      <c r="H1349" s="38"/>
      <c r="I1349" s="36"/>
      <c r="J1349" s="37"/>
      <c r="K1349" s="43"/>
      <c r="L1349" s="44"/>
    </row>
    <row r="1350" spans="1:12" s="34" customFormat="1" x14ac:dyDescent="0.35">
      <c r="A1350" s="35"/>
      <c r="B1350" s="36"/>
      <c r="C1350" s="36"/>
      <c r="D1350" s="37"/>
      <c r="E1350" s="37"/>
      <c r="F1350" s="37"/>
      <c r="G1350" s="44"/>
      <c r="H1350" s="38"/>
      <c r="I1350" s="36"/>
      <c r="J1350" s="37"/>
      <c r="K1350" s="43"/>
      <c r="L1350" s="44"/>
    </row>
    <row r="1351" spans="1:12" s="34" customFormat="1" x14ac:dyDescent="0.35">
      <c r="A1351" s="35"/>
      <c r="B1351" s="36"/>
      <c r="C1351" s="36"/>
      <c r="D1351" s="37"/>
      <c r="E1351" s="37"/>
      <c r="F1351" s="37"/>
      <c r="G1351" s="44"/>
      <c r="H1351" s="38"/>
      <c r="I1351" s="36"/>
      <c r="J1351" s="37"/>
      <c r="K1351" s="43"/>
      <c r="L1351" s="44"/>
    </row>
    <row r="1352" spans="1:12" s="34" customFormat="1" x14ac:dyDescent="0.35">
      <c r="A1352" s="35"/>
      <c r="B1352" s="36"/>
      <c r="C1352" s="36"/>
      <c r="D1352" s="37"/>
      <c r="E1352" s="37"/>
      <c r="F1352" s="37"/>
      <c r="G1352" s="44"/>
      <c r="H1352" s="38"/>
      <c r="I1352" s="36"/>
      <c r="J1352" s="37"/>
      <c r="K1352" s="43"/>
      <c r="L1352" s="44"/>
    </row>
    <row r="1353" spans="1:12" s="34" customFormat="1" x14ac:dyDescent="0.35">
      <c r="A1353" s="35"/>
      <c r="B1353" s="36"/>
      <c r="C1353" s="36"/>
      <c r="D1353" s="37"/>
      <c r="E1353" s="37"/>
      <c r="F1353" s="37"/>
      <c r="G1353" s="44"/>
      <c r="H1353" s="38"/>
      <c r="I1353" s="36"/>
      <c r="J1353" s="37"/>
      <c r="K1353" s="43"/>
      <c r="L1353" s="44"/>
    </row>
    <row r="1354" spans="1:12" s="34" customFormat="1" x14ac:dyDescent="0.35">
      <c r="A1354" s="35"/>
      <c r="B1354" s="36"/>
      <c r="C1354" s="36"/>
      <c r="D1354" s="37"/>
      <c r="E1354" s="37"/>
      <c r="F1354" s="37"/>
      <c r="G1354" s="44"/>
      <c r="H1354" s="38"/>
      <c r="I1354" s="36"/>
      <c r="J1354" s="37"/>
      <c r="K1354" s="43"/>
      <c r="L1354" s="44"/>
    </row>
    <row r="1355" spans="1:12" s="34" customFormat="1" x14ac:dyDescent="0.35">
      <c r="A1355" s="35"/>
      <c r="B1355" s="36"/>
      <c r="C1355" s="36"/>
      <c r="D1355" s="37"/>
      <c r="E1355" s="37"/>
      <c r="F1355" s="37"/>
      <c r="G1355" s="44"/>
      <c r="H1355" s="38"/>
      <c r="I1355" s="36"/>
      <c r="J1355" s="37"/>
      <c r="K1355" s="43"/>
      <c r="L1355" s="44"/>
    </row>
    <row r="1356" spans="1:12" s="34" customFormat="1" x14ac:dyDescent="0.35">
      <c r="A1356" s="35"/>
      <c r="B1356" s="36"/>
      <c r="C1356" s="36"/>
      <c r="D1356" s="37"/>
      <c r="E1356" s="37"/>
      <c r="F1356" s="37"/>
      <c r="G1356" s="44"/>
      <c r="H1356" s="38"/>
      <c r="I1356" s="36"/>
      <c r="J1356" s="37"/>
      <c r="K1356" s="43"/>
      <c r="L1356" s="44"/>
    </row>
    <row r="1357" spans="1:12" s="34" customFormat="1" x14ac:dyDescent="0.35">
      <c r="A1357" s="35"/>
      <c r="B1357" s="36"/>
      <c r="C1357" s="36"/>
      <c r="D1357" s="37"/>
      <c r="E1357" s="37"/>
      <c r="F1357" s="37"/>
      <c r="G1357" s="44"/>
      <c r="H1357" s="38"/>
      <c r="I1357" s="36"/>
      <c r="J1357" s="37"/>
      <c r="K1357" s="43"/>
      <c r="L1357" s="44"/>
    </row>
    <row r="1358" spans="1:12" s="34" customFormat="1" x14ac:dyDescent="0.35">
      <c r="A1358" s="35"/>
      <c r="B1358" s="36"/>
      <c r="C1358" s="36"/>
      <c r="D1358" s="37"/>
      <c r="E1358" s="37"/>
      <c r="F1358" s="37"/>
      <c r="G1358" s="44"/>
      <c r="H1358" s="38"/>
      <c r="I1358" s="36"/>
      <c r="J1358" s="37"/>
      <c r="K1358" s="43"/>
      <c r="L1358" s="44"/>
    </row>
    <row r="1359" spans="1:12" s="34" customFormat="1" x14ac:dyDescent="0.35">
      <c r="A1359" s="35"/>
      <c r="B1359" s="36"/>
      <c r="C1359" s="36"/>
      <c r="D1359" s="37"/>
      <c r="E1359" s="37"/>
      <c r="F1359" s="37"/>
      <c r="G1359" s="44"/>
      <c r="H1359" s="38"/>
      <c r="I1359" s="36"/>
      <c r="J1359" s="37"/>
      <c r="K1359" s="43"/>
      <c r="L1359" s="44"/>
    </row>
    <row r="1360" spans="1:12" s="34" customFormat="1" x14ac:dyDescent="0.35">
      <c r="A1360" s="35"/>
      <c r="B1360" s="36"/>
      <c r="C1360" s="36"/>
      <c r="D1360" s="37"/>
      <c r="E1360" s="37"/>
      <c r="F1360" s="37"/>
      <c r="G1360" s="44"/>
      <c r="H1360" s="38"/>
      <c r="I1360" s="36"/>
      <c r="J1360" s="37"/>
      <c r="K1360" s="43"/>
      <c r="L1360" s="44"/>
    </row>
    <row r="1361" spans="1:12" s="34" customFormat="1" x14ac:dyDescent="0.35">
      <c r="A1361" s="35"/>
      <c r="B1361" s="36"/>
      <c r="C1361" s="36"/>
      <c r="D1361" s="37"/>
      <c r="E1361" s="37"/>
      <c r="F1361" s="37"/>
      <c r="G1361" s="44"/>
      <c r="H1361" s="38"/>
      <c r="I1361" s="36"/>
      <c r="J1361" s="37"/>
      <c r="K1361" s="43"/>
      <c r="L1361" s="44"/>
    </row>
    <row r="1362" spans="1:12" s="34" customFormat="1" x14ac:dyDescent="0.35">
      <c r="A1362" s="35"/>
      <c r="B1362" s="36"/>
      <c r="C1362" s="36"/>
      <c r="D1362" s="37"/>
      <c r="E1362" s="37"/>
      <c r="F1362" s="37"/>
      <c r="G1362" s="44"/>
      <c r="H1362" s="38"/>
      <c r="I1362" s="36"/>
      <c r="J1362" s="37"/>
      <c r="K1362" s="43"/>
      <c r="L1362" s="44"/>
    </row>
    <row r="1363" spans="1:12" s="34" customFormat="1" x14ac:dyDescent="0.35">
      <c r="A1363" s="35"/>
      <c r="B1363" s="36"/>
      <c r="C1363" s="36"/>
      <c r="D1363" s="37"/>
      <c r="E1363" s="37"/>
      <c r="F1363" s="37"/>
      <c r="G1363" s="44"/>
      <c r="H1363" s="38"/>
      <c r="I1363" s="36"/>
      <c r="J1363" s="37"/>
      <c r="K1363" s="43"/>
      <c r="L1363" s="44"/>
    </row>
    <row r="1364" spans="1:12" s="34" customFormat="1" x14ac:dyDescent="0.35">
      <c r="A1364" s="35"/>
      <c r="B1364" s="36"/>
      <c r="C1364" s="36"/>
      <c r="D1364" s="37"/>
      <c r="E1364" s="37"/>
      <c r="F1364" s="37"/>
      <c r="G1364" s="44"/>
      <c r="H1364" s="38"/>
      <c r="I1364" s="36"/>
      <c r="J1364" s="37"/>
      <c r="K1364" s="43"/>
      <c r="L1364" s="44"/>
    </row>
    <row r="1365" spans="1:12" s="34" customFormat="1" x14ac:dyDescent="0.35">
      <c r="A1365" s="35"/>
      <c r="B1365" s="36"/>
      <c r="C1365" s="36"/>
      <c r="D1365" s="37"/>
      <c r="E1365" s="37"/>
      <c r="F1365" s="37"/>
      <c r="G1365" s="44"/>
      <c r="H1365" s="38"/>
      <c r="I1365" s="36"/>
      <c r="J1365" s="37"/>
      <c r="K1365" s="43"/>
      <c r="L1365" s="44"/>
    </row>
    <row r="1366" spans="1:12" s="34" customFormat="1" x14ac:dyDescent="0.35">
      <c r="A1366" s="35"/>
      <c r="B1366" s="36"/>
      <c r="C1366" s="36"/>
      <c r="D1366" s="37"/>
      <c r="E1366" s="37"/>
      <c r="F1366" s="37"/>
      <c r="G1366" s="44"/>
      <c r="H1366" s="38"/>
      <c r="I1366" s="36"/>
      <c r="J1366" s="37"/>
      <c r="K1366" s="43"/>
      <c r="L1366" s="44"/>
    </row>
    <row r="1367" spans="1:12" s="34" customFormat="1" x14ac:dyDescent="0.35">
      <c r="A1367" s="35"/>
      <c r="B1367" s="36"/>
      <c r="C1367" s="36"/>
      <c r="D1367" s="37"/>
      <c r="E1367" s="37"/>
      <c r="F1367" s="37"/>
      <c r="G1367" s="44"/>
      <c r="H1367" s="38"/>
      <c r="I1367" s="36"/>
      <c r="J1367" s="37"/>
      <c r="K1367" s="43"/>
      <c r="L1367" s="44"/>
    </row>
    <row r="1368" spans="1:12" s="34" customFormat="1" x14ac:dyDescent="0.35">
      <c r="A1368" s="35"/>
      <c r="B1368" s="36"/>
      <c r="C1368" s="36"/>
      <c r="D1368" s="37"/>
      <c r="E1368" s="37"/>
      <c r="F1368" s="37"/>
      <c r="G1368" s="44"/>
      <c r="H1368" s="38"/>
      <c r="I1368" s="36"/>
      <c r="J1368" s="37"/>
      <c r="K1368" s="43"/>
      <c r="L1368" s="44"/>
    </row>
    <row r="1369" spans="1:12" s="34" customFormat="1" x14ac:dyDescent="0.35">
      <c r="A1369" s="35"/>
      <c r="B1369" s="36"/>
      <c r="C1369" s="36"/>
      <c r="D1369" s="37"/>
      <c r="E1369" s="37"/>
      <c r="F1369" s="37"/>
      <c r="G1369" s="44"/>
      <c r="H1369" s="38"/>
      <c r="I1369" s="36"/>
      <c r="J1369" s="37"/>
      <c r="K1369" s="43"/>
      <c r="L1369" s="44"/>
    </row>
    <row r="1370" spans="1:12" s="34" customFormat="1" x14ac:dyDescent="0.35">
      <c r="A1370" s="35"/>
      <c r="B1370" s="36"/>
      <c r="C1370" s="36"/>
      <c r="D1370" s="37"/>
      <c r="E1370" s="37"/>
      <c r="F1370" s="37"/>
      <c r="G1370" s="44"/>
      <c r="H1370" s="38"/>
      <c r="I1370" s="36"/>
      <c r="J1370" s="37"/>
      <c r="K1370" s="43"/>
      <c r="L1370" s="44"/>
    </row>
    <row r="1371" spans="1:12" s="34" customFormat="1" x14ac:dyDescent="0.35">
      <c r="A1371" s="35"/>
      <c r="B1371" s="36"/>
      <c r="C1371" s="36"/>
      <c r="D1371" s="37"/>
      <c r="E1371" s="37"/>
      <c r="F1371" s="37"/>
      <c r="G1371" s="44"/>
      <c r="H1371" s="38"/>
      <c r="I1371" s="36"/>
      <c r="J1371" s="37"/>
      <c r="K1371" s="43"/>
      <c r="L1371" s="44"/>
    </row>
    <row r="1372" spans="1:12" s="34" customFormat="1" x14ac:dyDescent="0.35">
      <c r="A1372" s="35"/>
      <c r="B1372" s="36"/>
      <c r="C1372" s="36"/>
      <c r="D1372" s="37"/>
      <c r="E1372" s="37"/>
      <c r="F1372" s="37"/>
      <c r="G1372" s="44"/>
      <c r="H1372" s="38"/>
      <c r="I1372" s="36"/>
      <c r="J1372" s="37"/>
      <c r="K1372" s="43"/>
      <c r="L1372" s="44"/>
    </row>
    <row r="1373" spans="1:12" s="34" customFormat="1" x14ac:dyDescent="0.35">
      <c r="A1373" s="35"/>
      <c r="B1373" s="36"/>
      <c r="C1373" s="36"/>
      <c r="D1373" s="37"/>
      <c r="E1373" s="37"/>
      <c r="F1373" s="37"/>
      <c r="G1373" s="44"/>
      <c r="H1373" s="38"/>
      <c r="I1373" s="36"/>
      <c r="J1373" s="37"/>
      <c r="K1373" s="43"/>
      <c r="L1373" s="44"/>
    </row>
    <row r="1374" spans="1:12" s="34" customFormat="1" x14ac:dyDescent="0.35">
      <c r="A1374" s="35"/>
      <c r="B1374" s="36"/>
      <c r="C1374" s="36"/>
      <c r="D1374" s="37"/>
      <c r="E1374" s="37"/>
      <c r="F1374" s="37"/>
      <c r="G1374" s="44"/>
      <c r="H1374" s="38"/>
      <c r="I1374" s="36"/>
      <c r="J1374" s="37"/>
      <c r="K1374" s="43"/>
      <c r="L1374" s="44"/>
    </row>
    <row r="1375" spans="1:12" s="34" customFormat="1" x14ac:dyDescent="0.35">
      <c r="A1375" s="35"/>
      <c r="B1375" s="36"/>
      <c r="C1375" s="36"/>
      <c r="D1375" s="37"/>
      <c r="E1375" s="37"/>
      <c r="F1375" s="37"/>
      <c r="G1375" s="44"/>
      <c r="H1375" s="38"/>
      <c r="I1375" s="36"/>
      <c r="J1375" s="37"/>
      <c r="K1375" s="43"/>
      <c r="L1375" s="44"/>
    </row>
    <row r="1376" spans="1:12" s="34" customFormat="1" x14ac:dyDescent="0.35">
      <c r="A1376" s="35"/>
      <c r="B1376" s="36"/>
      <c r="C1376" s="36"/>
      <c r="D1376" s="37"/>
      <c r="E1376" s="37"/>
      <c r="F1376" s="37"/>
      <c r="G1376" s="44"/>
      <c r="H1376" s="38"/>
      <c r="I1376" s="36"/>
      <c r="J1376" s="37"/>
      <c r="K1376" s="43"/>
      <c r="L1376" s="44"/>
    </row>
    <row r="1377" spans="1:12" s="34" customFormat="1" x14ac:dyDescent="0.35">
      <c r="A1377" s="35"/>
      <c r="B1377" s="36"/>
      <c r="C1377" s="36"/>
      <c r="D1377" s="37"/>
      <c r="E1377" s="37"/>
      <c r="F1377" s="37"/>
      <c r="G1377" s="44"/>
      <c r="H1377" s="38"/>
      <c r="I1377" s="36"/>
      <c r="J1377" s="37"/>
      <c r="K1377" s="43"/>
      <c r="L1377" s="44"/>
    </row>
    <row r="1378" spans="1:12" s="34" customFormat="1" x14ac:dyDescent="0.35">
      <c r="A1378" s="35"/>
      <c r="B1378" s="36"/>
      <c r="C1378" s="36"/>
      <c r="D1378" s="37"/>
      <c r="E1378" s="37"/>
      <c r="F1378" s="37"/>
      <c r="G1378" s="44"/>
      <c r="H1378" s="38"/>
      <c r="I1378" s="36"/>
      <c r="J1378" s="37"/>
      <c r="K1378" s="43"/>
      <c r="L1378" s="44"/>
    </row>
    <row r="1379" spans="1:12" s="34" customFormat="1" x14ac:dyDescent="0.35">
      <c r="A1379" s="35"/>
      <c r="B1379" s="36"/>
      <c r="C1379" s="36"/>
      <c r="D1379" s="37"/>
      <c r="E1379" s="37"/>
      <c r="F1379" s="37"/>
      <c r="G1379" s="44"/>
      <c r="H1379" s="38"/>
      <c r="I1379" s="36"/>
      <c r="J1379" s="37"/>
      <c r="K1379" s="43"/>
      <c r="L1379" s="44"/>
    </row>
    <row r="1380" spans="1:12" s="34" customFormat="1" x14ac:dyDescent="0.35">
      <c r="A1380" s="35"/>
      <c r="B1380" s="36"/>
      <c r="C1380" s="36"/>
      <c r="D1380" s="37"/>
      <c r="E1380" s="37"/>
      <c r="F1380" s="37"/>
      <c r="G1380" s="44"/>
      <c r="H1380" s="38"/>
      <c r="I1380" s="36"/>
      <c r="J1380" s="37"/>
      <c r="K1380" s="43"/>
      <c r="L1380" s="44"/>
    </row>
    <row r="1381" spans="1:12" s="34" customFormat="1" x14ac:dyDescent="0.35">
      <c r="A1381" s="35"/>
      <c r="B1381" s="36"/>
      <c r="C1381" s="36"/>
      <c r="D1381" s="37"/>
      <c r="E1381" s="37"/>
      <c r="F1381" s="37"/>
      <c r="G1381" s="44"/>
      <c r="H1381" s="38"/>
      <c r="I1381" s="36"/>
      <c r="J1381" s="37"/>
      <c r="K1381" s="43"/>
      <c r="L1381" s="44"/>
    </row>
    <row r="1382" spans="1:12" s="34" customFormat="1" x14ac:dyDescent="0.35">
      <c r="A1382" s="35"/>
      <c r="B1382" s="36"/>
      <c r="C1382" s="36"/>
      <c r="D1382" s="37"/>
      <c r="E1382" s="37"/>
      <c r="F1382" s="37"/>
      <c r="G1382" s="44"/>
      <c r="H1382" s="38"/>
      <c r="I1382" s="36"/>
      <c r="J1382" s="37"/>
      <c r="K1382" s="43"/>
      <c r="L1382" s="44"/>
    </row>
    <row r="1383" spans="1:12" s="34" customFormat="1" x14ac:dyDescent="0.35">
      <c r="A1383" s="35"/>
      <c r="B1383" s="36"/>
      <c r="C1383" s="36"/>
      <c r="D1383" s="37"/>
      <c r="E1383" s="37"/>
      <c r="F1383" s="37"/>
      <c r="G1383" s="44"/>
      <c r="H1383" s="38"/>
      <c r="I1383" s="36"/>
      <c r="J1383" s="37"/>
      <c r="K1383" s="43"/>
      <c r="L1383" s="44"/>
    </row>
    <row r="1384" spans="1:12" s="34" customFormat="1" x14ac:dyDescent="0.35">
      <c r="A1384" s="35"/>
      <c r="B1384" s="36"/>
      <c r="C1384" s="36"/>
      <c r="D1384" s="37"/>
      <c r="E1384" s="37"/>
      <c r="F1384" s="37"/>
      <c r="G1384" s="44"/>
      <c r="H1384" s="38"/>
      <c r="I1384" s="36"/>
      <c r="J1384" s="37"/>
      <c r="K1384" s="43"/>
      <c r="L1384" s="44"/>
    </row>
    <row r="1385" spans="1:12" s="34" customFormat="1" x14ac:dyDescent="0.35">
      <c r="A1385" s="35"/>
      <c r="B1385" s="36"/>
      <c r="C1385" s="36"/>
      <c r="D1385" s="37"/>
      <c r="E1385" s="37"/>
      <c r="F1385" s="37"/>
      <c r="G1385" s="44"/>
      <c r="H1385" s="38"/>
      <c r="I1385" s="36"/>
      <c r="J1385" s="37"/>
      <c r="K1385" s="43"/>
      <c r="L1385" s="44"/>
    </row>
    <row r="1386" spans="1:12" s="34" customFormat="1" x14ac:dyDescent="0.35">
      <c r="A1386" s="35"/>
      <c r="B1386" s="36"/>
      <c r="C1386" s="36"/>
      <c r="D1386" s="37"/>
      <c r="E1386" s="37"/>
      <c r="F1386" s="37"/>
      <c r="G1386" s="44"/>
      <c r="H1386" s="38"/>
      <c r="I1386" s="36"/>
      <c r="J1386" s="37"/>
      <c r="K1386" s="43"/>
      <c r="L1386" s="44"/>
    </row>
    <row r="1387" spans="1:12" s="34" customFormat="1" x14ac:dyDescent="0.35">
      <c r="A1387" s="35"/>
      <c r="B1387" s="36"/>
      <c r="C1387" s="36"/>
      <c r="D1387" s="37"/>
      <c r="E1387" s="37"/>
      <c r="F1387" s="37"/>
      <c r="G1387" s="44"/>
      <c r="H1387" s="38"/>
      <c r="I1387" s="36"/>
      <c r="J1387" s="37"/>
      <c r="K1387" s="43"/>
      <c r="L1387" s="44"/>
    </row>
    <row r="1388" spans="1:12" s="34" customFormat="1" x14ac:dyDescent="0.35">
      <c r="A1388" s="35"/>
      <c r="B1388" s="36"/>
      <c r="C1388" s="36"/>
      <c r="D1388" s="37"/>
      <c r="E1388" s="37"/>
      <c r="F1388" s="37"/>
      <c r="G1388" s="44"/>
      <c r="H1388" s="38"/>
      <c r="I1388" s="36"/>
      <c r="J1388" s="37"/>
      <c r="K1388" s="43"/>
      <c r="L1388" s="44"/>
    </row>
    <row r="1389" spans="1:12" s="34" customFormat="1" x14ac:dyDescent="0.35">
      <c r="A1389" s="35"/>
      <c r="B1389" s="36"/>
      <c r="C1389" s="36"/>
      <c r="D1389" s="37"/>
      <c r="E1389" s="37"/>
      <c r="F1389" s="37"/>
      <c r="G1389" s="44"/>
      <c r="H1389" s="38"/>
      <c r="I1389" s="36"/>
      <c r="J1389" s="37"/>
      <c r="K1389" s="43"/>
      <c r="L1389" s="44"/>
    </row>
    <row r="1390" spans="1:12" s="34" customFormat="1" x14ac:dyDescent="0.35">
      <c r="A1390" s="35"/>
      <c r="B1390" s="36"/>
      <c r="C1390" s="36"/>
      <c r="D1390" s="37"/>
      <c r="E1390" s="37"/>
      <c r="F1390" s="37"/>
      <c r="G1390" s="44"/>
      <c r="H1390" s="38"/>
      <c r="I1390" s="36"/>
      <c r="J1390" s="37"/>
      <c r="K1390" s="43"/>
      <c r="L1390" s="44"/>
    </row>
    <row r="1391" spans="1:12" s="34" customFormat="1" x14ac:dyDescent="0.35">
      <c r="A1391" s="35"/>
      <c r="B1391" s="36"/>
      <c r="C1391" s="36"/>
      <c r="D1391" s="37"/>
      <c r="E1391" s="37"/>
      <c r="F1391" s="37"/>
      <c r="G1391" s="44"/>
      <c r="H1391" s="38"/>
      <c r="I1391" s="36"/>
      <c r="J1391" s="37"/>
      <c r="K1391" s="43"/>
      <c r="L1391" s="44"/>
    </row>
    <row r="1392" spans="1:12" s="34" customFormat="1" x14ac:dyDescent="0.35">
      <c r="A1392" s="35"/>
      <c r="B1392" s="36"/>
      <c r="C1392" s="36"/>
      <c r="D1392" s="37"/>
      <c r="E1392" s="37"/>
      <c r="F1392" s="37"/>
      <c r="G1392" s="44"/>
      <c r="H1392" s="38"/>
      <c r="I1392" s="36"/>
      <c r="J1392" s="37"/>
      <c r="K1392" s="43"/>
      <c r="L1392" s="44"/>
    </row>
    <row r="1393" spans="1:12" s="34" customFormat="1" x14ac:dyDescent="0.35">
      <c r="A1393" s="35"/>
      <c r="B1393" s="36"/>
      <c r="C1393" s="36"/>
      <c r="D1393" s="37"/>
      <c r="E1393" s="37"/>
      <c r="F1393" s="37"/>
      <c r="G1393" s="44"/>
      <c r="H1393" s="38"/>
      <c r="I1393" s="36"/>
      <c r="J1393" s="37"/>
      <c r="K1393" s="43"/>
      <c r="L1393" s="44"/>
    </row>
    <row r="1394" spans="1:12" s="34" customFormat="1" x14ac:dyDescent="0.35">
      <c r="A1394" s="35"/>
      <c r="B1394" s="36"/>
      <c r="C1394" s="36"/>
      <c r="D1394" s="37"/>
      <c r="E1394" s="37"/>
      <c r="F1394" s="37"/>
      <c r="G1394" s="44"/>
      <c r="H1394" s="38"/>
      <c r="I1394" s="36"/>
      <c r="J1394" s="37"/>
      <c r="K1394" s="43"/>
      <c r="L1394" s="44"/>
    </row>
    <row r="1395" spans="1:12" s="34" customFormat="1" x14ac:dyDescent="0.35">
      <c r="A1395" s="35"/>
      <c r="B1395" s="36"/>
      <c r="C1395" s="36"/>
      <c r="D1395" s="37"/>
      <c r="E1395" s="37"/>
      <c r="F1395" s="37"/>
      <c r="G1395" s="44"/>
      <c r="H1395" s="38"/>
      <c r="I1395" s="36"/>
      <c r="J1395" s="37"/>
      <c r="K1395" s="43"/>
      <c r="L1395" s="44"/>
    </row>
    <row r="1396" spans="1:12" s="34" customFormat="1" x14ac:dyDescent="0.35">
      <c r="A1396" s="35"/>
      <c r="B1396" s="36"/>
      <c r="C1396" s="36"/>
      <c r="D1396" s="37"/>
      <c r="E1396" s="37"/>
      <c r="F1396" s="37"/>
      <c r="G1396" s="44"/>
      <c r="H1396" s="38"/>
      <c r="I1396" s="36"/>
      <c r="J1396" s="37"/>
      <c r="K1396" s="43"/>
      <c r="L1396" s="44"/>
    </row>
    <row r="1397" spans="1:12" s="34" customFormat="1" x14ac:dyDescent="0.35">
      <c r="A1397" s="35"/>
      <c r="B1397" s="36"/>
      <c r="C1397" s="36"/>
      <c r="D1397" s="37"/>
      <c r="E1397" s="37"/>
      <c r="F1397" s="37"/>
      <c r="G1397" s="44"/>
      <c r="H1397" s="38"/>
      <c r="I1397" s="36"/>
      <c r="J1397" s="37"/>
      <c r="K1397" s="43"/>
      <c r="L1397" s="44"/>
    </row>
    <row r="1398" spans="1:12" s="34" customFormat="1" x14ac:dyDescent="0.35">
      <c r="A1398" s="35"/>
      <c r="B1398" s="36"/>
      <c r="C1398" s="36"/>
      <c r="D1398" s="37"/>
      <c r="E1398" s="37"/>
      <c r="F1398" s="37"/>
      <c r="G1398" s="44"/>
      <c r="H1398" s="38"/>
      <c r="I1398" s="36"/>
      <c r="J1398" s="37"/>
      <c r="K1398" s="43"/>
      <c r="L1398" s="44"/>
    </row>
    <row r="1399" spans="1:12" s="34" customFormat="1" x14ac:dyDescent="0.35">
      <c r="A1399" s="35"/>
      <c r="B1399" s="36"/>
      <c r="C1399" s="36"/>
      <c r="D1399" s="37"/>
      <c r="E1399" s="37"/>
      <c r="F1399" s="37"/>
      <c r="G1399" s="44"/>
      <c r="H1399" s="38"/>
      <c r="I1399" s="36"/>
      <c r="J1399" s="37"/>
      <c r="K1399" s="43"/>
      <c r="L1399" s="44"/>
    </row>
    <row r="1400" spans="1:12" s="34" customFormat="1" x14ac:dyDescent="0.35">
      <c r="A1400" s="35"/>
      <c r="B1400" s="36"/>
      <c r="C1400" s="36"/>
      <c r="D1400" s="37"/>
      <c r="E1400" s="37"/>
      <c r="F1400" s="37"/>
      <c r="G1400" s="44"/>
      <c r="H1400" s="38"/>
      <c r="I1400" s="36"/>
      <c r="J1400" s="37"/>
      <c r="K1400" s="43"/>
      <c r="L1400" s="44"/>
    </row>
    <row r="1401" spans="1:12" s="34" customFormat="1" x14ac:dyDescent="0.35">
      <c r="A1401" s="35"/>
      <c r="B1401" s="36"/>
      <c r="C1401" s="36"/>
      <c r="D1401" s="37"/>
      <c r="E1401" s="37"/>
      <c r="F1401" s="37"/>
      <c r="G1401" s="44"/>
      <c r="H1401" s="38"/>
      <c r="I1401" s="36"/>
      <c r="J1401" s="37"/>
      <c r="K1401" s="43"/>
      <c r="L1401" s="44"/>
    </row>
    <row r="1402" spans="1:12" s="34" customFormat="1" x14ac:dyDescent="0.35">
      <c r="A1402" s="35"/>
      <c r="B1402" s="36"/>
      <c r="C1402" s="36"/>
      <c r="D1402" s="37"/>
      <c r="E1402" s="37"/>
      <c r="F1402" s="37"/>
      <c r="G1402" s="44"/>
      <c r="H1402" s="38"/>
      <c r="I1402" s="36"/>
      <c r="J1402" s="37"/>
      <c r="K1402" s="43"/>
      <c r="L1402" s="44"/>
    </row>
    <row r="1403" spans="1:12" s="34" customFormat="1" x14ac:dyDescent="0.35">
      <c r="A1403" s="35"/>
      <c r="B1403" s="36"/>
      <c r="C1403" s="36"/>
      <c r="D1403" s="37"/>
      <c r="E1403" s="37"/>
      <c r="F1403" s="37"/>
      <c r="G1403" s="44"/>
      <c r="H1403" s="38"/>
      <c r="I1403" s="36"/>
      <c r="J1403" s="37"/>
      <c r="K1403" s="43"/>
      <c r="L1403" s="44"/>
    </row>
    <row r="1404" spans="1:12" s="34" customFormat="1" x14ac:dyDescent="0.35">
      <c r="A1404" s="35"/>
      <c r="B1404" s="36"/>
      <c r="C1404" s="36"/>
      <c r="D1404" s="37"/>
      <c r="E1404" s="37"/>
      <c r="F1404" s="37"/>
      <c r="G1404" s="44"/>
      <c r="H1404" s="38"/>
      <c r="I1404" s="36"/>
      <c r="J1404" s="37"/>
      <c r="K1404" s="43"/>
      <c r="L1404" s="44"/>
    </row>
    <row r="1405" spans="1:12" s="34" customFormat="1" x14ac:dyDescent="0.35">
      <c r="A1405" s="35"/>
      <c r="B1405" s="36"/>
      <c r="C1405" s="36"/>
      <c r="D1405" s="37"/>
      <c r="E1405" s="37"/>
      <c r="F1405" s="37"/>
      <c r="G1405" s="44"/>
      <c r="H1405" s="38"/>
      <c r="I1405" s="36"/>
      <c r="J1405" s="37"/>
      <c r="K1405" s="43"/>
      <c r="L1405" s="44"/>
    </row>
    <row r="1406" spans="1:12" s="34" customFormat="1" x14ac:dyDescent="0.35">
      <c r="A1406" s="35"/>
      <c r="B1406" s="36"/>
      <c r="C1406" s="36"/>
      <c r="D1406" s="37"/>
      <c r="E1406" s="37"/>
      <c r="F1406" s="37"/>
      <c r="G1406" s="44"/>
      <c r="H1406" s="38"/>
      <c r="I1406" s="36"/>
      <c r="J1406" s="37"/>
      <c r="K1406" s="43"/>
      <c r="L1406" s="44"/>
    </row>
    <row r="1407" spans="1:12" s="34" customFormat="1" x14ac:dyDescent="0.35">
      <c r="A1407" s="35"/>
      <c r="B1407" s="36"/>
      <c r="C1407" s="36"/>
      <c r="D1407" s="37"/>
      <c r="E1407" s="37"/>
      <c r="F1407" s="37"/>
      <c r="G1407" s="44"/>
      <c r="H1407" s="38"/>
      <c r="I1407" s="36"/>
      <c r="J1407" s="37"/>
      <c r="K1407" s="43"/>
      <c r="L1407" s="44"/>
    </row>
    <row r="1408" spans="1:12" s="34" customFormat="1" x14ac:dyDescent="0.35">
      <c r="A1408" s="35"/>
      <c r="B1408" s="36"/>
      <c r="C1408" s="36"/>
      <c r="D1408" s="37"/>
      <c r="E1408" s="37"/>
      <c r="F1408" s="37"/>
      <c r="G1408" s="44"/>
      <c r="H1408" s="38"/>
      <c r="I1408" s="36"/>
      <c r="J1408" s="37"/>
      <c r="K1408" s="43"/>
      <c r="L1408" s="44"/>
    </row>
    <row r="1409" spans="1:12" s="34" customFormat="1" x14ac:dyDescent="0.35">
      <c r="A1409" s="35"/>
      <c r="B1409" s="36"/>
      <c r="C1409" s="36"/>
      <c r="D1409" s="37"/>
      <c r="E1409" s="37"/>
      <c r="F1409" s="37"/>
      <c r="G1409" s="44"/>
      <c r="H1409" s="38"/>
      <c r="I1409" s="36"/>
      <c r="J1409" s="37"/>
      <c r="K1409" s="43"/>
      <c r="L1409" s="44"/>
    </row>
    <row r="1410" spans="1:12" s="34" customFormat="1" x14ac:dyDescent="0.35">
      <c r="A1410" s="35"/>
      <c r="B1410" s="36"/>
      <c r="C1410" s="36"/>
      <c r="D1410" s="37"/>
      <c r="E1410" s="37"/>
      <c r="F1410" s="37"/>
      <c r="G1410" s="44"/>
      <c r="H1410" s="38"/>
      <c r="I1410" s="36"/>
      <c r="J1410" s="37"/>
      <c r="K1410" s="43"/>
      <c r="L1410" s="44"/>
    </row>
    <row r="1411" spans="1:12" s="34" customFormat="1" x14ac:dyDescent="0.35">
      <c r="A1411" s="35"/>
      <c r="B1411" s="36"/>
      <c r="C1411" s="36"/>
      <c r="D1411" s="37"/>
      <c r="E1411" s="37"/>
      <c r="F1411" s="37"/>
      <c r="G1411" s="44"/>
      <c r="H1411" s="38"/>
      <c r="I1411" s="36"/>
      <c r="J1411" s="37"/>
      <c r="K1411" s="43"/>
      <c r="L1411" s="44"/>
    </row>
    <row r="1412" spans="1:12" s="34" customFormat="1" x14ac:dyDescent="0.35">
      <c r="A1412" s="35"/>
      <c r="B1412" s="36"/>
      <c r="C1412" s="36"/>
      <c r="D1412" s="37"/>
      <c r="E1412" s="37"/>
      <c r="F1412" s="37"/>
      <c r="G1412" s="44"/>
      <c r="H1412" s="38"/>
      <c r="I1412" s="36"/>
      <c r="J1412" s="37"/>
      <c r="K1412" s="43"/>
      <c r="L1412" s="44"/>
    </row>
    <row r="1413" spans="1:12" s="34" customFormat="1" x14ac:dyDescent="0.35">
      <c r="A1413" s="35"/>
      <c r="B1413" s="36"/>
      <c r="C1413" s="36"/>
      <c r="D1413" s="37"/>
      <c r="E1413" s="37"/>
      <c r="F1413" s="37"/>
      <c r="G1413" s="44"/>
      <c r="H1413" s="38"/>
      <c r="I1413" s="36"/>
      <c r="J1413" s="37"/>
      <c r="K1413" s="43"/>
      <c r="L1413" s="44"/>
    </row>
    <row r="1414" spans="1:12" s="34" customFormat="1" x14ac:dyDescent="0.35">
      <c r="A1414" s="35"/>
      <c r="B1414" s="36"/>
      <c r="C1414" s="36"/>
      <c r="D1414" s="37"/>
      <c r="E1414" s="37"/>
      <c r="F1414" s="37"/>
      <c r="G1414" s="44"/>
      <c r="H1414" s="38"/>
      <c r="I1414" s="36"/>
      <c r="J1414" s="37"/>
      <c r="K1414" s="43"/>
      <c r="L1414" s="44"/>
    </row>
    <row r="1415" spans="1:12" s="34" customFormat="1" x14ac:dyDescent="0.35">
      <c r="A1415" s="35"/>
      <c r="B1415" s="36"/>
      <c r="C1415" s="36"/>
      <c r="D1415" s="37"/>
      <c r="E1415" s="37"/>
      <c r="F1415" s="37"/>
      <c r="G1415" s="44"/>
      <c r="H1415" s="38"/>
      <c r="I1415" s="36"/>
      <c r="J1415" s="37"/>
      <c r="K1415" s="43"/>
      <c r="L1415" s="44"/>
    </row>
    <row r="1416" spans="1:12" s="34" customFormat="1" x14ac:dyDescent="0.35">
      <c r="A1416" s="35"/>
      <c r="B1416" s="36"/>
      <c r="C1416" s="36"/>
      <c r="D1416" s="37"/>
      <c r="E1416" s="37"/>
      <c r="F1416" s="37"/>
      <c r="G1416" s="44"/>
      <c r="H1416" s="38"/>
      <c r="I1416" s="36"/>
      <c r="J1416" s="37"/>
      <c r="K1416" s="43"/>
      <c r="L1416" s="44"/>
    </row>
    <row r="1417" spans="1:12" s="34" customFormat="1" x14ac:dyDescent="0.35">
      <c r="A1417" s="35"/>
      <c r="B1417" s="36"/>
      <c r="C1417" s="36"/>
      <c r="D1417" s="37"/>
      <c r="E1417" s="37"/>
      <c r="F1417" s="37"/>
      <c r="G1417" s="44"/>
      <c r="H1417" s="38"/>
      <c r="I1417" s="36"/>
      <c r="J1417" s="37"/>
      <c r="K1417" s="43"/>
      <c r="L1417" s="44"/>
    </row>
    <row r="1418" spans="1:12" s="34" customFormat="1" x14ac:dyDescent="0.35">
      <c r="A1418" s="35"/>
      <c r="B1418" s="36"/>
      <c r="C1418" s="36"/>
      <c r="D1418" s="37"/>
      <c r="E1418" s="37"/>
      <c r="F1418" s="37"/>
      <c r="G1418" s="44"/>
      <c r="H1418" s="38"/>
      <c r="I1418" s="36"/>
      <c r="J1418" s="37"/>
      <c r="K1418" s="43"/>
      <c r="L1418" s="44"/>
    </row>
    <row r="1419" spans="1:12" s="34" customFormat="1" x14ac:dyDescent="0.35">
      <c r="A1419" s="35"/>
      <c r="B1419" s="36"/>
      <c r="C1419" s="36"/>
      <c r="D1419" s="37"/>
      <c r="E1419" s="37"/>
      <c r="F1419" s="37"/>
      <c r="G1419" s="44"/>
      <c r="H1419" s="38"/>
      <c r="I1419" s="36"/>
      <c r="J1419" s="37"/>
      <c r="K1419" s="43"/>
      <c r="L1419" s="44"/>
    </row>
    <row r="1420" spans="1:12" s="34" customFormat="1" x14ac:dyDescent="0.35">
      <c r="A1420" s="35"/>
      <c r="B1420" s="36"/>
      <c r="C1420" s="36"/>
      <c r="D1420" s="37"/>
      <c r="E1420" s="37"/>
      <c r="F1420" s="37"/>
      <c r="G1420" s="44"/>
      <c r="H1420" s="38"/>
      <c r="I1420" s="36"/>
      <c r="J1420" s="37"/>
      <c r="K1420" s="43"/>
      <c r="L1420" s="44"/>
    </row>
    <row r="1421" spans="1:12" s="34" customFormat="1" x14ac:dyDescent="0.35">
      <c r="A1421" s="35"/>
      <c r="B1421" s="36"/>
      <c r="C1421" s="36"/>
      <c r="D1421" s="37"/>
      <c r="E1421" s="37"/>
      <c r="F1421" s="37"/>
      <c r="G1421" s="44"/>
      <c r="H1421" s="38"/>
      <c r="I1421" s="36"/>
      <c r="J1421" s="37"/>
      <c r="K1421" s="43"/>
      <c r="L1421" s="44"/>
    </row>
    <row r="1422" spans="1:12" s="34" customFormat="1" x14ac:dyDescent="0.35">
      <c r="A1422" s="35"/>
      <c r="B1422" s="36"/>
      <c r="C1422" s="36"/>
      <c r="D1422" s="37"/>
      <c r="E1422" s="37"/>
      <c r="F1422" s="37"/>
      <c r="G1422" s="44"/>
      <c r="H1422" s="38"/>
      <c r="I1422" s="36"/>
      <c r="J1422" s="37"/>
      <c r="K1422" s="43"/>
      <c r="L1422" s="44"/>
    </row>
    <row r="1423" spans="1:12" s="34" customFormat="1" x14ac:dyDescent="0.35">
      <c r="A1423" s="35"/>
      <c r="B1423" s="36"/>
      <c r="C1423" s="36"/>
      <c r="D1423" s="37"/>
      <c r="E1423" s="37"/>
      <c r="F1423" s="37"/>
      <c r="G1423" s="44"/>
      <c r="H1423" s="38"/>
      <c r="I1423" s="36"/>
      <c r="J1423" s="37"/>
      <c r="K1423" s="43"/>
      <c r="L1423" s="44"/>
    </row>
    <row r="1424" spans="1:12" s="34" customFormat="1" x14ac:dyDescent="0.35">
      <c r="A1424" s="35"/>
      <c r="B1424" s="36"/>
      <c r="C1424" s="36"/>
      <c r="D1424" s="37"/>
      <c r="E1424" s="37"/>
      <c r="F1424" s="37"/>
      <c r="G1424" s="44"/>
      <c r="H1424" s="38"/>
      <c r="I1424" s="36"/>
      <c r="J1424" s="37"/>
      <c r="K1424" s="43"/>
      <c r="L1424" s="44"/>
    </row>
    <row r="1425" spans="1:12" s="34" customFormat="1" x14ac:dyDescent="0.35">
      <c r="A1425" s="35"/>
      <c r="B1425" s="36"/>
      <c r="C1425" s="36"/>
      <c r="D1425" s="37"/>
      <c r="E1425" s="37"/>
      <c r="F1425" s="37"/>
      <c r="G1425" s="44"/>
      <c r="H1425" s="38"/>
      <c r="I1425" s="36"/>
      <c r="J1425" s="37"/>
      <c r="K1425" s="43"/>
      <c r="L1425" s="44"/>
    </row>
    <row r="1426" spans="1:12" s="34" customFormat="1" x14ac:dyDescent="0.35">
      <c r="A1426" s="35"/>
      <c r="B1426" s="36"/>
      <c r="C1426" s="36"/>
      <c r="D1426" s="37"/>
      <c r="E1426" s="37"/>
      <c r="F1426" s="37"/>
      <c r="G1426" s="44"/>
      <c r="H1426" s="38"/>
      <c r="I1426" s="36"/>
      <c r="J1426" s="37"/>
      <c r="K1426" s="43"/>
      <c r="L1426" s="44"/>
    </row>
    <row r="1427" spans="1:12" s="34" customFormat="1" x14ac:dyDescent="0.35">
      <c r="A1427" s="35"/>
      <c r="B1427" s="36"/>
      <c r="C1427" s="36"/>
      <c r="D1427" s="37"/>
      <c r="E1427" s="37"/>
      <c r="F1427" s="37"/>
      <c r="G1427" s="44"/>
      <c r="H1427" s="38"/>
      <c r="I1427" s="36"/>
      <c r="J1427" s="37"/>
      <c r="K1427" s="43"/>
      <c r="L1427" s="44"/>
    </row>
    <row r="1428" spans="1:12" s="34" customFormat="1" x14ac:dyDescent="0.35">
      <c r="A1428" s="35"/>
      <c r="B1428" s="36"/>
      <c r="C1428" s="36"/>
      <c r="D1428" s="37"/>
      <c r="E1428" s="37"/>
      <c r="F1428" s="37"/>
      <c r="G1428" s="44"/>
      <c r="H1428" s="38"/>
      <c r="I1428" s="36"/>
      <c r="J1428" s="37"/>
      <c r="K1428" s="43"/>
      <c r="L1428" s="44"/>
    </row>
    <row r="1429" spans="1:12" s="34" customFormat="1" x14ac:dyDescent="0.35">
      <c r="A1429" s="35"/>
      <c r="B1429" s="36"/>
      <c r="C1429" s="36"/>
      <c r="D1429" s="37"/>
      <c r="E1429" s="37"/>
      <c r="F1429" s="37"/>
      <c r="G1429" s="44"/>
      <c r="H1429" s="38"/>
      <c r="I1429" s="36"/>
      <c r="J1429" s="37"/>
      <c r="K1429" s="43"/>
      <c r="L1429" s="44"/>
    </row>
    <row r="1430" spans="1:12" s="34" customFormat="1" x14ac:dyDescent="0.35">
      <c r="A1430" s="35"/>
      <c r="B1430" s="36"/>
      <c r="C1430" s="36"/>
      <c r="D1430" s="37"/>
      <c r="E1430" s="37"/>
      <c r="F1430" s="37"/>
      <c r="G1430" s="44"/>
      <c r="H1430" s="38"/>
      <c r="I1430" s="36"/>
      <c r="J1430" s="37"/>
      <c r="K1430" s="43"/>
      <c r="L1430" s="44"/>
    </row>
    <row r="1431" spans="1:12" s="34" customFormat="1" x14ac:dyDescent="0.35">
      <c r="A1431" s="35"/>
      <c r="B1431" s="36"/>
      <c r="C1431" s="36"/>
      <c r="D1431" s="37"/>
      <c r="E1431" s="37"/>
      <c r="F1431" s="37"/>
      <c r="G1431" s="44"/>
      <c r="H1431" s="38"/>
      <c r="I1431" s="36"/>
      <c r="J1431" s="37"/>
      <c r="K1431" s="43"/>
      <c r="L1431" s="44"/>
    </row>
    <row r="1432" spans="1:12" s="34" customFormat="1" x14ac:dyDescent="0.35">
      <c r="A1432" s="35"/>
      <c r="B1432" s="36"/>
      <c r="C1432" s="36"/>
      <c r="D1432" s="37"/>
      <c r="E1432" s="37"/>
      <c r="F1432" s="37"/>
      <c r="G1432" s="44"/>
      <c r="H1432" s="38"/>
      <c r="I1432" s="36"/>
      <c r="J1432" s="37"/>
      <c r="K1432" s="43"/>
      <c r="L1432" s="44"/>
    </row>
    <row r="1433" spans="1:12" s="34" customFormat="1" x14ac:dyDescent="0.35">
      <c r="A1433" s="35"/>
      <c r="B1433" s="36"/>
      <c r="C1433" s="36"/>
      <c r="D1433" s="37"/>
      <c r="E1433" s="37"/>
      <c r="F1433" s="37"/>
      <c r="G1433" s="44"/>
      <c r="H1433" s="38"/>
      <c r="I1433" s="36"/>
      <c r="J1433" s="37"/>
      <c r="K1433" s="43"/>
      <c r="L1433" s="44"/>
    </row>
    <row r="1434" spans="1:12" s="34" customFormat="1" x14ac:dyDescent="0.35">
      <c r="A1434" s="35"/>
      <c r="B1434" s="36"/>
      <c r="C1434" s="36"/>
      <c r="D1434" s="37"/>
      <c r="E1434" s="37"/>
      <c r="F1434" s="37"/>
      <c r="G1434" s="44"/>
      <c r="H1434" s="38"/>
      <c r="I1434" s="36"/>
      <c r="J1434" s="37"/>
      <c r="K1434" s="43"/>
      <c r="L1434" s="44"/>
    </row>
    <row r="1435" spans="1:12" s="34" customFormat="1" x14ac:dyDescent="0.35">
      <c r="A1435" s="35"/>
      <c r="B1435" s="36"/>
      <c r="C1435" s="36"/>
      <c r="D1435" s="37"/>
      <c r="E1435" s="37"/>
      <c r="F1435" s="37"/>
      <c r="G1435" s="44"/>
      <c r="H1435" s="38"/>
      <c r="I1435" s="36"/>
      <c r="J1435" s="37"/>
      <c r="K1435" s="43"/>
      <c r="L1435" s="44"/>
    </row>
    <row r="1436" spans="1:12" s="34" customFormat="1" x14ac:dyDescent="0.35">
      <c r="A1436" s="35"/>
      <c r="B1436" s="36"/>
      <c r="C1436" s="36"/>
      <c r="D1436" s="37"/>
      <c r="E1436" s="37"/>
      <c r="F1436" s="37"/>
      <c r="G1436" s="44"/>
      <c r="H1436" s="38"/>
      <c r="I1436" s="36"/>
      <c r="J1436" s="37"/>
      <c r="K1436" s="43"/>
      <c r="L1436" s="44"/>
    </row>
    <row r="1437" spans="1:12" s="34" customFormat="1" x14ac:dyDescent="0.35">
      <c r="A1437" s="35"/>
      <c r="B1437" s="36"/>
      <c r="C1437" s="36"/>
      <c r="D1437" s="37"/>
      <c r="E1437" s="37"/>
      <c r="F1437" s="37"/>
      <c r="G1437" s="44"/>
      <c r="H1437" s="38"/>
      <c r="I1437" s="36"/>
      <c r="J1437" s="37"/>
      <c r="K1437" s="43"/>
      <c r="L1437" s="44"/>
    </row>
    <row r="1438" spans="1:12" s="34" customFormat="1" x14ac:dyDescent="0.35">
      <c r="A1438" s="35"/>
      <c r="B1438" s="36"/>
      <c r="C1438" s="36"/>
      <c r="D1438" s="37"/>
      <c r="E1438" s="37"/>
      <c r="F1438" s="37"/>
      <c r="G1438" s="44"/>
      <c r="H1438" s="38"/>
      <c r="I1438" s="36"/>
      <c r="J1438" s="37"/>
      <c r="K1438" s="43"/>
      <c r="L1438" s="44"/>
    </row>
    <row r="1439" spans="1:12" s="34" customFormat="1" x14ac:dyDescent="0.35">
      <c r="A1439" s="35"/>
      <c r="B1439" s="36"/>
      <c r="C1439" s="36"/>
      <c r="D1439" s="37"/>
      <c r="E1439" s="37"/>
      <c r="F1439" s="37"/>
      <c r="G1439" s="44"/>
      <c r="H1439" s="38"/>
      <c r="I1439" s="36"/>
      <c r="J1439" s="37"/>
      <c r="K1439" s="43"/>
      <c r="L1439" s="44"/>
    </row>
    <row r="1440" spans="1:12" s="34" customFormat="1" x14ac:dyDescent="0.35">
      <c r="A1440" s="35"/>
      <c r="B1440" s="36"/>
      <c r="C1440" s="36"/>
      <c r="D1440" s="37"/>
      <c r="E1440" s="37"/>
      <c r="F1440" s="37"/>
      <c r="G1440" s="44"/>
      <c r="H1440" s="38"/>
      <c r="I1440" s="36"/>
      <c r="J1440" s="37"/>
      <c r="K1440" s="43"/>
      <c r="L1440" s="44"/>
    </row>
    <row r="1441" spans="1:12" s="34" customFormat="1" x14ac:dyDescent="0.35">
      <c r="A1441" s="35"/>
      <c r="B1441" s="36"/>
      <c r="C1441" s="36"/>
      <c r="D1441" s="37"/>
      <c r="E1441" s="37"/>
      <c r="F1441" s="37"/>
      <c r="G1441" s="44"/>
      <c r="H1441" s="38"/>
      <c r="I1441" s="36"/>
      <c r="J1441" s="37"/>
      <c r="K1441" s="43"/>
      <c r="L1441" s="44"/>
    </row>
    <row r="1442" spans="1:12" s="34" customFormat="1" x14ac:dyDescent="0.35">
      <c r="A1442" s="35"/>
      <c r="B1442" s="36"/>
      <c r="C1442" s="36"/>
      <c r="D1442" s="37"/>
      <c r="E1442" s="37"/>
      <c r="F1442" s="37"/>
      <c r="G1442" s="44"/>
      <c r="H1442" s="38"/>
      <c r="I1442" s="36"/>
      <c r="J1442" s="37"/>
      <c r="K1442" s="43"/>
      <c r="L1442" s="44"/>
    </row>
    <row r="1443" spans="1:12" s="34" customFormat="1" x14ac:dyDescent="0.35">
      <c r="A1443" s="35"/>
      <c r="B1443" s="36"/>
      <c r="C1443" s="36"/>
      <c r="D1443" s="37"/>
      <c r="E1443" s="37"/>
      <c r="F1443" s="37"/>
      <c r="G1443" s="44"/>
      <c r="H1443" s="38"/>
      <c r="I1443" s="36"/>
      <c r="J1443" s="37"/>
      <c r="K1443" s="43"/>
      <c r="L1443" s="44"/>
    </row>
    <row r="1444" spans="1:12" s="34" customFormat="1" x14ac:dyDescent="0.35">
      <c r="A1444" s="35"/>
      <c r="B1444" s="36"/>
      <c r="C1444" s="36"/>
      <c r="D1444" s="37"/>
      <c r="E1444" s="37"/>
      <c r="F1444" s="37"/>
      <c r="G1444" s="44"/>
      <c r="H1444" s="38"/>
      <c r="I1444" s="36"/>
      <c r="J1444" s="37"/>
      <c r="K1444" s="43"/>
      <c r="L1444" s="44"/>
    </row>
    <row r="1445" spans="1:12" s="34" customFormat="1" x14ac:dyDescent="0.35">
      <c r="A1445" s="35"/>
      <c r="B1445" s="36"/>
      <c r="C1445" s="36"/>
      <c r="D1445" s="37"/>
      <c r="E1445" s="37"/>
      <c r="F1445" s="37"/>
      <c r="G1445" s="44"/>
      <c r="H1445" s="38"/>
      <c r="I1445" s="36"/>
      <c r="J1445" s="37"/>
      <c r="K1445" s="43"/>
      <c r="L1445" s="44"/>
    </row>
    <row r="1446" spans="1:12" s="34" customFormat="1" x14ac:dyDescent="0.35">
      <c r="A1446" s="35"/>
      <c r="B1446" s="36"/>
      <c r="C1446" s="36"/>
      <c r="D1446" s="37"/>
      <c r="E1446" s="37"/>
      <c r="F1446" s="37"/>
      <c r="G1446" s="44"/>
      <c r="H1446" s="38"/>
      <c r="I1446" s="36"/>
      <c r="J1446" s="37"/>
      <c r="K1446" s="43"/>
      <c r="L1446" s="44"/>
    </row>
    <row r="1447" spans="1:12" s="34" customFormat="1" x14ac:dyDescent="0.35">
      <c r="A1447" s="35"/>
      <c r="B1447" s="36"/>
      <c r="C1447" s="36"/>
      <c r="D1447" s="37"/>
      <c r="E1447" s="37"/>
      <c r="F1447" s="37"/>
      <c r="G1447" s="44"/>
      <c r="H1447" s="38"/>
      <c r="I1447" s="36"/>
      <c r="J1447" s="37"/>
      <c r="K1447" s="43"/>
      <c r="L1447" s="44"/>
    </row>
    <row r="1448" spans="1:12" s="34" customFormat="1" x14ac:dyDescent="0.35">
      <c r="A1448" s="35"/>
      <c r="B1448" s="36"/>
      <c r="C1448" s="36"/>
      <c r="D1448" s="37"/>
      <c r="E1448" s="37"/>
      <c r="F1448" s="37"/>
      <c r="G1448" s="44"/>
      <c r="H1448" s="38"/>
      <c r="I1448" s="36"/>
      <c r="J1448" s="37"/>
      <c r="K1448" s="43"/>
      <c r="L1448" s="44"/>
    </row>
    <row r="1449" spans="1:12" s="34" customFormat="1" x14ac:dyDescent="0.35">
      <c r="A1449" s="35"/>
      <c r="B1449" s="36"/>
      <c r="C1449" s="36"/>
      <c r="D1449" s="37"/>
      <c r="E1449" s="37"/>
      <c r="F1449" s="37"/>
      <c r="G1449" s="44"/>
      <c r="H1449" s="38"/>
      <c r="I1449" s="36"/>
      <c r="J1449" s="37"/>
      <c r="K1449" s="43"/>
      <c r="L1449" s="44"/>
    </row>
    <row r="1450" spans="1:12" s="34" customFormat="1" x14ac:dyDescent="0.35">
      <c r="A1450" s="35"/>
      <c r="B1450" s="36"/>
      <c r="C1450" s="36"/>
      <c r="D1450" s="37"/>
      <c r="E1450" s="37"/>
      <c r="F1450" s="37"/>
      <c r="G1450" s="44"/>
      <c r="H1450" s="38"/>
      <c r="I1450" s="36"/>
      <c r="J1450" s="37"/>
      <c r="K1450" s="43"/>
      <c r="L1450" s="44"/>
    </row>
    <row r="1451" spans="1:12" s="34" customFormat="1" x14ac:dyDescent="0.35">
      <c r="A1451" s="35"/>
      <c r="B1451" s="36"/>
      <c r="C1451" s="36"/>
      <c r="D1451" s="37"/>
      <c r="E1451" s="37"/>
      <c r="F1451" s="37"/>
      <c r="G1451" s="44"/>
      <c r="H1451" s="38"/>
      <c r="I1451" s="36"/>
      <c r="J1451" s="37"/>
      <c r="K1451" s="43"/>
      <c r="L1451" s="44"/>
    </row>
    <row r="1452" spans="1:12" s="34" customFormat="1" x14ac:dyDescent="0.35">
      <c r="A1452" s="35"/>
      <c r="B1452" s="36"/>
      <c r="C1452" s="36"/>
      <c r="D1452" s="37"/>
      <c r="E1452" s="37"/>
      <c r="F1452" s="37"/>
      <c r="G1452" s="44"/>
      <c r="H1452" s="38"/>
      <c r="I1452" s="36"/>
      <c r="J1452" s="37"/>
      <c r="K1452" s="43"/>
      <c r="L1452" s="44"/>
    </row>
    <row r="1453" spans="1:12" s="34" customFormat="1" x14ac:dyDescent="0.35">
      <c r="A1453" s="35"/>
      <c r="B1453" s="36"/>
      <c r="C1453" s="36"/>
      <c r="D1453" s="37"/>
      <c r="E1453" s="37"/>
      <c r="F1453" s="37"/>
      <c r="G1453" s="44"/>
      <c r="H1453" s="38"/>
      <c r="I1453" s="36"/>
      <c r="J1453" s="37"/>
      <c r="K1453" s="43"/>
      <c r="L1453" s="44"/>
    </row>
    <row r="1454" spans="1:12" s="34" customFormat="1" x14ac:dyDescent="0.35">
      <c r="A1454" s="35"/>
      <c r="B1454" s="36"/>
      <c r="C1454" s="36"/>
      <c r="D1454" s="37"/>
      <c r="E1454" s="37"/>
      <c r="F1454" s="37"/>
      <c r="G1454" s="44"/>
      <c r="H1454" s="38"/>
      <c r="I1454" s="36"/>
      <c r="J1454" s="37"/>
      <c r="K1454" s="43"/>
      <c r="L1454" s="44"/>
    </row>
    <row r="1455" spans="1:12" s="34" customFormat="1" x14ac:dyDescent="0.35">
      <c r="A1455" s="35"/>
      <c r="B1455" s="36"/>
      <c r="C1455" s="36"/>
      <c r="D1455" s="37"/>
      <c r="E1455" s="37"/>
      <c r="F1455" s="37"/>
      <c r="G1455" s="44"/>
      <c r="H1455" s="38"/>
      <c r="I1455" s="36"/>
      <c r="J1455" s="37"/>
      <c r="K1455" s="43"/>
      <c r="L1455" s="44"/>
    </row>
    <row r="1456" spans="1:12" s="34" customFormat="1" x14ac:dyDescent="0.35">
      <c r="A1456" s="35"/>
      <c r="B1456" s="36"/>
      <c r="C1456" s="36"/>
      <c r="D1456" s="37"/>
      <c r="E1456" s="37"/>
      <c r="F1456" s="37"/>
      <c r="G1456" s="44"/>
      <c r="H1456" s="38"/>
      <c r="I1456" s="36"/>
      <c r="J1456" s="37"/>
      <c r="K1456" s="43"/>
      <c r="L1456" s="44"/>
    </row>
    <row r="1457" spans="1:12" s="34" customFormat="1" x14ac:dyDescent="0.35">
      <c r="A1457" s="35"/>
      <c r="B1457" s="36"/>
      <c r="C1457" s="36"/>
      <c r="D1457" s="37"/>
      <c r="E1457" s="37"/>
      <c r="F1457" s="37"/>
      <c r="G1457" s="44"/>
      <c r="H1457" s="38"/>
      <c r="I1457" s="36"/>
      <c r="J1457" s="37"/>
      <c r="K1457" s="43"/>
      <c r="L1457" s="44"/>
    </row>
    <row r="1458" spans="1:12" s="34" customFormat="1" x14ac:dyDescent="0.35">
      <c r="A1458" s="35"/>
      <c r="B1458" s="36"/>
      <c r="C1458" s="36"/>
      <c r="D1458" s="37"/>
      <c r="E1458" s="37"/>
      <c r="F1458" s="37"/>
      <c r="G1458" s="44"/>
      <c r="H1458" s="38"/>
      <c r="I1458" s="36"/>
      <c r="J1458" s="37"/>
      <c r="K1458" s="43"/>
      <c r="L1458" s="44"/>
    </row>
    <row r="1459" spans="1:12" s="34" customFormat="1" x14ac:dyDescent="0.35">
      <c r="A1459" s="35"/>
      <c r="B1459" s="36"/>
      <c r="C1459" s="36"/>
      <c r="D1459" s="37"/>
      <c r="E1459" s="37"/>
      <c r="F1459" s="37"/>
      <c r="G1459" s="44"/>
      <c r="H1459" s="38"/>
      <c r="I1459" s="36"/>
      <c r="J1459" s="37"/>
      <c r="K1459" s="43"/>
      <c r="L1459" s="44"/>
    </row>
    <row r="1460" spans="1:12" s="34" customFormat="1" x14ac:dyDescent="0.35">
      <c r="A1460" s="35"/>
      <c r="B1460" s="36"/>
      <c r="C1460" s="36"/>
      <c r="D1460" s="37"/>
      <c r="E1460" s="37"/>
      <c r="F1460" s="37"/>
      <c r="G1460" s="44"/>
      <c r="H1460" s="38"/>
      <c r="I1460" s="36"/>
      <c r="J1460" s="37"/>
      <c r="K1460" s="43"/>
      <c r="L1460" s="44"/>
    </row>
    <row r="1461" spans="1:12" s="34" customFormat="1" x14ac:dyDescent="0.35">
      <c r="A1461" s="35"/>
      <c r="B1461" s="36"/>
      <c r="C1461" s="36"/>
      <c r="D1461" s="37"/>
      <c r="E1461" s="37"/>
      <c r="F1461" s="37"/>
      <c r="G1461" s="44"/>
      <c r="H1461" s="38"/>
      <c r="I1461" s="36"/>
      <c r="J1461" s="37"/>
      <c r="K1461" s="43"/>
      <c r="L1461" s="44"/>
    </row>
    <row r="1462" spans="1:12" s="34" customFormat="1" x14ac:dyDescent="0.35">
      <c r="A1462" s="35"/>
      <c r="B1462" s="36"/>
      <c r="C1462" s="36"/>
      <c r="D1462" s="37"/>
      <c r="E1462" s="37"/>
      <c r="F1462" s="37"/>
      <c r="G1462" s="44"/>
      <c r="H1462" s="38"/>
      <c r="I1462" s="36"/>
      <c r="J1462" s="37"/>
      <c r="K1462" s="43"/>
      <c r="L1462" s="44"/>
    </row>
    <row r="1463" spans="1:12" s="34" customFormat="1" x14ac:dyDescent="0.35">
      <c r="A1463" s="35"/>
      <c r="B1463" s="36"/>
      <c r="C1463" s="36"/>
      <c r="D1463" s="37"/>
      <c r="E1463" s="37"/>
      <c r="F1463" s="37"/>
      <c r="G1463" s="44"/>
      <c r="H1463" s="38"/>
      <c r="I1463" s="36"/>
      <c r="J1463" s="37"/>
      <c r="K1463" s="43"/>
      <c r="L1463" s="44"/>
    </row>
    <row r="1464" spans="1:12" s="34" customFormat="1" x14ac:dyDescent="0.35">
      <c r="A1464" s="35"/>
      <c r="B1464" s="36"/>
      <c r="C1464" s="36"/>
      <c r="D1464" s="37"/>
      <c r="E1464" s="37"/>
      <c r="F1464" s="37"/>
      <c r="G1464" s="44"/>
      <c r="H1464" s="38"/>
      <c r="I1464" s="36"/>
      <c r="J1464" s="37"/>
      <c r="K1464" s="43"/>
      <c r="L1464" s="44"/>
    </row>
    <row r="1465" spans="1:12" s="34" customFormat="1" x14ac:dyDescent="0.35">
      <c r="A1465" s="35"/>
      <c r="B1465" s="36"/>
      <c r="C1465" s="36"/>
      <c r="D1465" s="37"/>
      <c r="E1465" s="37"/>
      <c r="F1465" s="37"/>
      <c r="G1465" s="44"/>
      <c r="H1465" s="38"/>
      <c r="I1465" s="36"/>
      <c r="J1465" s="37"/>
      <c r="K1465" s="43"/>
      <c r="L1465" s="44"/>
    </row>
    <row r="1466" spans="1:12" s="34" customFormat="1" x14ac:dyDescent="0.35">
      <c r="A1466" s="35"/>
      <c r="B1466" s="36"/>
      <c r="C1466" s="36"/>
      <c r="D1466" s="37"/>
      <c r="E1466" s="37"/>
      <c r="F1466" s="37"/>
      <c r="G1466" s="44"/>
      <c r="H1466" s="38"/>
      <c r="I1466" s="36"/>
      <c r="J1466" s="37"/>
      <c r="K1466" s="43"/>
      <c r="L1466" s="44"/>
    </row>
    <row r="1467" spans="1:12" s="34" customFormat="1" x14ac:dyDescent="0.35">
      <c r="A1467" s="35"/>
      <c r="B1467" s="36"/>
      <c r="C1467" s="36"/>
      <c r="D1467" s="37"/>
      <c r="E1467" s="37"/>
      <c r="F1467" s="37"/>
      <c r="G1467" s="44"/>
      <c r="H1467" s="38"/>
      <c r="I1467" s="36"/>
      <c r="J1467" s="37"/>
      <c r="K1467" s="43"/>
      <c r="L1467" s="44"/>
    </row>
    <row r="1468" spans="1:12" s="34" customFormat="1" x14ac:dyDescent="0.35">
      <c r="A1468" s="35"/>
      <c r="B1468" s="36"/>
      <c r="C1468" s="36"/>
      <c r="D1468" s="37"/>
      <c r="E1468" s="37"/>
      <c r="F1468" s="37"/>
      <c r="G1468" s="44"/>
      <c r="H1468" s="38"/>
      <c r="I1468" s="36"/>
      <c r="J1468" s="37"/>
      <c r="K1468" s="43"/>
      <c r="L1468" s="44"/>
    </row>
    <row r="1469" spans="1:12" s="34" customFormat="1" x14ac:dyDescent="0.35">
      <c r="A1469" s="35"/>
      <c r="B1469" s="36"/>
      <c r="C1469" s="36"/>
      <c r="D1469" s="37"/>
      <c r="E1469" s="37"/>
      <c r="F1469" s="37"/>
      <c r="G1469" s="44"/>
      <c r="H1469" s="38"/>
      <c r="I1469" s="36"/>
      <c r="J1469" s="37"/>
      <c r="K1469" s="43"/>
      <c r="L1469" s="44"/>
    </row>
    <row r="1470" spans="1:12" s="34" customFormat="1" x14ac:dyDescent="0.35">
      <c r="A1470" s="35"/>
      <c r="B1470" s="36"/>
      <c r="C1470" s="36"/>
      <c r="D1470" s="37"/>
      <c r="E1470" s="37"/>
      <c r="F1470" s="37"/>
      <c r="G1470" s="44"/>
      <c r="H1470" s="38"/>
      <c r="I1470" s="36"/>
      <c r="J1470" s="37"/>
      <c r="K1470" s="43"/>
      <c r="L1470" s="44"/>
    </row>
    <row r="1471" spans="1:12" s="34" customFormat="1" x14ac:dyDescent="0.35">
      <c r="A1471" s="35"/>
      <c r="B1471" s="36"/>
      <c r="C1471" s="36"/>
      <c r="D1471" s="37"/>
      <c r="E1471" s="37"/>
      <c r="F1471" s="37"/>
      <c r="G1471" s="44"/>
      <c r="H1471" s="38"/>
      <c r="I1471" s="36"/>
      <c r="J1471" s="37"/>
      <c r="K1471" s="43"/>
      <c r="L1471" s="44"/>
    </row>
    <row r="1472" spans="1:12" s="34" customFormat="1" x14ac:dyDescent="0.35">
      <c r="A1472" s="35"/>
      <c r="B1472" s="36"/>
      <c r="C1472" s="36"/>
      <c r="D1472" s="37"/>
      <c r="E1472" s="37"/>
      <c r="F1472" s="37"/>
      <c r="G1472" s="44"/>
      <c r="H1472" s="38"/>
      <c r="I1472" s="36"/>
      <c r="J1472" s="37"/>
      <c r="K1472" s="43"/>
      <c r="L1472" s="44"/>
    </row>
    <row r="1473" spans="1:12" s="34" customFormat="1" x14ac:dyDescent="0.35">
      <c r="A1473" s="35"/>
      <c r="B1473" s="36"/>
      <c r="C1473" s="36"/>
      <c r="D1473" s="37"/>
      <c r="E1473" s="37"/>
      <c r="F1473" s="37"/>
      <c r="G1473" s="44"/>
      <c r="H1473" s="38"/>
      <c r="I1473" s="36"/>
      <c r="J1473" s="37"/>
      <c r="K1473" s="43"/>
      <c r="L1473" s="44"/>
    </row>
    <row r="1474" spans="1:12" s="34" customFormat="1" x14ac:dyDescent="0.35">
      <c r="A1474" s="35"/>
      <c r="B1474" s="36"/>
      <c r="C1474" s="36"/>
      <c r="D1474" s="37"/>
      <c r="E1474" s="37"/>
      <c r="F1474" s="37"/>
      <c r="G1474" s="44"/>
      <c r="H1474" s="38"/>
      <c r="I1474" s="36"/>
      <c r="J1474" s="37"/>
      <c r="K1474" s="43"/>
      <c r="L1474" s="44"/>
    </row>
    <row r="1475" spans="1:12" s="34" customFormat="1" x14ac:dyDescent="0.35">
      <c r="A1475" s="35"/>
      <c r="B1475" s="36"/>
      <c r="C1475" s="36"/>
      <c r="D1475" s="37"/>
      <c r="E1475" s="37"/>
      <c r="F1475" s="37"/>
      <c r="G1475" s="44"/>
      <c r="H1475" s="38"/>
      <c r="I1475" s="36"/>
      <c r="J1475" s="37"/>
      <c r="K1475" s="43"/>
      <c r="L1475" s="44"/>
    </row>
    <row r="1476" spans="1:12" s="34" customFormat="1" x14ac:dyDescent="0.35">
      <c r="A1476" s="35"/>
      <c r="B1476" s="36"/>
      <c r="C1476" s="36"/>
      <c r="D1476" s="37"/>
      <c r="E1476" s="37"/>
      <c r="F1476" s="37"/>
      <c r="G1476" s="44"/>
      <c r="H1476" s="38"/>
      <c r="I1476" s="36"/>
      <c r="J1476" s="37"/>
      <c r="K1476" s="43"/>
      <c r="L1476" s="44"/>
    </row>
    <row r="1477" spans="1:12" s="34" customFormat="1" x14ac:dyDescent="0.35">
      <c r="A1477" s="35"/>
      <c r="B1477" s="36"/>
      <c r="C1477" s="36"/>
      <c r="D1477" s="37"/>
      <c r="E1477" s="37"/>
      <c r="F1477" s="37"/>
      <c r="G1477" s="44"/>
      <c r="H1477" s="38"/>
      <c r="I1477" s="36"/>
      <c r="J1477" s="37"/>
      <c r="K1477" s="43"/>
      <c r="L1477" s="44"/>
    </row>
    <row r="1478" spans="1:12" s="34" customFormat="1" x14ac:dyDescent="0.35">
      <c r="A1478" s="35"/>
      <c r="B1478" s="36"/>
      <c r="C1478" s="36"/>
      <c r="D1478" s="37"/>
      <c r="E1478" s="37"/>
      <c r="F1478" s="37"/>
      <c r="G1478" s="44"/>
      <c r="H1478" s="38"/>
      <c r="I1478" s="36"/>
      <c r="J1478" s="37"/>
      <c r="K1478" s="43"/>
      <c r="L1478" s="44"/>
    </row>
    <row r="1479" spans="1:12" s="34" customFormat="1" x14ac:dyDescent="0.35">
      <c r="A1479" s="35"/>
      <c r="B1479" s="36"/>
      <c r="C1479" s="36"/>
      <c r="D1479" s="37"/>
      <c r="E1479" s="37"/>
      <c r="F1479" s="37"/>
      <c r="G1479" s="44"/>
      <c r="H1479" s="38"/>
      <c r="I1479" s="36"/>
      <c r="J1479" s="37"/>
      <c r="K1479" s="43"/>
      <c r="L1479" s="44"/>
    </row>
    <row r="1480" spans="1:12" s="34" customFormat="1" x14ac:dyDescent="0.35">
      <c r="A1480" s="35"/>
      <c r="B1480" s="36"/>
      <c r="C1480" s="36"/>
      <c r="D1480" s="37"/>
      <c r="E1480" s="37"/>
      <c r="F1480" s="37"/>
      <c r="G1480" s="44"/>
      <c r="H1480" s="38"/>
      <c r="I1480" s="36"/>
      <c r="J1480" s="37"/>
      <c r="K1480" s="43"/>
      <c r="L1480" s="44"/>
    </row>
    <row r="1481" spans="1:12" s="34" customFormat="1" x14ac:dyDescent="0.35">
      <c r="A1481" s="35"/>
      <c r="B1481" s="36"/>
      <c r="C1481" s="36"/>
      <c r="D1481" s="37"/>
      <c r="E1481" s="37"/>
      <c r="F1481" s="37"/>
      <c r="G1481" s="44"/>
      <c r="H1481" s="38"/>
      <c r="I1481" s="36"/>
      <c r="J1481" s="37"/>
      <c r="K1481" s="43"/>
      <c r="L1481" s="44"/>
    </row>
    <row r="1482" spans="1:12" s="34" customFormat="1" x14ac:dyDescent="0.35">
      <c r="A1482" s="35"/>
      <c r="B1482" s="36"/>
      <c r="C1482" s="36"/>
      <c r="D1482" s="37"/>
      <c r="E1482" s="37"/>
      <c r="F1482" s="37"/>
      <c r="G1482" s="44"/>
      <c r="H1482" s="38"/>
      <c r="I1482" s="36"/>
      <c r="J1482" s="37"/>
      <c r="K1482" s="43"/>
      <c r="L1482" s="44"/>
    </row>
    <row r="1483" spans="1:12" s="34" customFormat="1" x14ac:dyDescent="0.35">
      <c r="A1483" s="35"/>
      <c r="B1483" s="36"/>
      <c r="C1483" s="36"/>
      <c r="D1483" s="37"/>
      <c r="E1483" s="37"/>
      <c r="F1483" s="37"/>
      <c r="G1483" s="44"/>
      <c r="H1483" s="38"/>
      <c r="I1483" s="36"/>
      <c r="J1483" s="37"/>
      <c r="K1483" s="43"/>
      <c r="L1483" s="44"/>
    </row>
    <row r="1484" spans="1:12" s="34" customFormat="1" x14ac:dyDescent="0.35">
      <c r="A1484" s="35"/>
      <c r="B1484" s="36"/>
      <c r="C1484" s="36"/>
      <c r="D1484" s="37"/>
      <c r="E1484" s="37"/>
      <c r="F1484" s="37"/>
      <c r="G1484" s="44"/>
      <c r="H1484" s="38"/>
      <c r="I1484" s="36"/>
      <c r="J1484" s="37"/>
      <c r="K1484" s="43"/>
      <c r="L1484" s="44"/>
    </row>
    <row r="1485" spans="1:12" s="34" customFormat="1" x14ac:dyDescent="0.35">
      <c r="A1485" s="35"/>
      <c r="B1485" s="36"/>
      <c r="C1485" s="36"/>
      <c r="D1485" s="37"/>
      <c r="E1485" s="37"/>
      <c r="F1485" s="37"/>
      <c r="G1485" s="44"/>
      <c r="H1485" s="38"/>
      <c r="I1485" s="36"/>
      <c r="J1485" s="37"/>
      <c r="K1485" s="43"/>
      <c r="L1485" s="44"/>
    </row>
    <row r="1486" spans="1:12" s="34" customFormat="1" x14ac:dyDescent="0.35">
      <c r="A1486" s="35"/>
      <c r="B1486" s="36"/>
      <c r="C1486" s="36"/>
      <c r="D1486" s="37"/>
      <c r="E1486" s="37"/>
      <c r="F1486" s="37"/>
      <c r="G1486" s="44"/>
      <c r="H1486" s="38"/>
      <c r="I1486" s="36"/>
      <c r="J1486" s="37"/>
      <c r="K1486" s="43"/>
      <c r="L1486" s="44"/>
    </row>
    <row r="1487" spans="1:12" s="34" customFormat="1" x14ac:dyDescent="0.35">
      <c r="A1487" s="35"/>
      <c r="B1487" s="36"/>
      <c r="C1487" s="36"/>
      <c r="D1487" s="37"/>
      <c r="E1487" s="37"/>
      <c r="F1487" s="37"/>
      <c r="G1487" s="44"/>
      <c r="H1487" s="38"/>
      <c r="I1487" s="36"/>
      <c r="J1487" s="37"/>
      <c r="K1487" s="43"/>
      <c r="L1487" s="44"/>
    </row>
    <row r="1488" spans="1:12" s="34" customFormat="1" x14ac:dyDescent="0.35">
      <c r="A1488" s="35"/>
      <c r="B1488" s="36"/>
      <c r="C1488" s="36"/>
      <c r="D1488" s="37"/>
      <c r="E1488" s="37"/>
      <c r="F1488" s="37"/>
      <c r="G1488" s="44"/>
      <c r="H1488" s="38"/>
      <c r="I1488" s="36"/>
      <c r="J1488" s="37"/>
      <c r="K1488" s="43"/>
      <c r="L1488" s="44"/>
    </row>
    <row r="1489" spans="1:12" s="34" customFormat="1" x14ac:dyDescent="0.35">
      <c r="A1489" s="35"/>
      <c r="B1489" s="36"/>
      <c r="C1489" s="36"/>
      <c r="D1489" s="37"/>
      <c r="E1489" s="37"/>
      <c r="F1489" s="37"/>
      <c r="G1489" s="44"/>
      <c r="H1489" s="38"/>
      <c r="I1489" s="36"/>
      <c r="J1489" s="37"/>
      <c r="K1489" s="43"/>
      <c r="L1489" s="44"/>
    </row>
    <row r="1490" spans="1:12" s="34" customFormat="1" x14ac:dyDescent="0.35">
      <c r="A1490" s="35"/>
      <c r="B1490" s="36"/>
      <c r="C1490" s="36"/>
      <c r="D1490" s="37"/>
      <c r="E1490" s="37"/>
      <c r="F1490" s="37"/>
      <c r="G1490" s="44"/>
      <c r="H1490" s="38"/>
      <c r="I1490" s="36"/>
      <c r="J1490" s="37"/>
      <c r="K1490" s="43"/>
      <c r="L1490" s="44"/>
    </row>
    <row r="1491" spans="1:12" s="34" customFormat="1" x14ac:dyDescent="0.35">
      <c r="A1491" s="35"/>
      <c r="B1491" s="36"/>
      <c r="C1491" s="36"/>
      <c r="D1491" s="37"/>
      <c r="E1491" s="37"/>
      <c r="F1491" s="37"/>
      <c r="G1491" s="44"/>
      <c r="H1491" s="38"/>
      <c r="I1491" s="36"/>
      <c r="J1491" s="37"/>
      <c r="K1491" s="43"/>
      <c r="L1491" s="44"/>
    </row>
    <row r="1492" spans="1:12" s="34" customFormat="1" x14ac:dyDescent="0.35">
      <c r="A1492" s="35"/>
      <c r="B1492" s="36"/>
      <c r="C1492" s="36"/>
      <c r="D1492" s="37"/>
      <c r="E1492" s="37"/>
      <c r="F1492" s="37"/>
      <c r="G1492" s="44"/>
      <c r="H1492" s="38"/>
      <c r="I1492" s="36"/>
      <c r="J1492" s="37"/>
      <c r="K1492" s="43"/>
      <c r="L1492" s="44"/>
    </row>
    <row r="1493" spans="1:12" s="34" customFormat="1" x14ac:dyDescent="0.35">
      <c r="A1493" s="35"/>
      <c r="B1493" s="36"/>
      <c r="C1493" s="36"/>
      <c r="D1493" s="37"/>
      <c r="E1493" s="37"/>
      <c r="F1493" s="37"/>
      <c r="G1493" s="44"/>
      <c r="H1493" s="38"/>
      <c r="I1493" s="36"/>
      <c r="J1493" s="37"/>
      <c r="K1493" s="43"/>
      <c r="L1493" s="44"/>
    </row>
    <row r="1494" spans="1:12" s="34" customFormat="1" x14ac:dyDescent="0.35">
      <c r="A1494" s="35"/>
      <c r="B1494" s="36"/>
      <c r="C1494" s="36"/>
      <c r="D1494" s="37"/>
      <c r="E1494" s="37"/>
      <c r="F1494" s="37"/>
      <c r="G1494" s="44"/>
      <c r="H1494" s="38"/>
      <c r="I1494" s="36"/>
      <c r="J1494" s="37"/>
      <c r="K1494" s="43"/>
      <c r="L1494" s="44"/>
    </row>
    <row r="1495" spans="1:12" s="34" customFormat="1" x14ac:dyDescent="0.35">
      <c r="A1495" s="35"/>
      <c r="B1495" s="36"/>
      <c r="C1495" s="36"/>
      <c r="D1495" s="37"/>
      <c r="E1495" s="37"/>
      <c r="F1495" s="37"/>
      <c r="G1495" s="44"/>
      <c r="H1495" s="38"/>
      <c r="I1495" s="36"/>
      <c r="J1495" s="37"/>
      <c r="K1495" s="43"/>
      <c r="L1495" s="44"/>
    </row>
    <row r="1496" spans="1:12" s="34" customFormat="1" x14ac:dyDescent="0.35">
      <c r="A1496" s="35"/>
      <c r="B1496" s="36"/>
      <c r="C1496" s="36"/>
      <c r="D1496" s="37"/>
      <c r="E1496" s="37"/>
      <c r="F1496" s="37"/>
      <c r="G1496" s="44"/>
      <c r="H1496" s="38"/>
      <c r="I1496" s="36"/>
      <c r="J1496" s="37"/>
      <c r="K1496" s="43"/>
      <c r="L1496" s="44"/>
    </row>
    <row r="1497" spans="1:12" s="34" customFormat="1" x14ac:dyDescent="0.35">
      <c r="A1497" s="35"/>
      <c r="B1497" s="36"/>
      <c r="C1497" s="36"/>
      <c r="D1497" s="37"/>
      <c r="E1497" s="37"/>
      <c r="F1497" s="37"/>
      <c r="G1497" s="44"/>
      <c r="H1497" s="38"/>
      <c r="I1497" s="36"/>
      <c r="J1497" s="37"/>
      <c r="K1497" s="43"/>
      <c r="L1497" s="44"/>
    </row>
    <row r="1498" spans="1:12" s="34" customFormat="1" x14ac:dyDescent="0.35">
      <c r="A1498" s="35"/>
      <c r="B1498" s="36"/>
      <c r="C1498" s="36"/>
      <c r="D1498" s="37"/>
      <c r="E1498" s="37"/>
      <c r="F1498" s="37"/>
      <c r="G1498" s="44"/>
      <c r="H1498" s="38"/>
      <c r="I1498" s="36"/>
      <c r="J1498" s="37"/>
      <c r="K1498" s="43"/>
      <c r="L1498" s="44"/>
    </row>
    <row r="1499" spans="1:12" s="34" customFormat="1" x14ac:dyDescent="0.35">
      <c r="A1499" s="35"/>
      <c r="B1499" s="36"/>
      <c r="C1499" s="36"/>
      <c r="D1499" s="37"/>
      <c r="E1499" s="37"/>
      <c r="F1499" s="37"/>
      <c r="G1499" s="44"/>
      <c r="H1499" s="38"/>
      <c r="I1499" s="36"/>
      <c r="J1499" s="37"/>
      <c r="K1499" s="43"/>
      <c r="L1499" s="44"/>
    </row>
    <row r="1500" spans="1:12" s="34" customFormat="1" x14ac:dyDescent="0.35">
      <c r="A1500" s="35"/>
      <c r="B1500" s="36"/>
      <c r="C1500" s="36"/>
      <c r="D1500" s="37"/>
      <c r="E1500" s="37"/>
      <c r="F1500" s="37"/>
      <c r="G1500" s="44"/>
      <c r="H1500" s="38"/>
      <c r="I1500" s="36"/>
      <c r="J1500" s="37"/>
      <c r="K1500" s="43"/>
      <c r="L1500" s="44"/>
    </row>
    <row r="1501" spans="1:12" s="34" customFormat="1" x14ac:dyDescent="0.35">
      <c r="A1501" s="35"/>
      <c r="B1501" s="36"/>
      <c r="C1501" s="36"/>
      <c r="D1501" s="37"/>
      <c r="E1501" s="37"/>
      <c r="F1501" s="37"/>
      <c r="G1501" s="44"/>
      <c r="H1501" s="38"/>
      <c r="I1501" s="36"/>
      <c r="J1501" s="37"/>
      <c r="K1501" s="43"/>
      <c r="L1501" s="44"/>
    </row>
    <row r="1502" spans="1:12" s="34" customFormat="1" x14ac:dyDescent="0.35">
      <c r="A1502" s="35"/>
      <c r="B1502" s="36"/>
      <c r="C1502" s="36"/>
      <c r="D1502" s="37"/>
      <c r="E1502" s="37"/>
      <c r="F1502" s="37"/>
      <c r="G1502" s="44"/>
      <c r="H1502" s="38"/>
      <c r="I1502" s="36"/>
      <c r="J1502" s="37"/>
      <c r="K1502" s="43"/>
      <c r="L1502" s="44"/>
    </row>
    <row r="1503" spans="1:12" s="34" customFormat="1" x14ac:dyDescent="0.35">
      <c r="A1503" s="35"/>
      <c r="B1503" s="36"/>
      <c r="C1503" s="36"/>
      <c r="D1503" s="37"/>
      <c r="E1503" s="37"/>
      <c r="F1503" s="37"/>
      <c r="G1503" s="44"/>
      <c r="H1503" s="38"/>
      <c r="I1503" s="36"/>
      <c r="J1503" s="37"/>
      <c r="K1503" s="43"/>
      <c r="L1503" s="44"/>
    </row>
    <row r="1504" spans="1:12" s="34" customFormat="1" x14ac:dyDescent="0.35">
      <c r="A1504" s="35"/>
      <c r="B1504" s="36"/>
      <c r="C1504" s="36"/>
      <c r="D1504" s="37"/>
      <c r="E1504" s="37"/>
      <c r="F1504" s="37"/>
      <c r="G1504" s="44"/>
      <c r="H1504" s="38"/>
      <c r="I1504" s="36"/>
      <c r="J1504" s="37"/>
      <c r="K1504" s="43"/>
      <c r="L1504" s="44"/>
    </row>
    <row r="1505" spans="1:12" s="34" customFormat="1" x14ac:dyDescent="0.35">
      <c r="A1505" s="35"/>
      <c r="B1505" s="36"/>
      <c r="C1505" s="36"/>
      <c r="D1505" s="37"/>
      <c r="E1505" s="37"/>
      <c r="F1505" s="37"/>
      <c r="G1505" s="44"/>
      <c r="H1505" s="38"/>
      <c r="I1505" s="36"/>
      <c r="J1505" s="37"/>
      <c r="K1505" s="43"/>
      <c r="L1505" s="44"/>
    </row>
    <row r="1506" spans="1:12" s="34" customFormat="1" x14ac:dyDescent="0.35">
      <c r="A1506" s="35"/>
      <c r="B1506" s="36"/>
      <c r="C1506" s="36"/>
      <c r="D1506" s="37"/>
      <c r="E1506" s="37"/>
      <c r="F1506" s="37"/>
      <c r="G1506" s="44"/>
      <c r="H1506" s="38"/>
      <c r="I1506" s="36"/>
      <c r="J1506" s="37"/>
      <c r="K1506" s="43"/>
      <c r="L1506" s="44"/>
    </row>
    <row r="1507" spans="1:12" s="34" customFormat="1" x14ac:dyDescent="0.35">
      <c r="A1507" s="35"/>
      <c r="B1507" s="36"/>
      <c r="C1507" s="36"/>
      <c r="D1507" s="37"/>
      <c r="E1507" s="37"/>
      <c r="F1507" s="37"/>
      <c r="G1507" s="44"/>
      <c r="H1507" s="38"/>
      <c r="I1507" s="36"/>
      <c r="J1507" s="37"/>
      <c r="K1507" s="43"/>
      <c r="L1507" s="44"/>
    </row>
    <row r="1508" spans="1:12" s="34" customFormat="1" x14ac:dyDescent="0.35">
      <c r="A1508" s="35"/>
      <c r="B1508" s="36"/>
      <c r="C1508" s="36"/>
      <c r="D1508" s="37"/>
      <c r="E1508" s="37"/>
      <c r="F1508" s="37"/>
      <c r="G1508" s="44"/>
      <c r="H1508" s="38"/>
      <c r="I1508" s="36"/>
      <c r="J1508" s="37"/>
      <c r="K1508" s="43"/>
      <c r="L1508" s="44"/>
    </row>
    <row r="1509" spans="1:12" s="34" customFormat="1" x14ac:dyDescent="0.35">
      <c r="A1509" s="35"/>
      <c r="B1509" s="36"/>
      <c r="C1509" s="36"/>
      <c r="D1509" s="37"/>
      <c r="E1509" s="37"/>
      <c r="F1509" s="37"/>
      <c r="G1509" s="44"/>
      <c r="H1509" s="38"/>
      <c r="I1509" s="36"/>
      <c r="J1509" s="37"/>
      <c r="K1509" s="43"/>
      <c r="L1509" s="44"/>
    </row>
    <row r="1510" spans="1:12" s="34" customFormat="1" x14ac:dyDescent="0.35">
      <c r="A1510" s="35"/>
      <c r="B1510" s="36"/>
      <c r="C1510" s="36"/>
      <c r="D1510" s="37"/>
      <c r="E1510" s="37"/>
      <c r="F1510" s="37"/>
      <c r="G1510" s="44"/>
      <c r="H1510" s="38"/>
      <c r="I1510" s="36"/>
      <c r="J1510" s="37"/>
      <c r="K1510" s="43"/>
      <c r="L1510" s="44"/>
    </row>
    <row r="1511" spans="1:12" s="34" customFormat="1" x14ac:dyDescent="0.35">
      <c r="A1511" s="35"/>
      <c r="B1511" s="36"/>
      <c r="C1511" s="36"/>
      <c r="D1511" s="37"/>
      <c r="E1511" s="37"/>
      <c r="F1511" s="37"/>
      <c r="G1511" s="44"/>
      <c r="H1511" s="38"/>
      <c r="I1511" s="36"/>
      <c r="J1511" s="37"/>
      <c r="K1511" s="43"/>
      <c r="L1511" s="44"/>
    </row>
    <row r="1512" spans="1:12" s="34" customFormat="1" x14ac:dyDescent="0.35">
      <c r="A1512" s="35"/>
      <c r="B1512" s="36"/>
      <c r="C1512" s="36"/>
      <c r="D1512" s="37"/>
      <c r="E1512" s="37"/>
      <c r="F1512" s="37"/>
      <c r="G1512" s="44"/>
      <c r="H1512" s="38"/>
      <c r="I1512" s="36"/>
      <c r="J1512" s="37"/>
      <c r="K1512" s="43"/>
      <c r="L1512" s="44"/>
    </row>
    <row r="1513" spans="1:12" s="34" customFormat="1" x14ac:dyDescent="0.35">
      <c r="A1513" s="35"/>
      <c r="B1513" s="36"/>
      <c r="C1513" s="36"/>
      <c r="D1513" s="37"/>
      <c r="E1513" s="37"/>
      <c r="F1513" s="37"/>
      <c r="G1513" s="44"/>
      <c r="H1513" s="38"/>
      <c r="I1513" s="36"/>
      <c r="J1513" s="37"/>
      <c r="K1513" s="43"/>
      <c r="L1513" s="44"/>
    </row>
    <row r="1514" spans="1:12" s="34" customFormat="1" x14ac:dyDescent="0.35">
      <c r="A1514" s="35"/>
      <c r="B1514" s="36"/>
      <c r="C1514" s="36"/>
      <c r="D1514" s="37"/>
      <c r="E1514" s="37"/>
      <c r="F1514" s="37"/>
      <c r="G1514" s="44"/>
      <c r="H1514" s="38"/>
      <c r="I1514" s="36"/>
      <c r="J1514" s="37"/>
      <c r="K1514" s="43"/>
      <c r="L1514" s="44"/>
    </row>
    <row r="1515" spans="1:12" s="34" customFormat="1" x14ac:dyDescent="0.35">
      <c r="A1515" s="35"/>
      <c r="B1515" s="36"/>
      <c r="C1515" s="36"/>
      <c r="D1515" s="37"/>
      <c r="E1515" s="37"/>
      <c r="F1515" s="37"/>
      <c r="G1515" s="44"/>
      <c r="H1515" s="38"/>
      <c r="I1515" s="36"/>
      <c r="J1515" s="37"/>
      <c r="K1515" s="43"/>
      <c r="L1515" s="44"/>
    </row>
    <row r="1516" spans="1:12" s="34" customFormat="1" x14ac:dyDescent="0.35">
      <c r="A1516" s="35"/>
      <c r="B1516" s="36"/>
      <c r="C1516" s="36"/>
      <c r="D1516" s="37"/>
      <c r="E1516" s="37"/>
      <c r="F1516" s="37"/>
      <c r="G1516" s="44"/>
      <c r="H1516" s="38"/>
      <c r="I1516" s="36"/>
      <c r="J1516" s="37"/>
      <c r="K1516" s="43"/>
      <c r="L1516" s="44"/>
    </row>
    <row r="1517" spans="1:12" s="34" customFormat="1" x14ac:dyDescent="0.35">
      <c r="A1517" s="35"/>
      <c r="B1517" s="36"/>
      <c r="C1517" s="36"/>
      <c r="D1517" s="37"/>
      <c r="E1517" s="37"/>
      <c r="F1517" s="37"/>
      <c r="G1517" s="44"/>
      <c r="H1517" s="38"/>
      <c r="I1517" s="36"/>
      <c r="J1517" s="37"/>
      <c r="K1517" s="43"/>
      <c r="L1517" s="44"/>
    </row>
    <row r="1518" spans="1:12" s="34" customFormat="1" x14ac:dyDescent="0.35">
      <c r="A1518" s="35"/>
      <c r="B1518" s="36"/>
      <c r="C1518" s="36"/>
      <c r="D1518" s="37"/>
      <c r="E1518" s="37"/>
      <c r="F1518" s="37"/>
      <c r="G1518" s="44"/>
      <c r="H1518" s="38"/>
      <c r="I1518" s="36"/>
      <c r="J1518" s="37"/>
      <c r="K1518" s="43"/>
      <c r="L1518" s="44"/>
    </row>
    <row r="1519" spans="1:12" s="34" customFormat="1" x14ac:dyDescent="0.35">
      <c r="A1519" s="35"/>
      <c r="B1519" s="36"/>
      <c r="C1519" s="36"/>
      <c r="D1519" s="37"/>
      <c r="E1519" s="37"/>
      <c r="F1519" s="37"/>
      <c r="G1519" s="44"/>
      <c r="H1519" s="38"/>
      <c r="I1519" s="36"/>
      <c r="J1519" s="37"/>
      <c r="K1519" s="43"/>
      <c r="L1519" s="44"/>
    </row>
    <row r="1520" spans="1:12" s="34" customFormat="1" x14ac:dyDescent="0.35">
      <c r="A1520" s="35"/>
      <c r="B1520" s="36"/>
      <c r="C1520" s="36"/>
      <c r="D1520" s="37"/>
      <c r="E1520" s="37"/>
      <c r="F1520" s="37"/>
      <c r="G1520" s="44"/>
      <c r="H1520" s="38"/>
      <c r="I1520" s="36"/>
      <c r="J1520" s="37"/>
      <c r="K1520" s="43"/>
      <c r="L1520" s="44"/>
    </row>
    <row r="1521" spans="1:12" x14ac:dyDescent="0.35">
      <c r="A1521" s="29"/>
      <c r="G1521" s="45"/>
      <c r="K1521" s="43"/>
      <c r="L1521" s="44"/>
    </row>
    <row r="1522" spans="1:12" x14ac:dyDescent="0.35">
      <c r="A1522" s="29"/>
      <c r="G1522" s="45"/>
      <c r="K1522" s="43"/>
      <c r="L1522" s="44"/>
    </row>
    <row r="1523" spans="1:12" x14ac:dyDescent="0.35">
      <c r="A1523" s="29"/>
      <c r="G1523" s="45"/>
      <c r="K1523" s="43"/>
      <c r="L1523" s="44"/>
    </row>
    <row r="1524" spans="1:12" x14ac:dyDescent="0.35">
      <c r="A1524" s="29"/>
      <c r="G1524" s="45"/>
      <c r="K1524" s="43"/>
      <c r="L1524" s="44"/>
    </row>
    <row r="1525" spans="1:12" x14ac:dyDescent="0.35">
      <c r="A1525" s="29"/>
      <c r="G1525" s="8"/>
      <c r="K1525" s="43"/>
      <c r="L1525" s="44"/>
    </row>
    <row r="1526" spans="1:12" x14ac:dyDescent="0.35">
      <c r="A1526" s="29"/>
      <c r="K1526" s="43"/>
      <c r="L1526" s="44"/>
    </row>
    <row r="1527" spans="1:12" x14ac:dyDescent="0.35">
      <c r="A1527" s="29"/>
      <c r="K1527" s="43"/>
      <c r="L1527" s="44"/>
    </row>
    <row r="1528" spans="1:12" x14ac:dyDescent="0.35">
      <c r="A1528" s="29"/>
      <c r="K1528" s="7"/>
      <c r="L152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98EB-C497-4A68-BA29-DBF2A3BB342C}">
  <dimension ref="A1:AM602"/>
  <sheetViews>
    <sheetView workbookViewId="0">
      <selection activeCell="G33" sqref="G33"/>
    </sheetView>
  </sheetViews>
  <sheetFormatPr baseColWidth="10" defaultRowHeight="14.5" x14ac:dyDescent="0.35"/>
  <cols>
    <col min="1" max="1" width="24.26953125" customWidth="1"/>
    <col min="3" max="39" width="10.90625" style="34"/>
  </cols>
  <sheetData>
    <row r="1" spans="1:2" ht="21" x14ac:dyDescent="0.5">
      <c r="A1" s="54" t="s">
        <v>3761</v>
      </c>
      <c r="B1" s="34"/>
    </row>
    <row r="2" spans="1:2" x14ac:dyDescent="0.35">
      <c r="A2" s="52" t="s">
        <v>3758</v>
      </c>
      <c r="B2" s="4">
        <f>AVERAGE(Analysis!D3:D1198)</f>
        <v>9.5502834570383797E-4</v>
      </c>
    </row>
    <row r="3" spans="1:2" x14ac:dyDescent="0.35">
      <c r="A3" s="52" t="s">
        <v>3759</v>
      </c>
      <c r="B3" s="3">
        <f>STDEVA(Analysis!D3:D1198)</f>
        <v>1.2079428585024999E-2</v>
      </c>
    </row>
    <row r="4" spans="1:2" x14ac:dyDescent="0.35">
      <c r="A4" s="52" t="s">
        <v>3763</v>
      </c>
      <c r="B4" s="3">
        <f>STDEVA(Analysis!D3:D1198)*SQRT(252)</f>
        <v>0.19175498409444591</v>
      </c>
    </row>
    <row r="5" spans="1:2" x14ac:dyDescent="0.35">
      <c r="A5" s="52" t="s">
        <v>3769</v>
      </c>
      <c r="B5" s="4">
        <f>Analysis!F1198</f>
        <v>1.870427328054447</v>
      </c>
    </row>
    <row r="6" spans="1:2" x14ac:dyDescent="0.35">
      <c r="A6" s="52" t="s">
        <v>3760</v>
      </c>
      <c r="B6" s="4">
        <f>MIN(Analysis!J2:J1198)</f>
        <v>-0.21542476080023204</v>
      </c>
    </row>
    <row r="7" spans="1:2" s="34" customFormat="1" x14ac:dyDescent="0.35">
      <c r="A7" s="53"/>
    </row>
    <row r="8" spans="1:2" ht="21" x14ac:dyDescent="0.5">
      <c r="A8" s="54" t="s">
        <v>3762</v>
      </c>
      <c r="B8" s="34"/>
    </row>
    <row r="9" spans="1:2" x14ac:dyDescent="0.35">
      <c r="A9" s="52" t="s">
        <v>3758</v>
      </c>
      <c r="B9" s="1">
        <f>AVERAGE(Analysis!E:E)</f>
        <v>1.438186016043333E-3</v>
      </c>
    </row>
    <row r="10" spans="1:2" x14ac:dyDescent="0.35">
      <c r="A10" s="52" t="s">
        <v>3759</v>
      </c>
      <c r="B10" s="2">
        <f>STDEVA(Analysis!E:E)</f>
        <v>2.4293943740248996E-2</v>
      </c>
    </row>
    <row r="11" spans="1:2" x14ac:dyDescent="0.35">
      <c r="A11" s="52" t="s">
        <v>3763</v>
      </c>
      <c r="B11" s="2">
        <f>STDEVA(Analysis!E:E)*SQRT(252)</f>
        <v>0.38565440101015913</v>
      </c>
    </row>
    <row r="12" spans="1:2" x14ac:dyDescent="0.35">
      <c r="A12" s="52" t="s">
        <v>3769</v>
      </c>
      <c r="B12" s="1">
        <f>Analysis!G1198</f>
        <v>2.9123905574642577</v>
      </c>
    </row>
    <row r="13" spans="1:2" x14ac:dyDescent="0.35">
      <c r="A13" s="52" t="s">
        <v>3760</v>
      </c>
      <c r="B13" s="1">
        <f>MIN(Analysis!L:L)</f>
        <v>-0.40110729934445155</v>
      </c>
    </row>
    <row r="14" spans="1:2" s="34" customFormat="1" x14ac:dyDescent="0.35">
      <c r="A14" s="53"/>
    </row>
    <row r="15" spans="1:2" x14ac:dyDescent="0.35">
      <c r="A15" s="52" t="s">
        <v>3768</v>
      </c>
      <c r="B15" s="3">
        <f>CORREL(Analysis!F:F,Analysis!G:G)</f>
        <v>0.92336451402726072</v>
      </c>
    </row>
    <row r="16" spans="1:2" s="34" customFormat="1" x14ac:dyDescent="0.35"/>
    <row r="17" s="34" customFormat="1" x14ac:dyDescent="0.35"/>
    <row r="18" s="34" customFormat="1" x14ac:dyDescent="0.35"/>
    <row r="19" s="34" customFormat="1" x14ac:dyDescent="0.35"/>
    <row r="20" s="34" customFormat="1" x14ac:dyDescent="0.35"/>
    <row r="21" s="34" customFormat="1" x14ac:dyDescent="0.35"/>
    <row r="22" s="34" customFormat="1" x14ac:dyDescent="0.35"/>
    <row r="23" s="34" customFormat="1" x14ac:dyDescent="0.35"/>
    <row r="24" s="34" customFormat="1" x14ac:dyDescent="0.35"/>
    <row r="25" s="34" customFormat="1" x14ac:dyDescent="0.35"/>
    <row r="26" s="34" customFormat="1" x14ac:dyDescent="0.35"/>
    <row r="27" s="34" customFormat="1" x14ac:dyDescent="0.35"/>
    <row r="28" s="34" customFormat="1" x14ac:dyDescent="0.35"/>
    <row r="29" s="34" customFormat="1" x14ac:dyDescent="0.35"/>
    <row r="30" s="34" customFormat="1" x14ac:dyDescent="0.35"/>
    <row r="31" s="34" customFormat="1" x14ac:dyDescent="0.35"/>
    <row r="32" s="34" customFormat="1" x14ac:dyDescent="0.35"/>
    <row r="33" s="34" customFormat="1" x14ac:dyDescent="0.35"/>
    <row r="34" s="34" customFormat="1" x14ac:dyDescent="0.35"/>
    <row r="35" s="34" customFormat="1" x14ac:dyDescent="0.35"/>
    <row r="36" s="34" customFormat="1" x14ac:dyDescent="0.35"/>
    <row r="37" s="34" customFormat="1" x14ac:dyDescent="0.35"/>
    <row r="38" s="34" customFormat="1" x14ac:dyDescent="0.35"/>
    <row r="39" s="34" customFormat="1" x14ac:dyDescent="0.35"/>
    <row r="40" s="34" customFormat="1" x14ac:dyDescent="0.35"/>
    <row r="41" s="34" customFormat="1" x14ac:dyDescent="0.35"/>
    <row r="42" s="34" customFormat="1" x14ac:dyDescent="0.35"/>
    <row r="43" s="34" customFormat="1" x14ac:dyDescent="0.35"/>
    <row r="44" s="34" customFormat="1" x14ac:dyDescent="0.35"/>
    <row r="45" s="34" customFormat="1" x14ac:dyDescent="0.35"/>
    <row r="46" s="34" customFormat="1" x14ac:dyDescent="0.35"/>
    <row r="47" s="34" customFormat="1" x14ac:dyDescent="0.35"/>
    <row r="48" s="34" customFormat="1" x14ac:dyDescent="0.35"/>
    <row r="49" s="34" customFormat="1" x14ac:dyDescent="0.35"/>
    <row r="50" s="34" customFormat="1" x14ac:dyDescent="0.35"/>
    <row r="51" s="34" customFormat="1" x14ac:dyDescent="0.35"/>
    <row r="52" s="34" customFormat="1" x14ac:dyDescent="0.35"/>
    <row r="53" s="34" customFormat="1" x14ac:dyDescent="0.35"/>
    <row r="54" s="34" customFormat="1" x14ac:dyDescent="0.35"/>
    <row r="55" s="34" customFormat="1" x14ac:dyDescent="0.35"/>
    <row r="56" s="34" customFormat="1" x14ac:dyDescent="0.35"/>
    <row r="57" s="34" customFormat="1" x14ac:dyDescent="0.35"/>
    <row r="58" s="34" customFormat="1" x14ac:dyDescent="0.35"/>
    <row r="59" s="34" customFormat="1" x14ac:dyDescent="0.35"/>
    <row r="60" s="34" customFormat="1" x14ac:dyDescent="0.35"/>
    <row r="61" s="34" customFormat="1" x14ac:dyDescent="0.35"/>
    <row r="62" s="34" customFormat="1" x14ac:dyDescent="0.35"/>
    <row r="63" s="34" customFormat="1" x14ac:dyDescent="0.35"/>
    <row r="64" s="34" customFormat="1" x14ac:dyDescent="0.35"/>
    <row r="65" s="34" customFormat="1" x14ac:dyDescent="0.35"/>
    <row r="66" s="34" customFormat="1" x14ac:dyDescent="0.35"/>
    <row r="67" s="34" customFormat="1" x14ac:dyDescent="0.35"/>
    <row r="68" s="34" customFormat="1" x14ac:dyDescent="0.35"/>
    <row r="69" s="34" customFormat="1" x14ac:dyDescent="0.35"/>
    <row r="70" s="34" customFormat="1" x14ac:dyDescent="0.35"/>
    <row r="71" s="34" customFormat="1" x14ac:dyDescent="0.35"/>
    <row r="72" s="34" customFormat="1" x14ac:dyDescent="0.35"/>
    <row r="73" s="34" customFormat="1" x14ac:dyDescent="0.35"/>
    <row r="74" s="34" customFormat="1" x14ac:dyDescent="0.35"/>
    <row r="75" s="34" customFormat="1" x14ac:dyDescent="0.35"/>
    <row r="76" s="34" customFormat="1" x14ac:dyDescent="0.35"/>
    <row r="77" s="34" customFormat="1" x14ac:dyDescent="0.35"/>
    <row r="78" s="34" customFormat="1" x14ac:dyDescent="0.35"/>
    <row r="79" s="34" customFormat="1" x14ac:dyDescent="0.35"/>
    <row r="80" s="34" customFormat="1" x14ac:dyDescent="0.35"/>
    <row r="81" s="34" customFormat="1" x14ac:dyDescent="0.35"/>
    <row r="82" s="34" customFormat="1" x14ac:dyDescent="0.35"/>
    <row r="83" s="34" customFormat="1" x14ac:dyDescent="0.35"/>
    <row r="84" s="34" customFormat="1" x14ac:dyDescent="0.35"/>
    <row r="85" s="34" customFormat="1" x14ac:dyDescent="0.35"/>
    <row r="86" s="34" customFormat="1" x14ac:dyDescent="0.35"/>
    <row r="87" s="34" customFormat="1" x14ac:dyDescent="0.35"/>
    <row r="88" s="34" customFormat="1" x14ac:dyDescent="0.35"/>
    <row r="89" s="34" customFormat="1" x14ac:dyDescent="0.35"/>
    <row r="90" s="34" customFormat="1" x14ac:dyDescent="0.35"/>
    <row r="91" s="34" customFormat="1" x14ac:dyDescent="0.35"/>
    <row r="92" s="34" customFormat="1" x14ac:dyDescent="0.35"/>
    <row r="93" s="34" customFormat="1" x14ac:dyDescent="0.35"/>
    <row r="94" s="34" customFormat="1" x14ac:dyDescent="0.35"/>
    <row r="95" s="34" customFormat="1" x14ac:dyDescent="0.35"/>
    <row r="96" s="34" customFormat="1" x14ac:dyDescent="0.35"/>
    <row r="97" s="34" customFormat="1" x14ac:dyDescent="0.35"/>
    <row r="98" s="34" customFormat="1" x14ac:dyDescent="0.35"/>
    <row r="99" s="34" customFormat="1" x14ac:dyDescent="0.35"/>
    <row r="100" s="34" customFormat="1" x14ac:dyDescent="0.35"/>
    <row r="101" s="34" customFormat="1" x14ac:dyDescent="0.35"/>
    <row r="102" s="34" customFormat="1" x14ac:dyDescent="0.35"/>
    <row r="103" s="34" customFormat="1" x14ac:dyDescent="0.35"/>
    <row r="104" s="34" customFormat="1" x14ac:dyDescent="0.35"/>
    <row r="105" s="34" customFormat="1" x14ac:dyDescent="0.35"/>
    <row r="106" s="34" customFormat="1" x14ac:dyDescent="0.35"/>
    <row r="107" s="34" customFormat="1" x14ac:dyDescent="0.35"/>
    <row r="108" s="34" customFormat="1" x14ac:dyDescent="0.35"/>
    <row r="109" s="34" customFormat="1" x14ac:dyDescent="0.35"/>
    <row r="110" s="34" customFormat="1" x14ac:dyDescent="0.35"/>
    <row r="111" s="34" customFormat="1" x14ac:dyDescent="0.35"/>
    <row r="112" s="34" customFormat="1" x14ac:dyDescent="0.35"/>
    <row r="113" s="34" customFormat="1" x14ac:dyDescent="0.35"/>
    <row r="114" s="34" customFormat="1" x14ac:dyDescent="0.35"/>
    <row r="115" s="34" customFormat="1" x14ac:dyDescent="0.35"/>
    <row r="116" s="34" customFormat="1" x14ac:dyDescent="0.35"/>
    <row r="117" s="34" customFormat="1" x14ac:dyDescent="0.35"/>
    <row r="118" s="34" customFormat="1" x14ac:dyDescent="0.35"/>
    <row r="119" s="34" customFormat="1" x14ac:dyDescent="0.35"/>
    <row r="120" s="34" customFormat="1" x14ac:dyDescent="0.35"/>
    <row r="121" s="34" customFormat="1" x14ac:dyDescent="0.35"/>
    <row r="122" s="34" customFormat="1" x14ac:dyDescent="0.35"/>
    <row r="123" s="34" customFormat="1" x14ac:dyDescent="0.35"/>
    <row r="124" s="34" customFormat="1" x14ac:dyDescent="0.35"/>
    <row r="125" s="34" customFormat="1" x14ac:dyDescent="0.35"/>
    <row r="126" s="34" customFormat="1" x14ac:dyDescent="0.35"/>
    <row r="127" s="34" customFormat="1" x14ac:dyDescent="0.35"/>
    <row r="128" s="34" customFormat="1" x14ac:dyDescent="0.35"/>
    <row r="129" s="34" customFormat="1" x14ac:dyDescent="0.35"/>
    <row r="130" s="34" customFormat="1" x14ac:dyDescent="0.35"/>
    <row r="131" s="34" customFormat="1" x14ac:dyDescent="0.35"/>
    <row r="132" s="34" customFormat="1" x14ac:dyDescent="0.35"/>
    <row r="133" s="34" customFormat="1" x14ac:dyDescent="0.35"/>
    <row r="134" s="34" customFormat="1" x14ac:dyDescent="0.35"/>
    <row r="135" s="34" customFormat="1" x14ac:dyDescent="0.35"/>
    <row r="136" s="34" customFormat="1" x14ac:dyDescent="0.35"/>
    <row r="137" s="34" customFormat="1" x14ac:dyDescent="0.35"/>
    <row r="138" s="34" customFormat="1" x14ac:dyDescent="0.35"/>
    <row r="139" s="34" customFormat="1" x14ac:dyDescent="0.35"/>
    <row r="140" s="34" customFormat="1" x14ac:dyDescent="0.35"/>
    <row r="141" s="34" customFormat="1" x14ac:dyDescent="0.35"/>
    <row r="142" s="34" customFormat="1" x14ac:dyDescent="0.35"/>
    <row r="143" s="34" customFormat="1" x14ac:dyDescent="0.35"/>
    <row r="144" s="34" customFormat="1" x14ac:dyDescent="0.35"/>
    <row r="145" s="34" customFormat="1" x14ac:dyDescent="0.35"/>
    <row r="146" s="34" customFormat="1" x14ac:dyDescent="0.35"/>
    <row r="147" s="34" customFormat="1" x14ac:dyDescent="0.35"/>
    <row r="148" s="34" customFormat="1" x14ac:dyDescent="0.35"/>
    <row r="149" s="34" customFormat="1" x14ac:dyDescent="0.35"/>
    <row r="150" s="34" customFormat="1" x14ac:dyDescent="0.35"/>
    <row r="151" s="34" customFormat="1" x14ac:dyDescent="0.35"/>
    <row r="152" s="34" customFormat="1" x14ac:dyDescent="0.35"/>
    <row r="153" s="34" customFormat="1" x14ac:dyDescent="0.35"/>
    <row r="154" s="34" customFormat="1" x14ac:dyDescent="0.35"/>
    <row r="155" s="34" customFormat="1" x14ac:dyDescent="0.35"/>
    <row r="156" s="34" customFormat="1" x14ac:dyDescent="0.35"/>
    <row r="157" s="34" customFormat="1" x14ac:dyDescent="0.35"/>
    <row r="158" s="34" customFormat="1" x14ac:dyDescent="0.35"/>
    <row r="159" s="34" customFormat="1" x14ac:dyDescent="0.35"/>
    <row r="160" s="34" customFormat="1" x14ac:dyDescent="0.35"/>
    <row r="161" s="34" customFormat="1" x14ac:dyDescent="0.35"/>
    <row r="162" s="34" customFormat="1" x14ac:dyDescent="0.35"/>
    <row r="163" s="34" customFormat="1" x14ac:dyDescent="0.35"/>
    <row r="164" s="34" customFormat="1" x14ac:dyDescent="0.35"/>
    <row r="165" s="34" customFormat="1" x14ac:dyDescent="0.35"/>
    <row r="166" s="34" customFormat="1" x14ac:dyDescent="0.35"/>
    <row r="167" s="34" customFormat="1" x14ac:dyDescent="0.35"/>
    <row r="168" s="34" customFormat="1" x14ac:dyDescent="0.35"/>
    <row r="169" s="34" customFormat="1" x14ac:dyDescent="0.35"/>
    <row r="170" s="34" customFormat="1" x14ac:dyDescent="0.35"/>
    <row r="171" s="34" customFormat="1" x14ac:dyDescent="0.35"/>
    <row r="172" s="34" customFormat="1" x14ac:dyDescent="0.35"/>
    <row r="173" s="34" customFormat="1" x14ac:dyDescent="0.35"/>
    <row r="174" s="34" customFormat="1" x14ac:dyDescent="0.35"/>
    <row r="175" s="34" customFormat="1" x14ac:dyDescent="0.35"/>
    <row r="176" s="34" customFormat="1" x14ac:dyDescent="0.35"/>
    <row r="177" s="34" customFormat="1" x14ac:dyDescent="0.35"/>
    <row r="178" s="34" customFormat="1" x14ac:dyDescent="0.35"/>
    <row r="179" s="34" customFormat="1" x14ac:dyDescent="0.35"/>
    <row r="180" s="34" customFormat="1" x14ac:dyDescent="0.35"/>
    <row r="181" s="34" customFormat="1" x14ac:dyDescent="0.35"/>
    <row r="182" s="34" customFormat="1" x14ac:dyDescent="0.35"/>
    <row r="183" s="34" customFormat="1" x14ac:dyDescent="0.35"/>
    <row r="184" s="34" customFormat="1" x14ac:dyDescent="0.35"/>
    <row r="185" s="34" customFormat="1" x14ac:dyDescent="0.35"/>
    <row r="186" s="34" customFormat="1" x14ac:dyDescent="0.35"/>
    <row r="187" s="34" customFormat="1" x14ac:dyDescent="0.35"/>
    <row r="188" s="34" customFormat="1" x14ac:dyDescent="0.35"/>
    <row r="189" s="34" customFormat="1" x14ac:dyDescent="0.35"/>
    <row r="190" s="34" customFormat="1" x14ac:dyDescent="0.35"/>
    <row r="191" s="34" customFormat="1" x14ac:dyDescent="0.35"/>
    <row r="192" s="34" customFormat="1" x14ac:dyDescent="0.35"/>
    <row r="193" s="34" customFormat="1" x14ac:dyDescent="0.35"/>
    <row r="194" s="34" customFormat="1" x14ac:dyDescent="0.35"/>
    <row r="195" s="34" customFormat="1" x14ac:dyDescent="0.35"/>
    <row r="196" s="34" customFormat="1" x14ac:dyDescent="0.35"/>
    <row r="197" s="34" customFormat="1" x14ac:dyDescent="0.35"/>
    <row r="198" s="34" customFormat="1" x14ac:dyDescent="0.35"/>
    <row r="199" s="34" customFormat="1" x14ac:dyDescent="0.35"/>
    <row r="200" s="34" customFormat="1" x14ac:dyDescent="0.35"/>
    <row r="201" s="34" customFormat="1" x14ac:dyDescent="0.35"/>
    <row r="202" s="34" customFormat="1" x14ac:dyDescent="0.35"/>
    <row r="203" s="34" customFormat="1" x14ac:dyDescent="0.35"/>
    <row r="204" s="34" customFormat="1" x14ac:dyDescent="0.35"/>
    <row r="205" s="34" customFormat="1" x14ac:dyDescent="0.35"/>
    <row r="206" s="34" customFormat="1" x14ac:dyDescent="0.35"/>
    <row r="207" s="34" customFormat="1" x14ac:dyDescent="0.35"/>
    <row r="208" s="34" customFormat="1" x14ac:dyDescent="0.35"/>
    <row r="209" s="34" customFormat="1" x14ac:dyDescent="0.35"/>
    <row r="210" s="34" customFormat="1" x14ac:dyDescent="0.35"/>
    <row r="211" s="34" customFormat="1" x14ac:dyDescent="0.35"/>
    <row r="212" s="34" customFormat="1" x14ac:dyDescent="0.35"/>
    <row r="213" s="34" customFormat="1" x14ac:dyDescent="0.35"/>
    <row r="214" s="34" customFormat="1" x14ac:dyDescent="0.35"/>
    <row r="215" s="34" customFormat="1" x14ac:dyDescent="0.35"/>
    <row r="216" s="34" customFormat="1" x14ac:dyDescent="0.35"/>
    <row r="217" s="34" customFormat="1" x14ac:dyDescent="0.35"/>
    <row r="218" s="34" customFormat="1" x14ac:dyDescent="0.35"/>
    <row r="219" s="34" customFormat="1" x14ac:dyDescent="0.35"/>
    <row r="220" s="34" customFormat="1" x14ac:dyDescent="0.35"/>
    <row r="221" s="34" customFormat="1" x14ac:dyDescent="0.35"/>
    <row r="222" s="34" customFormat="1" x14ac:dyDescent="0.35"/>
    <row r="223" s="34" customFormat="1" x14ac:dyDescent="0.35"/>
    <row r="224" s="34" customFormat="1" x14ac:dyDescent="0.35"/>
    <row r="225" s="34" customFormat="1" x14ac:dyDescent="0.35"/>
    <row r="226" s="34" customFormat="1" x14ac:dyDescent="0.35"/>
    <row r="227" s="34" customFormat="1" x14ac:dyDescent="0.35"/>
    <row r="228" s="34" customFormat="1" x14ac:dyDescent="0.35"/>
    <row r="229" s="34" customFormat="1" x14ac:dyDescent="0.35"/>
    <row r="230" s="34" customFormat="1" x14ac:dyDescent="0.35"/>
    <row r="231" s="34" customFormat="1" x14ac:dyDescent="0.35"/>
    <row r="232" s="34" customFormat="1" x14ac:dyDescent="0.35"/>
    <row r="233" s="34" customFormat="1" x14ac:dyDescent="0.35"/>
    <row r="234" s="34" customFormat="1" x14ac:dyDescent="0.35"/>
    <row r="235" s="34" customFormat="1" x14ac:dyDescent="0.35"/>
    <row r="236" s="34" customFormat="1" x14ac:dyDescent="0.35"/>
    <row r="237" s="34" customFormat="1" x14ac:dyDescent="0.35"/>
    <row r="238" s="34" customFormat="1" x14ac:dyDescent="0.35"/>
    <row r="239" s="34" customFormat="1" x14ac:dyDescent="0.35"/>
    <row r="240" s="34" customFormat="1" x14ac:dyDescent="0.35"/>
    <row r="241" s="34" customFormat="1" x14ac:dyDescent="0.35"/>
    <row r="242" s="34" customFormat="1" x14ac:dyDescent="0.35"/>
    <row r="243" s="34" customFormat="1" x14ac:dyDescent="0.35"/>
    <row r="244" s="34" customFormat="1" x14ac:dyDescent="0.35"/>
    <row r="245" s="34" customFormat="1" x14ac:dyDescent="0.35"/>
    <row r="246" s="34" customFormat="1" x14ac:dyDescent="0.35"/>
    <row r="247" s="34" customFormat="1" x14ac:dyDescent="0.35"/>
    <row r="248" s="34" customFormat="1" x14ac:dyDescent="0.35"/>
    <row r="249" s="34" customFormat="1" x14ac:dyDescent="0.35"/>
    <row r="250" s="34" customFormat="1" x14ac:dyDescent="0.35"/>
    <row r="251" s="34" customFormat="1" x14ac:dyDescent="0.35"/>
    <row r="252" s="34" customFormat="1" x14ac:dyDescent="0.35"/>
    <row r="253" s="34" customFormat="1" x14ac:dyDescent="0.35"/>
    <row r="254" s="34" customFormat="1" x14ac:dyDescent="0.35"/>
    <row r="255" s="34" customFormat="1" x14ac:dyDescent="0.35"/>
    <row r="256" s="34" customFormat="1" x14ac:dyDescent="0.35"/>
    <row r="257" s="34" customFormat="1" x14ac:dyDescent="0.35"/>
    <row r="258" s="34" customFormat="1" x14ac:dyDescent="0.35"/>
    <row r="259" s="34" customFormat="1" x14ac:dyDescent="0.35"/>
    <row r="260" s="34" customFormat="1" x14ac:dyDescent="0.35"/>
    <row r="261" s="34" customFormat="1" x14ac:dyDescent="0.35"/>
    <row r="262" s="34" customFormat="1" x14ac:dyDescent="0.35"/>
    <row r="263" s="34" customFormat="1" x14ac:dyDescent="0.35"/>
    <row r="264" s="34" customFormat="1" x14ac:dyDescent="0.35"/>
    <row r="265" s="34" customFormat="1" x14ac:dyDescent="0.35"/>
    <row r="266" s="34" customFormat="1" x14ac:dyDescent="0.35"/>
    <row r="267" s="34" customFormat="1" x14ac:dyDescent="0.35"/>
    <row r="268" s="34" customFormat="1" x14ac:dyDescent="0.35"/>
    <row r="269" s="34" customFormat="1" x14ac:dyDescent="0.35"/>
    <row r="270" s="34" customFormat="1" x14ac:dyDescent="0.35"/>
    <row r="271" s="34" customFormat="1" x14ac:dyDescent="0.35"/>
    <row r="272" s="34" customFormat="1" x14ac:dyDescent="0.35"/>
    <row r="273" s="34" customFormat="1" x14ac:dyDescent="0.35"/>
    <row r="274" s="34" customFormat="1" x14ac:dyDescent="0.35"/>
    <row r="275" s="34" customFormat="1" x14ac:dyDescent="0.35"/>
    <row r="276" s="34" customFormat="1" x14ac:dyDescent="0.35"/>
    <row r="277" s="34" customFormat="1" x14ac:dyDescent="0.35"/>
    <row r="278" s="34" customFormat="1" x14ac:dyDescent="0.35"/>
    <row r="279" s="34" customFormat="1" x14ac:dyDescent="0.35"/>
    <row r="280" s="34" customFormat="1" x14ac:dyDescent="0.35"/>
    <row r="281" s="34" customFormat="1" x14ac:dyDescent="0.35"/>
    <row r="282" s="34" customFormat="1" x14ac:dyDescent="0.35"/>
    <row r="283" s="34" customFormat="1" x14ac:dyDescent="0.35"/>
    <row r="284" s="34" customFormat="1" x14ac:dyDescent="0.35"/>
    <row r="285" s="34" customFormat="1" x14ac:dyDescent="0.35"/>
    <row r="286" s="34" customFormat="1" x14ac:dyDescent="0.35"/>
    <row r="287" s="34" customFormat="1" x14ac:dyDescent="0.35"/>
    <row r="288" s="34" customFormat="1" x14ac:dyDescent="0.35"/>
    <row r="289" s="34" customFormat="1" x14ac:dyDescent="0.35"/>
    <row r="290" s="34" customFormat="1" x14ac:dyDescent="0.35"/>
    <row r="291" s="34" customFormat="1" x14ac:dyDescent="0.35"/>
    <row r="292" s="34" customFormat="1" x14ac:dyDescent="0.35"/>
    <row r="293" s="34" customFormat="1" x14ac:dyDescent="0.35"/>
    <row r="294" s="34" customFormat="1" x14ac:dyDescent="0.35"/>
    <row r="295" s="34" customFormat="1" x14ac:dyDescent="0.35"/>
    <row r="296" s="34" customFormat="1" x14ac:dyDescent="0.35"/>
    <row r="297" s="34" customFormat="1" x14ac:dyDescent="0.35"/>
    <row r="298" s="34" customFormat="1" x14ac:dyDescent="0.35"/>
    <row r="299" s="34" customFormat="1" x14ac:dyDescent="0.35"/>
    <row r="300" s="34" customFormat="1" x14ac:dyDescent="0.35"/>
    <row r="301" s="34" customFormat="1" x14ac:dyDescent="0.35"/>
    <row r="302" s="34" customFormat="1" x14ac:dyDescent="0.35"/>
    <row r="303" s="34" customFormat="1" x14ac:dyDescent="0.35"/>
    <row r="304" s="34" customFormat="1" x14ac:dyDescent="0.35"/>
    <row r="305" s="34" customFormat="1" x14ac:dyDescent="0.35"/>
    <row r="306" s="34" customFormat="1" x14ac:dyDescent="0.35"/>
    <row r="307" s="34" customFormat="1" x14ac:dyDescent="0.35"/>
    <row r="308" s="34" customFormat="1" x14ac:dyDescent="0.35"/>
    <row r="309" s="34" customFormat="1" x14ac:dyDescent="0.35"/>
    <row r="310" s="34" customFormat="1" x14ac:dyDescent="0.35"/>
    <row r="311" s="34" customFormat="1" x14ac:dyDescent="0.35"/>
    <row r="312" s="34" customFormat="1" x14ac:dyDescent="0.35"/>
    <row r="313" s="34" customFormat="1" x14ac:dyDescent="0.35"/>
    <row r="314" s="34" customFormat="1" x14ac:dyDescent="0.35"/>
    <row r="315" s="34" customFormat="1" x14ac:dyDescent="0.35"/>
    <row r="316" s="34" customFormat="1" x14ac:dyDescent="0.35"/>
    <row r="317" s="34" customFormat="1" x14ac:dyDescent="0.35"/>
    <row r="318" s="34" customFormat="1" x14ac:dyDescent="0.35"/>
    <row r="319" s="34" customFormat="1" x14ac:dyDescent="0.35"/>
    <row r="320" s="34" customFormat="1" x14ac:dyDescent="0.35"/>
    <row r="321" s="34" customFormat="1" x14ac:dyDescent="0.35"/>
    <row r="322" s="34" customFormat="1" x14ac:dyDescent="0.35"/>
    <row r="323" s="34" customFormat="1" x14ac:dyDescent="0.35"/>
    <row r="324" s="34" customFormat="1" x14ac:dyDescent="0.35"/>
    <row r="325" s="34" customFormat="1" x14ac:dyDescent="0.35"/>
    <row r="326" s="34" customFormat="1" x14ac:dyDescent="0.35"/>
    <row r="327" s="34" customFormat="1" x14ac:dyDescent="0.35"/>
    <row r="328" s="34" customFormat="1" x14ac:dyDescent="0.35"/>
    <row r="329" s="34" customFormat="1" x14ac:dyDescent="0.35"/>
    <row r="330" s="34" customFormat="1" x14ac:dyDescent="0.35"/>
    <row r="331" s="34" customFormat="1" x14ac:dyDescent="0.35"/>
    <row r="332" s="34" customFormat="1" x14ac:dyDescent="0.35"/>
    <row r="333" s="34" customFormat="1" x14ac:dyDescent="0.35"/>
    <row r="334" s="34" customFormat="1" x14ac:dyDescent="0.35"/>
    <row r="335" s="34" customFormat="1" x14ac:dyDescent="0.35"/>
    <row r="336" s="34" customFormat="1" x14ac:dyDescent="0.35"/>
    <row r="337" s="34" customFormat="1" x14ac:dyDescent="0.35"/>
    <row r="338" s="34" customFormat="1" x14ac:dyDescent="0.35"/>
    <row r="339" s="34" customFormat="1" x14ac:dyDescent="0.35"/>
    <row r="340" s="34" customFormat="1" x14ac:dyDescent="0.35"/>
    <row r="341" s="34" customFormat="1" x14ac:dyDescent="0.35"/>
    <row r="342" s="34" customFormat="1" x14ac:dyDescent="0.35"/>
    <row r="343" s="34" customFormat="1" x14ac:dyDescent="0.35"/>
    <row r="344" s="34" customFormat="1" x14ac:dyDescent="0.35"/>
    <row r="345" s="34" customFormat="1" x14ac:dyDescent="0.35"/>
    <row r="346" s="34" customFormat="1" x14ac:dyDescent="0.35"/>
    <row r="347" s="34" customFormat="1" x14ac:dyDescent="0.35"/>
    <row r="348" s="34" customFormat="1" x14ac:dyDescent="0.35"/>
    <row r="349" s="34" customFormat="1" x14ac:dyDescent="0.35"/>
    <row r="350" s="34" customFormat="1" x14ac:dyDescent="0.35"/>
    <row r="351" s="34" customFormat="1" x14ac:dyDescent="0.35"/>
    <row r="352" s="34" customFormat="1" x14ac:dyDescent="0.35"/>
    <row r="353" s="34" customFormat="1" x14ac:dyDescent="0.35"/>
    <row r="354" s="34" customFormat="1" x14ac:dyDescent="0.35"/>
    <row r="355" s="34" customFormat="1" x14ac:dyDescent="0.35"/>
    <row r="356" s="34" customFormat="1" x14ac:dyDescent="0.35"/>
    <row r="357" s="34" customFormat="1" x14ac:dyDescent="0.35"/>
    <row r="358" s="34" customFormat="1" x14ac:dyDescent="0.35"/>
    <row r="359" s="34" customFormat="1" x14ac:dyDescent="0.35"/>
    <row r="360" s="34" customFormat="1" x14ac:dyDescent="0.35"/>
    <row r="361" s="34" customFormat="1" x14ac:dyDescent="0.35"/>
    <row r="362" s="34" customFormat="1" x14ac:dyDescent="0.35"/>
    <row r="363" s="34" customFormat="1" x14ac:dyDescent="0.35"/>
    <row r="364" s="34" customFormat="1" x14ac:dyDescent="0.35"/>
    <row r="365" s="34" customFormat="1" x14ac:dyDescent="0.35"/>
    <row r="366" s="34" customFormat="1" x14ac:dyDescent="0.35"/>
    <row r="367" s="34" customFormat="1" x14ac:dyDescent="0.35"/>
    <row r="368" s="34" customFormat="1" x14ac:dyDescent="0.35"/>
    <row r="369" s="34" customFormat="1" x14ac:dyDescent="0.35"/>
    <row r="370" s="34" customFormat="1" x14ac:dyDescent="0.35"/>
    <row r="371" s="34" customFormat="1" x14ac:dyDescent="0.35"/>
    <row r="372" s="34" customFormat="1" x14ac:dyDescent="0.35"/>
    <row r="373" s="34" customFormat="1" x14ac:dyDescent="0.35"/>
    <row r="374" s="34" customFormat="1" x14ac:dyDescent="0.35"/>
    <row r="375" s="34" customFormat="1" x14ac:dyDescent="0.35"/>
    <row r="376" s="34" customFormat="1" x14ac:dyDescent="0.35"/>
    <row r="377" s="34" customFormat="1" x14ac:dyDescent="0.35"/>
    <row r="378" s="34" customFormat="1" x14ac:dyDescent="0.35"/>
    <row r="379" s="34" customFormat="1" x14ac:dyDescent="0.35"/>
    <row r="380" s="34" customFormat="1" x14ac:dyDescent="0.35"/>
    <row r="381" s="34" customFormat="1" x14ac:dyDescent="0.35"/>
    <row r="382" s="34" customFormat="1" x14ac:dyDescent="0.35"/>
    <row r="383" s="34" customFormat="1" x14ac:dyDescent="0.35"/>
    <row r="384" s="34" customFormat="1" x14ac:dyDescent="0.35"/>
    <row r="385" s="34" customFormat="1" x14ac:dyDescent="0.35"/>
    <row r="386" s="34" customFormat="1" x14ac:dyDescent="0.35"/>
    <row r="387" s="34" customFormat="1" x14ac:dyDescent="0.35"/>
    <row r="388" s="34" customFormat="1" x14ac:dyDescent="0.35"/>
    <row r="389" s="34" customFormat="1" x14ac:dyDescent="0.35"/>
    <row r="390" s="34" customFormat="1" x14ac:dyDescent="0.35"/>
    <row r="391" s="34" customFormat="1" x14ac:dyDescent="0.35"/>
    <row r="392" s="34" customFormat="1" x14ac:dyDescent="0.35"/>
    <row r="393" s="34" customFormat="1" x14ac:dyDescent="0.35"/>
    <row r="394" s="34" customFormat="1" x14ac:dyDescent="0.35"/>
    <row r="395" s="34" customFormat="1" x14ac:dyDescent="0.35"/>
    <row r="396" s="34" customFormat="1" x14ac:dyDescent="0.35"/>
    <row r="397" s="34" customFormat="1" x14ac:dyDescent="0.35"/>
    <row r="398" s="34" customFormat="1" x14ac:dyDescent="0.35"/>
    <row r="399" s="34" customFormat="1" x14ac:dyDescent="0.35"/>
    <row r="400" s="34" customFormat="1" x14ac:dyDescent="0.35"/>
    <row r="401" s="34" customFormat="1" x14ac:dyDescent="0.35"/>
    <row r="402" s="34" customFormat="1" x14ac:dyDescent="0.35"/>
    <row r="403" s="34" customFormat="1" x14ac:dyDescent="0.35"/>
    <row r="404" s="34" customFormat="1" x14ac:dyDescent="0.35"/>
    <row r="405" s="34" customFormat="1" x14ac:dyDescent="0.35"/>
    <row r="406" s="34" customFormat="1" x14ac:dyDescent="0.35"/>
    <row r="407" s="34" customFormat="1" x14ac:dyDescent="0.35"/>
    <row r="408" s="34" customFormat="1" x14ac:dyDescent="0.35"/>
    <row r="409" s="34" customFormat="1" x14ac:dyDescent="0.35"/>
    <row r="410" s="34" customFormat="1" x14ac:dyDescent="0.35"/>
    <row r="411" s="34" customFormat="1" x14ac:dyDescent="0.35"/>
    <row r="412" s="34" customFormat="1" x14ac:dyDescent="0.35"/>
    <row r="413" s="34" customFormat="1" x14ac:dyDescent="0.35"/>
    <row r="414" s="34" customFormat="1" x14ac:dyDescent="0.35"/>
    <row r="415" s="34" customFormat="1" x14ac:dyDescent="0.35"/>
    <row r="416" s="34" customFormat="1" x14ac:dyDescent="0.35"/>
    <row r="417" s="34" customFormat="1" x14ac:dyDescent="0.35"/>
    <row r="418" s="34" customFormat="1" x14ac:dyDescent="0.35"/>
    <row r="419" s="34" customFormat="1" x14ac:dyDescent="0.35"/>
    <row r="420" s="34" customFormat="1" x14ac:dyDescent="0.35"/>
    <row r="421" s="34" customFormat="1" x14ac:dyDescent="0.35"/>
    <row r="422" s="34" customFormat="1" x14ac:dyDescent="0.35"/>
    <row r="423" s="34" customFormat="1" x14ac:dyDescent="0.35"/>
    <row r="424" s="34" customFormat="1" x14ac:dyDescent="0.35"/>
    <row r="425" s="34" customFormat="1" x14ac:dyDescent="0.35"/>
    <row r="426" s="34" customFormat="1" x14ac:dyDescent="0.35"/>
    <row r="427" s="34" customFormat="1" x14ac:dyDescent="0.35"/>
    <row r="428" s="34" customFormat="1" x14ac:dyDescent="0.35"/>
    <row r="429" s="34" customFormat="1" x14ac:dyDescent="0.35"/>
    <row r="430" s="34" customFormat="1" x14ac:dyDescent="0.35"/>
    <row r="431" s="34" customFormat="1" x14ac:dyDescent="0.35"/>
    <row r="432" s="34" customFormat="1" x14ac:dyDescent="0.35"/>
    <row r="433" s="34" customFormat="1" x14ac:dyDescent="0.35"/>
    <row r="434" s="34" customFormat="1" x14ac:dyDescent="0.35"/>
    <row r="435" s="34" customFormat="1" x14ac:dyDescent="0.35"/>
    <row r="436" s="34" customFormat="1" x14ac:dyDescent="0.35"/>
    <row r="437" s="34" customFormat="1" x14ac:dyDescent="0.35"/>
    <row r="438" s="34" customFormat="1" x14ac:dyDescent="0.35"/>
    <row r="439" s="34" customFormat="1" x14ac:dyDescent="0.35"/>
    <row r="440" s="34" customFormat="1" x14ac:dyDescent="0.35"/>
    <row r="441" s="34" customFormat="1" x14ac:dyDescent="0.35"/>
    <row r="442" s="34" customFormat="1" x14ac:dyDescent="0.35"/>
    <row r="443" s="34" customFormat="1" x14ac:dyDescent="0.35"/>
    <row r="444" s="34" customFormat="1" x14ac:dyDescent="0.35"/>
    <row r="445" s="34" customFormat="1" x14ac:dyDescent="0.35"/>
    <row r="446" s="34" customFormat="1" x14ac:dyDescent="0.35"/>
    <row r="447" s="34" customFormat="1" x14ac:dyDescent="0.35"/>
    <row r="448" s="34" customFormat="1" x14ac:dyDescent="0.35"/>
    <row r="449" s="34" customFormat="1" x14ac:dyDescent="0.35"/>
    <row r="450" s="34" customFormat="1" x14ac:dyDescent="0.35"/>
    <row r="451" s="34" customFormat="1" x14ac:dyDescent="0.35"/>
    <row r="452" s="34" customFormat="1" x14ac:dyDescent="0.35"/>
    <row r="453" s="34" customFormat="1" x14ac:dyDescent="0.35"/>
    <row r="454" s="34" customFormat="1" x14ac:dyDescent="0.35"/>
    <row r="455" s="34" customFormat="1" x14ac:dyDescent="0.35"/>
    <row r="456" s="34" customFormat="1" x14ac:dyDescent="0.35"/>
    <row r="457" s="34" customFormat="1" x14ac:dyDescent="0.35"/>
    <row r="458" s="34" customFormat="1" x14ac:dyDescent="0.35"/>
    <row r="459" s="34" customFormat="1" x14ac:dyDescent="0.35"/>
    <row r="460" s="34" customFormat="1" x14ac:dyDescent="0.35"/>
    <row r="461" s="34" customFormat="1" x14ac:dyDescent="0.35"/>
    <row r="462" s="34" customFormat="1" x14ac:dyDescent="0.35"/>
    <row r="463" s="34" customFormat="1" x14ac:dyDescent="0.35"/>
    <row r="464" s="34" customFormat="1" x14ac:dyDescent="0.35"/>
    <row r="465" s="34" customFormat="1" x14ac:dyDescent="0.35"/>
    <row r="466" s="34" customFormat="1" x14ac:dyDescent="0.35"/>
    <row r="467" s="34" customFormat="1" x14ac:dyDescent="0.35"/>
    <row r="468" s="34" customFormat="1" x14ac:dyDescent="0.35"/>
    <row r="469" s="34" customFormat="1" x14ac:dyDescent="0.35"/>
    <row r="470" s="34" customFormat="1" x14ac:dyDescent="0.35"/>
    <row r="471" s="34" customFormat="1" x14ac:dyDescent="0.35"/>
    <row r="472" s="34" customFormat="1" x14ac:dyDescent="0.35"/>
    <row r="473" s="34" customFormat="1" x14ac:dyDescent="0.35"/>
    <row r="474" s="34" customFormat="1" x14ac:dyDescent="0.35"/>
    <row r="475" s="34" customFormat="1" x14ac:dyDescent="0.35"/>
    <row r="476" s="34" customFormat="1" x14ac:dyDescent="0.35"/>
    <row r="477" s="34" customFormat="1" x14ac:dyDescent="0.35"/>
    <row r="478" s="34" customFormat="1" x14ac:dyDescent="0.35"/>
    <row r="479" s="34" customFormat="1" x14ac:dyDescent="0.35"/>
    <row r="480" s="34" customFormat="1" x14ac:dyDescent="0.35"/>
    <row r="481" s="34" customFormat="1" x14ac:dyDescent="0.35"/>
    <row r="482" s="34" customFormat="1" x14ac:dyDescent="0.35"/>
    <row r="483" s="34" customFormat="1" x14ac:dyDescent="0.35"/>
    <row r="484" s="34" customFormat="1" x14ac:dyDescent="0.35"/>
    <row r="485" s="34" customFormat="1" x14ac:dyDescent="0.35"/>
    <row r="486" s="34" customFormat="1" x14ac:dyDescent="0.35"/>
    <row r="487" s="34" customFormat="1" x14ac:dyDescent="0.35"/>
    <row r="488" s="34" customFormat="1" x14ac:dyDescent="0.35"/>
    <row r="489" s="34" customFormat="1" x14ac:dyDescent="0.35"/>
    <row r="490" s="34" customFormat="1" x14ac:dyDescent="0.35"/>
    <row r="491" s="34" customFormat="1" x14ac:dyDescent="0.35"/>
    <row r="492" s="34" customFormat="1" x14ac:dyDescent="0.35"/>
    <row r="493" s="34" customFormat="1" x14ac:dyDescent="0.35"/>
    <row r="494" s="34" customFormat="1" x14ac:dyDescent="0.35"/>
    <row r="495" s="34" customFormat="1" x14ac:dyDescent="0.35"/>
    <row r="496" s="34" customFormat="1" x14ac:dyDescent="0.35"/>
    <row r="497" s="34" customFormat="1" x14ac:dyDescent="0.35"/>
    <row r="498" s="34" customFormat="1" x14ac:dyDescent="0.35"/>
    <row r="499" s="34" customFormat="1" x14ac:dyDescent="0.35"/>
    <row r="500" s="34" customFormat="1" x14ac:dyDescent="0.35"/>
    <row r="501" s="34" customFormat="1" x14ac:dyDescent="0.35"/>
    <row r="502" s="34" customFormat="1" x14ac:dyDescent="0.35"/>
    <row r="503" s="34" customFormat="1" x14ac:dyDescent="0.35"/>
    <row r="504" s="34" customFormat="1" x14ac:dyDescent="0.35"/>
    <row r="505" s="34" customFormat="1" x14ac:dyDescent="0.35"/>
    <row r="506" s="34" customFormat="1" x14ac:dyDescent="0.35"/>
    <row r="507" s="34" customFormat="1" x14ac:dyDescent="0.35"/>
    <row r="508" s="34" customFormat="1" x14ac:dyDescent="0.35"/>
    <row r="509" s="34" customFormat="1" x14ac:dyDescent="0.35"/>
    <row r="510" s="34" customFormat="1" x14ac:dyDescent="0.35"/>
    <row r="511" s="34" customFormat="1" x14ac:dyDescent="0.35"/>
    <row r="512" s="34" customFormat="1" x14ac:dyDescent="0.35"/>
    <row r="513" s="34" customFormat="1" x14ac:dyDescent="0.35"/>
    <row r="514" s="34" customFormat="1" x14ac:dyDescent="0.35"/>
    <row r="515" s="34" customFormat="1" x14ac:dyDescent="0.35"/>
    <row r="516" s="34" customFormat="1" x14ac:dyDescent="0.35"/>
    <row r="517" s="34" customFormat="1" x14ac:dyDescent="0.35"/>
    <row r="518" s="34" customFormat="1" x14ac:dyDescent="0.35"/>
    <row r="519" s="34" customFormat="1" x14ac:dyDescent="0.35"/>
    <row r="520" s="34" customFormat="1" x14ac:dyDescent="0.35"/>
    <row r="521" s="34" customFormat="1" x14ac:dyDescent="0.35"/>
    <row r="522" s="34" customFormat="1" x14ac:dyDescent="0.35"/>
    <row r="523" s="34" customFormat="1" x14ac:dyDescent="0.35"/>
    <row r="524" s="34" customFormat="1" x14ac:dyDescent="0.35"/>
    <row r="525" s="34" customFormat="1" x14ac:dyDescent="0.35"/>
    <row r="526" s="34" customFormat="1" x14ac:dyDescent="0.35"/>
    <row r="527" s="34" customFormat="1" x14ac:dyDescent="0.35"/>
    <row r="528" s="34" customFormat="1" x14ac:dyDescent="0.35"/>
    <row r="529" s="34" customFormat="1" x14ac:dyDescent="0.35"/>
    <row r="530" s="34" customFormat="1" x14ac:dyDescent="0.35"/>
    <row r="531" s="34" customFormat="1" x14ac:dyDescent="0.35"/>
    <row r="532" s="34" customFormat="1" x14ac:dyDescent="0.35"/>
    <row r="533" s="34" customFormat="1" x14ac:dyDescent="0.35"/>
    <row r="534" s="34" customFormat="1" x14ac:dyDescent="0.35"/>
    <row r="535" s="34" customFormat="1" x14ac:dyDescent="0.35"/>
    <row r="536" s="34" customFormat="1" x14ac:dyDescent="0.35"/>
    <row r="537" s="34" customFormat="1" x14ac:dyDescent="0.35"/>
    <row r="538" s="34" customFormat="1" x14ac:dyDescent="0.35"/>
    <row r="539" s="34" customFormat="1" x14ac:dyDescent="0.35"/>
    <row r="540" s="34" customFormat="1" x14ac:dyDescent="0.35"/>
    <row r="541" s="34" customFormat="1" x14ac:dyDescent="0.35"/>
    <row r="542" s="34" customFormat="1" x14ac:dyDescent="0.35"/>
    <row r="543" s="34" customFormat="1" x14ac:dyDescent="0.35"/>
    <row r="544" s="34" customFormat="1" x14ac:dyDescent="0.35"/>
    <row r="545" s="34" customFormat="1" x14ac:dyDescent="0.35"/>
    <row r="546" s="34" customFormat="1" x14ac:dyDescent="0.35"/>
    <row r="547" s="34" customFormat="1" x14ac:dyDescent="0.35"/>
    <row r="548" s="34" customFormat="1" x14ac:dyDescent="0.35"/>
    <row r="549" s="34" customFormat="1" x14ac:dyDescent="0.35"/>
    <row r="550" s="34" customFormat="1" x14ac:dyDescent="0.35"/>
    <row r="551" s="34" customFormat="1" x14ac:dyDescent="0.35"/>
    <row r="552" s="34" customFormat="1" x14ac:dyDescent="0.35"/>
    <row r="553" s="34" customFormat="1" x14ac:dyDescent="0.35"/>
    <row r="554" s="34" customFormat="1" x14ac:dyDescent="0.35"/>
    <row r="555" s="34" customFormat="1" x14ac:dyDescent="0.35"/>
    <row r="556" s="34" customFormat="1" x14ac:dyDescent="0.35"/>
    <row r="557" s="34" customFormat="1" x14ac:dyDescent="0.35"/>
    <row r="558" s="34" customFormat="1" x14ac:dyDescent="0.35"/>
    <row r="559" s="34" customFormat="1" x14ac:dyDescent="0.35"/>
    <row r="560" s="34" customFormat="1" x14ac:dyDescent="0.35"/>
    <row r="561" s="34" customFormat="1" x14ac:dyDescent="0.35"/>
    <row r="562" s="34" customFormat="1" x14ac:dyDescent="0.35"/>
    <row r="563" s="34" customFormat="1" x14ac:dyDescent="0.35"/>
    <row r="564" s="34" customFormat="1" x14ac:dyDescent="0.35"/>
    <row r="565" s="34" customFormat="1" x14ac:dyDescent="0.35"/>
    <row r="566" s="34" customFormat="1" x14ac:dyDescent="0.35"/>
    <row r="567" s="34" customFormat="1" x14ac:dyDescent="0.35"/>
    <row r="568" s="34" customFormat="1" x14ac:dyDescent="0.35"/>
    <row r="569" s="34" customFormat="1" x14ac:dyDescent="0.35"/>
    <row r="570" s="34" customFormat="1" x14ac:dyDescent="0.35"/>
    <row r="571" s="34" customFormat="1" x14ac:dyDescent="0.35"/>
    <row r="572" s="34" customFormat="1" x14ac:dyDescent="0.35"/>
    <row r="573" s="34" customFormat="1" x14ac:dyDescent="0.35"/>
    <row r="574" s="34" customFormat="1" x14ac:dyDescent="0.35"/>
    <row r="575" s="34" customFormat="1" x14ac:dyDescent="0.35"/>
    <row r="576" s="34" customFormat="1" x14ac:dyDescent="0.35"/>
    <row r="577" s="34" customFormat="1" x14ac:dyDescent="0.35"/>
    <row r="578" s="34" customFormat="1" x14ac:dyDescent="0.35"/>
    <row r="579" s="34" customFormat="1" x14ac:dyDescent="0.35"/>
    <row r="580" s="34" customFormat="1" x14ac:dyDescent="0.35"/>
    <row r="581" s="34" customFormat="1" x14ac:dyDescent="0.35"/>
    <row r="582" s="34" customFormat="1" x14ac:dyDescent="0.35"/>
    <row r="583" s="34" customFormat="1" x14ac:dyDescent="0.35"/>
    <row r="584" s="34" customFormat="1" x14ac:dyDescent="0.35"/>
    <row r="585" s="34" customFormat="1" x14ac:dyDescent="0.35"/>
    <row r="586" s="34" customFormat="1" x14ac:dyDescent="0.35"/>
    <row r="587" s="34" customFormat="1" x14ac:dyDescent="0.35"/>
    <row r="588" s="34" customFormat="1" x14ac:dyDescent="0.35"/>
    <row r="589" s="34" customFormat="1" x14ac:dyDescent="0.35"/>
    <row r="590" s="34" customFormat="1" x14ac:dyDescent="0.35"/>
    <row r="591" s="34" customFormat="1" x14ac:dyDescent="0.35"/>
    <row r="592" s="34" customFormat="1" x14ac:dyDescent="0.35"/>
    <row r="593" s="34" customFormat="1" x14ac:dyDescent="0.35"/>
    <row r="594" s="34" customFormat="1" x14ac:dyDescent="0.35"/>
    <row r="595" s="34" customFormat="1" x14ac:dyDescent="0.35"/>
    <row r="596" s="34" customFormat="1" x14ac:dyDescent="0.35"/>
    <row r="597" s="34" customFormat="1" x14ac:dyDescent="0.35"/>
    <row r="598" s="34" customFormat="1" x14ac:dyDescent="0.35"/>
    <row r="599" s="34" customFormat="1" x14ac:dyDescent="0.35"/>
    <row r="600" s="34" customFormat="1" x14ac:dyDescent="0.35"/>
    <row r="601" s="34" customFormat="1" x14ac:dyDescent="0.35"/>
    <row r="602" s="34" customFormat="1" x14ac:dyDescent="0.3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D9EFB-4E4C-42C2-BA9A-F54A1CAB6FEF}">
  <dimension ref="A1:AO1"/>
  <sheetViews>
    <sheetView zoomScale="95" zoomScaleNormal="95" workbookViewId="0">
      <selection activeCell="X25" sqref="X25"/>
    </sheetView>
  </sheetViews>
  <sheetFormatPr baseColWidth="10" defaultRowHeight="14.5" x14ac:dyDescent="0.35"/>
  <cols>
    <col min="1" max="41" width="10.90625" style="34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063DF4-E27F-46A1-A1BC-9C5594B187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Data - Gold</vt:lpstr>
      <vt:lpstr>Data - Silver</vt:lpstr>
      <vt:lpstr>Analysis</vt:lpstr>
      <vt:lpstr>Statistics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Corral Trillo</cp:lastModifiedBy>
  <dcterms:created xsi:type="dcterms:W3CDTF">2026-06-14T02:14:54Z</dcterms:created>
  <dcterms:modified xsi:type="dcterms:W3CDTF">2026-06-14T02:14:54Z</dcterms:modified>
</cp:coreProperties>
</file>